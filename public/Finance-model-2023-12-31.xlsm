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d.docs.live.net/2521883eb5dd1c01/Аудит тайлан загвар^J гэрээ^J нэхэмжлэх/Share folder/"/>
    </mc:Choice>
  </mc:AlternateContent>
  <xr:revisionPtr revIDLastSave="71" documentId="13_ncr:1_{496A6324-6F7B-4CDD-A355-4082512BD867}" xr6:coauthVersionLast="47" xr6:coauthVersionMax="47" xr10:uidLastSave="{1B18AA84-1955-4267-87AD-42F95453E89A}"/>
  <bookViews>
    <workbookView xWindow="-108" yWindow="-108" windowWidth="23256" windowHeight="12456" tabRatio="833" activeTab="2" xr2:uid="{00000000-000D-0000-FFFF-FFFF00000000}"/>
  </bookViews>
  <sheets>
    <sheet name="Info" sheetId="1" r:id="rId1"/>
    <sheet name="НҮҮР" sheetId="2" r:id="rId2"/>
    <sheet name="GL" sheetId="3" r:id="rId3"/>
    <sheet name="TB" sheetId="4" r:id="rId4"/>
    <sheet name="BS" sheetId="5" r:id="rId5"/>
    <sheet name="IS" sheetId="6" r:id="rId6"/>
    <sheet name="EQ" sheetId="7" r:id="rId7"/>
    <sheet name="CF" sheetId="8" r:id="rId8"/>
    <sheet name="Тодруулга" sheetId="10" r:id="rId9"/>
    <sheet name="Авлага Өглөг" sheetId="9" r:id="rId10"/>
    <sheet name="Цалин" sheetId="11" r:id="rId11"/>
    <sheet name="ААНОАТ" sheetId="12" r:id="rId12"/>
    <sheet name="Зөрүүгийн тайлан" sheetId="16" r:id="rId13"/>
    <sheet name="ХХМ-01" sheetId="14" state="hidden" r:id="rId14"/>
    <sheet name="Зардлын задаргаа" sheetId="15" r:id="rId15"/>
  </sheets>
  <definedNames>
    <definedName name="_1BY_DEALER" localSheetId="10">#REF!</definedName>
    <definedName name="_1BY_DEALER">#REF!</definedName>
    <definedName name="_xlnm._FilterDatabase" localSheetId="2" hidden="1">GL!$A$4:$H$2057</definedName>
    <definedName name="Accounts">#REF!</definedName>
    <definedName name="Adjustment_G_L_Distributions">#REF!</definedName>
    <definedName name="adsd">#REF!</definedName>
    <definedName name="Advance_Credits">#REF!</definedName>
    <definedName name="aff">#REF!</definedName>
    <definedName name="Applied_Payments">#REF!</definedName>
    <definedName name="Apr_interest">#REF!</definedName>
    <definedName name="as">#REF!</definedName>
    <definedName name="asadd">#REF!</definedName>
    <definedName name="Aug_interest">#REF!</definedName>
    <definedName name="BoltingDelay">#REF!</definedName>
    <definedName name="button15">#REF!</definedName>
    <definedName name="co">#REF!</definedName>
    <definedName name="d">#REF!</definedName>
    <definedName name="DATA">#REF!</definedName>
    <definedName name="DCJ">#REF!</definedName>
    <definedName name="dddd">#REF!</definedName>
    <definedName name="dddddd">#REF!</definedName>
    <definedName name="ddddddd">#REF!</definedName>
    <definedName name="dddddddd">#REF!</definedName>
    <definedName name="ddddddddddd">#REF!</definedName>
    <definedName name="ddde">#REF!</definedName>
    <definedName name="ddee">#REF!</definedName>
    <definedName name="de">#REF!</definedName>
    <definedName name="dedd">#REF!</definedName>
    <definedName name="dedded">#REF!</definedName>
    <definedName name="dedede">#REF!</definedName>
    <definedName name="dededededed">#REF!</definedName>
    <definedName name="deemaa">#REF!</definedName>
    <definedName name="delgermaa">#REF!</definedName>
    <definedName name="dema">#REF!</definedName>
    <definedName name="demaa">#REF!</definedName>
    <definedName name="desdes">#REF!</definedName>
    <definedName name="desdesds">#REF!</definedName>
    <definedName name="DJJ">#REF!</definedName>
    <definedName name="dklv">#REF!</definedName>
    <definedName name="DLB">#REF!</definedName>
    <definedName name="DLR">#REF!</definedName>
    <definedName name="dmaa">#REF!</definedName>
    <definedName name="dmdl">#REF!</definedName>
    <definedName name="dmdq">#REF!</definedName>
    <definedName name="dmgd">#REF!</definedName>
    <definedName name="dmjf">#REF!</definedName>
    <definedName name="dmjj">#REF!</definedName>
    <definedName name="dmjx">#REF!</definedName>
    <definedName name="dmlb">#REF!</definedName>
    <definedName name="dmlr">#REF!</definedName>
    <definedName name="dmqt">#REF!</definedName>
    <definedName name="DSJ">#REF!</definedName>
    <definedName name="DXC">#REF!</definedName>
    <definedName name="DZJ">#REF!</definedName>
    <definedName name="ESO_value">#REF!</definedName>
    <definedName name="FFjdkd5">#REF!</definedName>
    <definedName name="fjdjtzxs">#REF!</definedName>
    <definedName name="galaa">#REF!</definedName>
    <definedName name="gddj">#REF!</definedName>
    <definedName name="gh">#REF!</definedName>
    <definedName name="hhh">#REF!</definedName>
    <definedName name="hour_Table789">#REF!</definedName>
    <definedName name="hxbtzxs">#REF!</definedName>
    <definedName name="IDIIID">#REF!</definedName>
    <definedName name="impairment">#REF!</definedName>
    <definedName name="Internal_Usage_Optional_Fields">#REF!</definedName>
    <definedName name="Inventory">#REF!</definedName>
    <definedName name="Invoice_Detail_Optional_Fields">#REF!</definedName>
    <definedName name="Invoice_Details">#REF!</definedName>
    <definedName name="Invoice_Optional_Fields">#REF!</definedName>
    <definedName name="Invoice_Payment_Schedules">#REF!</definedName>
    <definedName name="Invoices">#REF!</definedName>
    <definedName name="ISSUED">#REF!</definedName>
    <definedName name="JCJ">#REF!</definedName>
    <definedName name="JJJ">#REF!</definedName>
    <definedName name="JLB">#REF!</definedName>
    <definedName name="JLR">#REF!</definedName>
    <definedName name="JSJ">#REF!</definedName>
    <definedName name="jtjf">#REF!</definedName>
    <definedName name="jtjj">#REF!</definedName>
    <definedName name="jtlb">#REF!</definedName>
    <definedName name="jtlr">#REF!</definedName>
    <definedName name="jtqt">#REF!</definedName>
    <definedName name="Jul_interest">#REF!</definedName>
    <definedName name="Jun_interest">#REF!</definedName>
    <definedName name="JXC">#REF!</definedName>
    <definedName name="jxdl">#REF!</definedName>
    <definedName name="jxdq">#REF!</definedName>
    <definedName name="jxgd">#REF!</definedName>
    <definedName name="jxjf">#REF!</definedName>
    <definedName name="jxjj">#REF!</definedName>
    <definedName name="jxjx">#REF!</definedName>
    <definedName name="jxlb">#REF!</definedName>
    <definedName name="jxlr">#REF!</definedName>
    <definedName name="jxqt">#REF!</definedName>
    <definedName name="JZJ">#REF!</definedName>
    <definedName name="kkk">#REF!</definedName>
    <definedName name="klkk">#REF!</definedName>
    <definedName name="LGCHUANG">#REF!</definedName>
    <definedName name="LGMEN">#REF!</definedName>
    <definedName name="ljjt">#REF!</definedName>
    <definedName name="LMCHUANG">#REF!</definedName>
    <definedName name="LMMEN">#REF!</definedName>
    <definedName name="LMUCHUANG">#REF!</definedName>
    <definedName name="LSCHUANG">#REF!</definedName>
    <definedName name="LSMEN">#REF!</definedName>
    <definedName name="LVSUCHUANG">#REF!</definedName>
    <definedName name="MATURED">#REF!</definedName>
    <definedName name="MaxNoofCuts">#REF!</definedName>
    <definedName name="May_interest">#REF!</definedName>
    <definedName name="mhtzbl">#REF!</definedName>
    <definedName name="mina">#REF!</definedName>
    <definedName name="Miscellaneous_Payments">#REF!</definedName>
    <definedName name="new">#REF!</definedName>
    <definedName name="O_Price">#REF!</definedName>
    <definedName name="ø19">#REF!</definedName>
    <definedName name="OUTSTANDING">#REF!</definedName>
    <definedName name="Payment_Adjustment_Optional_Fiel">#REF!</definedName>
    <definedName name="Payments_Adjustments">#REF!</definedName>
    <definedName name="_xlnm.Print_Area" localSheetId="4">BS!$A$1:$D$77</definedName>
    <definedName name="_xlnm.Print_Area" localSheetId="7">CF!$A$1:$D$64</definedName>
    <definedName name="_xlnm.Print_Area" localSheetId="6">EQ!$A$1:$I$30</definedName>
    <definedName name="_xlnm.Print_Area" localSheetId="2">GL!$A$1:$H$2297</definedName>
    <definedName name="_xlnm.Print_Area" localSheetId="0">Info!$A$1:$F$90</definedName>
    <definedName name="_xlnm.Print_Area" localSheetId="3">TB!$A$1:$O$101</definedName>
    <definedName name="_xlnm.Print_Area" localSheetId="11">ААНОАТ!$A$1:$V$110</definedName>
    <definedName name="_xlnm.Print_Area" localSheetId="9">'Авлага Өглөг'!$A$1:$H$200</definedName>
    <definedName name="_xlnm.Print_Area" localSheetId="14">'Зардлын задаргаа'!$A$1:$V$71</definedName>
    <definedName name="_xlnm.Print_Area" localSheetId="12">'Зөрүүгийн тайлан'!$A$1:$D$63</definedName>
    <definedName name="_xlnm.Print_Area" localSheetId="1">НҮҮР!$A$1:$Y$44</definedName>
    <definedName name="_xlnm.Print_Area" localSheetId="10">Цалин!$A$1:$O$22</definedName>
    <definedName name="Print_Area_MI" localSheetId="10">#REF!</definedName>
    <definedName name="Print_Area_MI">#REF!</definedName>
    <definedName name="Production_Table789">#REF!</definedName>
    <definedName name="qttzxs">#REF!</definedName>
    <definedName name="rmmcp">#REF!</definedName>
    <definedName name="rrrrrrrrrrr45">#REF!</definedName>
    <definedName name="s">#REF!</definedName>
    <definedName name="SC" localSheetId="10">#REF!</definedName>
    <definedName name="SC">#REF!</definedName>
    <definedName name="sdxl">#REF!</definedName>
    <definedName name="Segment_Codes">#REF!</definedName>
    <definedName name="Sep_interest">#REF!</definedName>
    <definedName name="sfsdfsdfd">#REF!</definedName>
    <definedName name="sfsfff">#REF!</definedName>
    <definedName name="SGMEN">#REF!</definedName>
    <definedName name="sj" localSheetId="10">#REF!</definedName>
    <definedName name="sj">#REF!</definedName>
    <definedName name="sm" localSheetId="10">#REF!</definedName>
    <definedName name="sm">#REF!</definedName>
    <definedName name="stock" localSheetId="10">#REF!</definedName>
    <definedName name="stock">#REF!</definedName>
    <definedName name="T">#REF!</definedName>
    <definedName name="table">#REF!</definedName>
    <definedName name="TB">TB!$B$3:$B$96</definedName>
    <definedName name="TeejsDg95">#REF!</definedName>
    <definedName name="teg">#REF!</definedName>
    <definedName name="test">#REF!</definedName>
    <definedName name="text">#REF!</definedName>
    <definedName name="TextRefCopy1">#REF!</definedName>
    <definedName name="TextRefCopy10">#REF!</definedName>
    <definedName name="TextRefCopy101">#REF!</definedName>
    <definedName name="TextRefCopy102">#REF!</definedName>
    <definedName name="TextRefCopy103">#REF!</definedName>
    <definedName name="TextRefCopy104">#REF!</definedName>
    <definedName name="TextRefCopy105">#REF!</definedName>
    <definedName name="TextRefCopy106">#REF!</definedName>
    <definedName name="TextRefCopy107">#REF!</definedName>
    <definedName name="TextRefCopy108">#REF!</definedName>
    <definedName name="TextRefCopy109">#REF!</definedName>
    <definedName name="TextRefCopy11">#REF!</definedName>
    <definedName name="TextRefCopy110">#REF!</definedName>
    <definedName name="TextRefCopy111">#REF!</definedName>
    <definedName name="TextRefCopy112">#REF!</definedName>
    <definedName name="TextRefCopy113">#REF!</definedName>
    <definedName name="TextRefCopy114">#REF!</definedName>
    <definedName name="TextRefCopy115">#REF!</definedName>
    <definedName name="TextRefCopy116">#REF!</definedName>
    <definedName name="TextRefCopy117">#REF!</definedName>
    <definedName name="TextRefCopy118">#REF!</definedName>
    <definedName name="TextRefCopy12">#REF!</definedName>
    <definedName name="TextRefCopy122">#REF!</definedName>
    <definedName name="TextRefCopy123">#REF!</definedName>
    <definedName name="TextRefCopy126">#REF!</definedName>
    <definedName name="TextRefCopy127">#REF!</definedName>
    <definedName name="TextRefCopy13">#REF!</definedName>
    <definedName name="TextRefCopy130">#REF!</definedName>
    <definedName name="TextRefCopy131">#REF!</definedName>
    <definedName name="TextRefCopy132">#REF!</definedName>
    <definedName name="TextRefCopy134">#REF!</definedName>
    <definedName name="TextRefCopy135">#REF!</definedName>
    <definedName name="TextRefCopy136">#REF!</definedName>
    <definedName name="TextRefCopy137">#REF!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4">#REF!</definedName>
    <definedName name="TextRefCopy40">#REF!</definedName>
    <definedName name="TextRefCopy41">#REF!</definedName>
    <definedName name="TextRefCopy42">#REF!</definedName>
    <definedName name="TextRefCopy45">#REF!</definedName>
    <definedName name="TextRefCopy48">#REF!</definedName>
    <definedName name="TextRefCopy49">#REF!</definedName>
    <definedName name="TextRefCopy5" localSheetId="10">#REF!</definedName>
    <definedName name="TextRefCopy5">#REF!</definedName>
    <definedName name="TextRefCopy50">#REF!</definedName>
    <definedName name="TextRefCopy52" localSheetId="10">#REF!</definedName>
    <definedName name="TextRefCopy52">#REF!</definedName>
    <definedName name="TextRefCopy53" localSheetId="10">#REF!</definedName>
    <definedName name="TextRefCopy53">#REF!</definedName>
    <definedName name="TextRefCopy55" localSheetId="10">#REF!</definedName>
    <definedName name="TextRefCopy55">#REF!</definedName>
    <definedName name="TextRefCopy56">#REF!</definedName>
    <definedName name="TextRefCopy57">#REF!</definedName>
    <definedName name="TextRefCopy58">#REF!</definedName>
    <definedName name="TextRefCopy59">#REF!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7">#REF!</definedName>
    <definedName name="TextRefCopy74">#REF!</definedName>
    <definedName name="TextRefCopy8">#REF!</definedName>
    <definedName name="TextRefCopy81">#REF!</definedName>
    <definedName name="TextRefCopy82">#REF!</definedName>
    <definedName name="TextRefCopy83">#REF!</definedName>
    <definedName name="TextRefCopy84">#REF!</definedName>
    <definedName name="TextRefCopy85">#REF!</definedName>
    <definedName name="TextRefCopy86">#REF!</definedName>
    <definedName name="TextRefCopy87">#REF!</definedName>
    <definedName name="TextRefCopy89">#REF!</definedName>
    <definedName name="TextRefCopy9">#REF!</definedName>
    <definedName name="TextRefCopy90">#REF!</definedName>
    <definedName name="TextRefCopy91">#REF!</definedName>
    <definedName name="TextRefCopy92">#REF!</definedName>
    <definedName name="TextRefCopy93">#REF!</definedName>
    <definedName name="TextRefCopy94">#REF!</definedName>
    <definedName name="TextRefCopy95">#REF!</definedName>
    <definedName name="TextRefCopy96">#REF!</definedName>
    <definedName name="TextRefCopy97">#REF!</definedName>
    <definedName name="TextRefCopy98">#REF!</definedName>
    <definedName name="tjtzxs">#REF!</definedName>
    <definedName name="tr_no" localSheetId="10">#REF!</definedName>
    <definedName name="tr_no">#REF!</definedName>
    <definedName name="truck_hr">#REF!</definedName>
    <definedName name="v">#REF!</definedName>
    <definedName name="WM">#REF!</definedName>
    <definedName name="wp_l_up_rnge">#REF!</definedName>
    <definedName name="yfjtzxs">#REF!</definedName>
    <definedName name="zjtzxs" localSheetId="10">#REF!</definedName>
    <definedName name="zjtzxs">#REF!</definedName>
    <definedName name="буут" localSheetId="10">#REF!</definedName>
    <definedName name="буут">#REF!</definedName>
    <definedName name="ДАНС">TB!$B$4:$B$96</definedName>
    <definedName name="өаөа" localSheetId="10">#REF!</definedName>
    <definedName name="өаөа">#REF!</definedName>
    <definedName name="贮煤系统">#REF!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48" i="3" l="1"/>
  <c r="A2247" i="3"/>
  <c r="A2246" i="3"/>
  <c r="A2245" i="3"/>
  <c r="A2244" i="3"/>
  <c r="A2243" i="3"/>
  <c r="A2242" i="3"/>
  <c r="A2241" i="3"/>
  <c r="A2240" i="3"/>
  <c r="A2239" i="3"/>
  <c r="A2238" i="3"/>
  <c r="A2237" i="3"/>
  <c r="A2236" i="3"/>
  <c r="A2235" i="3"/>
  <c r="A2234" i="3"/>
  <c r="A2233" i="3"/>
  <c r="A2232" i="3"/>
  <c r="A2231" i="3"/>
  <c r="A2230" i="3"/>
  <c r="A2229" i="3"/>
  <c r="A2228" i="3"/>
  <c r="A2227" i="3"/>
  <c r="A2226" i="3"/>
  <c r="A2225" i="3"/>
  <c r="A2224" i="3"/>
  <c r="A2223" i="3"/>
  <c r="A2222" i="3"/>
  <c r="A2221" i="3"/>
  <c r="A2220" i="3"/>
  <c r="A2219" i="3"/>
  <c r="A2218" i="3"/>
  <c r="A2217" i="3"/>
  <c r="A2216" i="3"/>
  <c r="A2215" i="3"/>
  <c r="A2214" i="3"/>
  <c r="A2213" i="3"/>
  <c r="A2212" i="3"/>
  <c r="A2211" i="3"/>
  <c r="A2210" i="3"/>
  <c r="A2209" i="3"/>
  <c r="A2208" i="3"/>
  <c r="A2207" i="3"/>
  <c r="A2206" i="3"/>
  <c r="A2205" i="3"/>
  <c r="A2204" i="3"/>
  <c r="A2203" i="3"/>
  <c r="A2202" i="3"/>
  <c r="A2201" i="3"/>
  <c r="A2200" i="3"/>
  <c r="A2199" i="3"/>
  <c r="A2198" i="3"/>
  <c r="A2197" i="3"/>
  <c r="A2196" i="3"/>
  <c r="A2195" i="3"/>
  <c r="A2194" i="3"/>
  <c r="A2193" i="3"/>
  <c r="A2192" i="3"/>
  <c r="A2191" i="3"/>
  <c r="A2190" i="3"/>
  <c r="A2189" i="3"/>
  <c r="A2188" i="3"/>
  <c r="A2187" i="3"/>
  <c r="A2186" i="3"/>
  <c r="A2185" i="3"/>
  <c r="A2184" i="3"/>
  <c r="A2183" i="3"/>
  <c r="A2182" i="3"/>
  <c r="A2181" i="3"/>
  <c r="A2180" i="3"/>
  <c r="A2179" i="3"/>
  <c r="A2178" i="3"/>
  <c r="A2177" i="3"/>
  <c r="A2176" i="3"/>
  <c r="A2175" i="3"/>
  <c r="A2174" i="3"/>
  <c r="A2173" i="3"/>
  <c r="A2172" i="3"/>
  <c r="A2171" i="3"/>
  <c r="A2170" i="3"/>
  <c r="A2169" i="3"/>
  <c r="A2168" i="3"/>
  <c r="A2167" i="3"/>
  <c r="A2166" i="3"/>
  <c r="A2165" i="3"/>
  <c r="A2164" i="3"/>
  <c r="A2163" i="3"/>
  <c r="A2162" i="3"/>
  <c r="A2161" i="3"/>
  <c r="A2160" i="3"/>
  <c r="A2159" i="3"/>
  <c r="A2158" i="3"/>
  <c r="A2157" i="3"/>
  <c r="A2156" i="3"/>
  <c r="A2155" i="3"/>
  <c r="A2154" i="3"/>
  <c r="A2153" i="3"/>
  <c r="A2152" i="3"/>
  <c r="A2151" i="3"/>
  <c r="A2150" i="3"/>
  <c r="A2149" i="3"/>
  <c r="A2148" i="3"/>
  <c r="A2147" i="3"/>
  <c r="A2146" i="3"/>
  <c r="A2145" i="3"/>
  <c r="A2144" i="3"/>
  <c r="A2143" i="3"/>
  <c r="A2142" i="3"/>
  <c r="A2141" i="3"/>
  <c r="A2140" i="3"/>
  <c r="A2139" i="3"/>
  <c r="A2138" i="3"/>
  <c r="A2137" i="3"/>
  <c r="A2136" i="3"/>
  <c r="A2135" i="3"/>
  <c r="A2134" i="3"/>
  <c r="A2133" i="3"/>
  <c r="A2132" i="3"/>
  <c r="A2131" i="3"/>
  <c r="A2130" i="3"/>
  <c r="A2129" i="3"/>
  <c r="A2128" i="3"/>
  <c r="A2127" i="3"/>
  <c r="A2126" i="3"/>
  <c r="A2125" i="3"/>
  <c r="A2124" i="3"/>
  <c r="A2123" i="3"/>
  <c r="A2122" i="3"/>
  <c r="A2121" i="3"/>
  <c r="A2120" i="3"/>
  <c r="A2119" i="3"/>
  <c r="A2118" i="3"/>
  <c r="A2117" i="3"/>
  <c r="A2116" i="3"/>
  <c r="A2115" i="3"/>
  <c r="A2114" i="3"/>
  <c r="A2113" i="3"/>
  <c r="A2112" i="3"/>
  <c r="A2111" i="3"/>
  <c r="A2110" i="3"/>
  <c r="A2109" i="3"/>
  <c r="A2108" i="3"/>
  <c r="A2107" i="3"/>
  <c r="A2106" i="3"/>
  <c r="A2105" i="3"/>
  <c r="A2104" i="3"/>
  <c r="A2103" i="3"/>
  <c r="A2102" i="3"/>
  <c r="A2101" i="3"/>
  <c r="A2100" i="3"/>
  <c r="A2099" i="3"/>
  <c r="A2098" i="3"/>
  <c r="A2097" i="3"/>
  <c r="A2096" i="3"/>
  <c r="A2095" i="3"/>
  <c r="A2094" i="3"/>
  <c r="A2093" i="3"/>
  <c r="A2092" i="3"/>
  <c r="A2091" i="3"/>
  <c r="A2090" i="3"/>
  <c r="A2089" i="3"/>
  <c r="A2088" i="3"/>
  <c r="A2087" i="3"/>
  <c r="A2086" i="3"/>
  <c r="A2085" i="3"/>
  <c r="A2084" i="3"/>
  <c r="A2083" i="3"/>
  <c r="A2082" i="3"/>
  <c r="A2081" i="3"/>
  <c r="A2080" i="3"/>
  <c r="A2079" i="3"/>
  <c r="A2078" i="3"/>
  <c r="A2077" i="3"/>
  <c r="A2076" i="3"/>
  <c r="A2075" i="3"/>
  <c r="A2074" i="3"/>
  <c r="A2073" i="3"/>
  <c r="A2072" i="3"/>
  <c r="A2071" i="3"/>
  <c r="A2070" i="3"/>
  <c r="A2069" i="3"/>
  <c r="A2068" i="3"/>
  <c r="A2067" i="3"/>
  <c r="A2066" i="3"/>
  <c r="A2065" i="3"/>
  <c r="A2064" i="3"/>
  <c r="A2063" i="3"/>
  <c r="A2062" i="3"/>
  <c r="A2061" i="3"/>
  <c r="A2060" i="3"/>
  <c r="A2059" i="3"/>
  <c r="A2058" i="3"/>
  <c r="G11" i="4"/>
  <c r="F59" i="4"/>
  <c r="G59" i="4"/>
  <c r="F92" i="4"/>
  <c r="G92" i="4"/>
  <c r="F55" i="4"/>
  <c r="G55" i="4"/>
  <c r="F52" i="4"/>
  <c r="G52" i="4"/>
  <c r="C68" i="5"/>
  <c r="H92" i="4" l="1"/>
  <c r="I92" i="4" s="1"/>
  <c r="H59" i="4"/>
  <c r="J59" i="4" s="1"/>
  <c r="H55" i="4"/>
  <c r="I55" i="4" s="1"/>
  <c r="H52" i="4"/>
  <c r="I52" i="4" s="1"/>
  <c r="J55" i="4" l="1"/>
  <c r="M55" i="4" s="1"/>
  <c r="I59" i="4"/>
  <c r="M59" i="4" s="1"/>
  <c r="J92" i="4"/>
  <c r="M92" i="4" s="1"/>
  <c r="J52" i="4"/>
  <c r="M52" i="4" s="1"/>
  <c r="N59" i="4" l="1"/>
  <c r="O59" i="4"/>
  <c r="O55" i="4"/>
  <c r="N55" i="4"/>
  <c r="N52" i="4"/>
  <c r="O52" i="4"/>
  <c r="E22" i="11" l="1"/>
  <c r="F7" i="11"/>
  <c r="H7" i="11" s="1"/>
  <c r="F8" i="11"/>
  <c r="H8" i="11" s="1"/>
  <c r="F9" i="11"/>
  <c r="H9" i="11" s="1"/>
  <c r="F10" i="11"/>
  <c r="H10" i="11" s="1"/>
  <c r="F11" i="11"/>
  <c r="G11" i="11" s="1"/>
  <c r="F12" i="11"/>
  <c r="G12" i="11" s="1"/>
  <c r="F13" i="11"/>
  <c r="G13" i="11" s="1"/>
  <c r="F14" i="11"/>
  <c r="G14" i="11" s="1"/>
  <c r="F15" i="11"/>
  <c r="F16" i="11"/>
  <c r="H16" i="11" s="1"/>
  <c r="F17" i="11"/>
  <c r="F18" i="11"/>
  <c r="G18" i="11" s="1"/>
  <c r="F19" i="11"/>
  <c r="H19" i="11" s="1"/>
  <c r="F20" i="11"/>
  <c r="H20" i="11" s="1"/>
  <c r="F21" i="11"/>
  <c r="H21" i="11" s="1"/>
  <c r="G20" i="11" l="1"/>
  <c r="J20" i="11" s="1"/>
  <c r="G9" i="11"/>
  <c r="J9" i="11" s="1"/>
  <c r="L9" i="11" s="1"/>
  <c r="G8" i="11"/>
  <c r="J8" i="11" s="1"/>
  <c r="K8" i="11" s="1"/>
  <c r="H18" i="11"/>
  <c r="I18" i="11" s="1"/>
  <c r="G10" i="11"/>
  <c r="I10" i="11" s="1"/>
  <c r="J11" i="11"/>
  <c r="L11" i="11" s="1"/>
  <c r="H13" i="11"/>
  <c r="I13" i="11" s="1"/>
  <c r="G7" i="11"/>
  <c r="J7" i="11" s="1"/>
  <c r="G21" i="11"/>
  <c r="J21" i="11" s="1"/>
  <c r="L21" i="11" s="1"/>
  <c r="H17" i="11"/>
  <c r="H15" i="11"/>
  <c r="G19" i="11"/>
  <c r="H14" i="11"/>
  <c r="I14" i="11" s="1"/>
  <c r="J18" i="11"/>
  <c r="L18" i="11" s="1"/>
  <c r="G17" i="11"/>
  <c r="J17" i="11" s="1"/>
  <c r="L17" i="11" s="1"/>
  <c r="H12" i="11"/>
  <c r="I12" i="11" s="1"/>
  <c r="G16" i="11"/>
  <c r="J16" i="11" s="1"/>
  <c r="L16" i="11" s="1"/>
  <c r="H11" i="11"/>
  <c r="I11" i="11" s="1"/>
  <c r="G15" i="11"/>
  <c r="J14" i="11"/>
  <c r="L14" i="11" s="1"/>
  <c r="J13" i="11"/>
  <c r="L13" i="11" s="1"/>
  <c r="J12" i="11"/>
  <c r="L12" i="11" s="1"/>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D7" i="9"/>
  <c r="D8" i="9"/>
  <c r="D9" i="9"/>
  <c r="D10" i="9"/>
  <c r="D11" i="9"/>
  <c r="D12" i="9"/>
  <c r="D13" i="9"/>
  <c r="D14" i="9"/>
  <c r="D15" i="9"/>
  <c r="D16" i="9"/>
  <c r="D17" i="9"/>
  <c r="D18" i="9"/>
  <c r="D19" i="9"/>
  <c r="D20" i="9"/>
  <c r="D21" i="9"/>
  <c r="D22" i="9"/>
  <c r="F22" i="9" s="1"/>
  <c r="D23" i="9"/>
  <c r="D24" i="9"/>
  <c r="D25" i="9"/>
  <c r="D26" i="9"/>
  <c r="D27" i="9"/>
  <c r="D28" i="9"/>
  <c r="D29" i="9"/>
  <c r="D30" i="9"/>
  <c r="D31" i="9"/>
  <c r="D32" i="9"/>
  <c r="D33" i="9"/>
  <c r="D34" i="9"/>
  <c r="D35" i="9"/>
  <c r="D36" i="9"/>
  <c r="D37" i="9"/>
  <c r="D38" i="9"/>
  <c r="D39" i="9"/>
  <c r="D40" i="9"/>
  <c r="D41" i="9"/>
  <c r="D42" i="9"/>
  <c r="D43" i="9"/>
  <c r="D44" i="9"/>
  <c r="D45" i="9"/>
  <c r="D46" i="9"/>
  <c r="F46" i="9" s="1"/>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H3" i="3"/>
  <c r="D30" i="7"/>
  <c r="D27" i="7"/>
  <c r="I20" i="11" l="1"/>
  <c r="L8" i="11"/>
  <c r="I8" i="11"/>
  <c r="F30" i="9"/>
  <c r="H30" i="9" s="1"/>
  <c r="F38" i="9"/>
  <c r="H38" i="9" s="1"/>
  <c r="F14" i="9"/>
  <c r="G14" i="9" s="1"/>
  <c r="I21" i="11"/>
  <c r="I9" i="11"/>
  <c r="K11" i="11"/>
  <c r="J10" i="11"/>
  <c r="K10" i="11" s="1"/>
  <c r="M8" i="11"/>
  <c r="N8" i="11" s="1"/>
  <c r="O8" i="11" s="1"/>
  <c r="K20" i="11"/>
  <c r="L20" i="11"/>
  <c r="K7" i="11"/>
  <c r="L7" i="11"/>
  <c r="L10" i="11"/>
  <c r="I7" i="11"/>
  <c r="F62" i="9"/>
  <c r="G62" i="9" s="1"/>
  <c r="F54" i="9"/>
  <c r="G54" i="9" s="1"/>
  <c r="F45" i="9"/>
  <c r="G45" i="9" s="1"/>
  <c r="F37" i="9"/>
  <c r="G37" i="9" s="1"/>
  <c r="F21" i="9"/>
  <c r="G21" i="9" s="1"/>
  <c r="F13" i="9"/>
  <c r="G13" i="9" s="1"/>
  <c r="F134" i="9"/>
  <c r="G134" i="9" s="1"/>
  <c r="F126" i="9"/>
  <c r="G126" i="9" s="1"/>
  <c r="F118" i="9"/>
  <c r="G118" i="9" s="1"/>
  <c r="F110" i="9"/>
  <c r="H110" i="9" s="1"/>
  <c r="F102" i="9"/>
  <c r="G102" i="9" s="1"/>
  <c r="F94" i="9"/>
  <c r="H94" i="9" s="1"/>
  <c r="F86" i="9"/>
  <c r="H86" i="9" s="1"/>
  <c r="F78" i="9"/>
  <c r="H78" i="9" s="1"/>
  <c r="F70" i="9"/>
  <c r="G70" i="9" s="1"/>
  <c r="F142" i="9"/>
  <c r="G142" i="9" s="1"/>
  <c r="F11" i="9"/>
  <c r="G11" i="9" s="1"/>
  <c r="F117" i="9"/>
  <c r="H117" i="9" s="1"/>
  <c r="F109" i="9"/>
  <c r="G109" i="9" s="1"/>
  <c r="F93" i="9"/>
  <c r="G93" i="9" s="1"/>
  <c r="F85" i="9"/>
  <c r="G85" i="9" s="1"/>
  <c r="F69" i="9"/>
  <c r="G69" i="9" s="1"/>
  <c r="F61" i="9"/>
  <c r="G61" i="9" s="1"/>
  <c r="F35" i="9"/>
  <c r="G35" i="9" s="1"/>
  <c r="F27" i="9"/>
  <c r="H27" i="9" s="1"/>
  <c r="F19" i="9"/>
  <c r="H19" i="9" s="1"/>
  <c r="F141" i="9"/>
  <c r="G141" i="9" s="1"/>
  <c r="F133" i="9"/>
  <c r="H133" i="9" s="1"/>
  <c r="F111" i="9"/>
  <c r="H111" i="9" s="1"/>
  <c r="F103" i="9"/>
  <c r="H103" i="9" s="1"/>
  <c r="F95" i="9"/>
  <c r="G95" i="9" s="1"/>
  <c r="F87" i="9"/>
  <c r="H87" i="9" s="1"/>
  <c r="F79" i="9"/>
  <c r="G79" i="9" s="1"/>
  <c r="F71" i="9"/>
  <c r="H71" i="9" s="1"/>
  <c r="F63" i="9"/>
  <c r="H63" i="9" s="1"/>
  <c r="F55" i="9"/>
  <c r="H55" i="9" s="1"/>
  <c r="F47" i="9"/>
  <c r="H47" i="9" s="1"/>
  <c r="F39" i="9"/>
  <c r="H39" i="9" s="1"/>
  <c r="F31" i="9"/>
  <c r="G31" i="9" s="1"/>
  <c r="F23" i="9"/>
  <c r="H23" i="9" s="1"/>
  <c r="F15" i="9"/>
  <c r="G15" i="9" s="1"/>
  <c r="F59" i="9"/>
  <c r="H59" i="9" s="1"/>
  <c r="F51" i="9"/>
  <c r="H51" i="9" s="1"/>
  <c r="F43" i="9"/>
  <c r="H43" i="9" s="1"/>
  <c r="F180" i="9"/>
  <c r="G180" i="9" s="1"/>
  <c r="F156" i="9"/>
  <c r="G156" i="9" s="1"/>
  <c r="F132" i="9"/>
  <c r="G132" i="9" s="1"/>
  <c r="F108" i="9"/>
  <c r="H108" i="9" s="1"/>
  <c r="F92" i="9"/>
  <c r="H92" i="9" s="1"/>
  <c r="F84" i="9"/>
  <c r="H84" i="9" s="1"/>
  <c r="F68" i="9"/>
  <c r="H68" i="9" s="1"/>
  <c r="F60" i="9"/>
  <c r="G60" i="9" s="1"/>
  <c r="F52" i="9"/>
  <c r="G52" i="9" s="1"/>
  <c r="F44" i="9"/>
  <c r="G44" i="9" s="1"/>
  <c r="F36" i="9"/>
  <c r="H36" i="9" s="1"/>
  <c r="F28" i="9"/>
  <c r="G28" i="9" s="1"/>
  <c r="F20" i="9"/>
  <c r="G20" i="9" s="1"/>
  <c r="F12" i="9"/>
  <c r="H12" i="9" s="1"/>
  <c r="F190" i="9"/>
  <c r="G190" i="9" s="1"/>
  <c r="F182" i="9"/>
  <c r="H182" i="9" s="1"/>
  <c r="F174" i="9"/>
  <c r="G174" i="9" s="1"/>
  <c r="F166" i="9"/>
  <c r="G166" i="9" s="1"/>
  <c r="F158" i="9"/>
  <c r="H158" i="9" s="1"/>
  <c r="F150" i="9"/>
  <c r="G150" i="9" s="1"/>
  <c r="F115" i="9"/>
  <c r="H115" i="9" s="1"/>
  <c r="F107" i="9"/>
  <c r="H107" i="9" s="1"/>
  <c r="F99" i="9"/>
  <c r="H99" i="9" s="1"/>
  <c r="F91" i="9"/>
  <c r="H91" i="9" s="1"/>
  <c r="F83" i="9"/>
  <c r="H83" i="9" s="1"/>
  <c r="F75" i="9"/>
  <c r="G75" i="9" s="1"/>
  <c r="F67" i="9"/>
  <c r="H67" i="9" s="1"/>
  <c r="F189" i="9"/>
  <c r="H189" i="9" s="1"/>
  <c r="F165" i="9"/>
  <c r="H165" i="9" s="1"/>
  <c r="F198" i="9"/>
  <c r="H198" i="9" s="1"/>
  <c r="F143" i="9"/>
  <c r="H143" i="9" s="1"/>
  <c r="F135" i="9"/>
  <c r="H135" i="9" s="1"/>
  <c r="F127" i="9"/>
  <c r="G127" i="9" s="1"/>
  <c r="F119" i="9"/>
  <c r="H119" i="9" s="1"/>
  <c r="F199" i="9"/>
  <c r="G199" i="9" s="1"/>
  <c r="F183" i="9"/>
  <c r="H183" i="9" s="1"/>
  <c r="F175" i="9"/>
  <c r="G175" i="9" s="1"/>
  <c r="F167" i="9"/>
  <c r="G167" i="9" s="1"/>
  <c r="F159" i="9"/>
  <c r="G159" i="9" s="1"/>
  <c r="F151" i="9"/>
  <c r="H151" i="9" s="1"/>
  <c r="F195" i="9"/>
  <c r="G195" i="9" s="1"/>
  <c r="F187" i="9"/>
  <c r="H187" i="9" s="1"/>
  <c r="F171" i="9"/>
  <c r="H171" i="9" s="1"/>
  <c r="F163" i="9"/>
  <c r="G163" i="9" s="1"/>
  <c r="F155" i="9"/>
  <c r="G155" i="9" s="1"/>
  <c r="F147" i="9"/>
  <c r="H147" i="9" s="1"/>
  <c r="F139" i="9"/>
  <c r="H139" i="9" s="1"/>
  <c r="F131" i="9"/>
  <c r="H131" i="9" s="1"/>
  <c r="F123" i="9"/>
  <c r="G123" i="9" s="1"/>
  <c r="F194" i="9"/>
  <c r="H194" i="9" s="1"/>
  <c r="F186" i="9"/>
  <c r="H186" i="9" s="1"/>
  <c r="F178" i="9"/>
  <c r="G178" i="9" s="1"/>
  <c r="F170" i="9"/>
  <c r="H170" i="9" s="1"/>
  <c r="F162" i="9"/>
  <c r="G162" i="9" s="1"/>
  <c r="F154" i="9"/>
  <c r="H154" i="9" s="1"/>
  <c r="F146" i="9"/>
  <c r="G146" i="9" s="1"/>
  <c r="F138" i="9"/>
  <c r="H138" i="9" s="1"/>
  <c r="F130" i="9"/>
  <c r="G130" i="9" s="1"/>
  <c r="F122" i="9"/>
  <c r="G122" i="9" s="1"/>
  <c r="F114" i="9"/>
  <c r="H114" i="9" s="1"/>
  <c r="F106" i="9"/>
  <c r="H106" i="9" s="1"/>
  <c r="F98" i="9"/>
  <c r="G98" i="9" s="1"/>
  <c r="F90" i="9"/>
  <c r="H90" i="9" s="1"/>
  <c r="F82" i="9"/>
  <c r="H82" i="9" s="1"/>
  <c r="F74" i="9"/>
  <c r="H74" i="9" s="1"/>
  <c r="F66" i="9"/>
  <c r="H66" i="9" s="1"/>
  <c r="F58" i="9"/>
  <c r="H58" i="9" s="1"/>
  <c r="F50" i="9"/>
  <c r="H50" i="9" s="1"/>
  <c r="F42" i="9"/>
  <c r="H42" i="9" s="1"/>
  <c r="F34" i="9"/>
  <c r="H34" i="9" s="1"/>
  <c r="F26" i="9"/>
  <c r="H26" i="9" s="1"/>
  <c r="F18" i="9"/>
  <c r="H18" i="9" s="1"/>
  <c r="F10" i="9"/>
  <c r="H10" i="9" s="1"/>
  <c r="F177" i="9"/>
  <c r="G177" i="9" s="1"/>
  <c r="F153" i="9"/>
  <c r="G153" i="9" s="1"/>
  <c r="F129" i="9"/>
  <c r="G129" i="9" s="1"/>
  <c r="F121" i="9"/>
  <c r="G121" i="9" s="1"/>
  <c r="F105" i="9"/>
  <c r="G105" i="9" s="1"/>
  <c r="F97" i="9"/>
  <c r="G97" i="9" s="1"/>
  <c r="F81" i="9"/>
  <c r="H81" i="9" s="1"/>
  <c r="F73" i="9"/>
  <c r="G73" i="9" s="1"/>
  <c r="F57" i="9"/>
  <c r="H57" i="9" s="1"/>
  <c r="F49" i="9"/>
  <c r="H49" i="9" s="1"/>
  <c r="F33" i="9"/>
  <c r="G33" i="9" s="1"/>
  <c r="F25" i="9"/>
  <c r="H25" i="9" s="1"/>
  <c r="F9" i="9"/>
  <c r="H9" i="9" s="1"/>
  <c r="F192" i="9"/>
  <c r="G192" i="9" s="1"/>
  <c r="F168" i="9"/>
  <c r="H168" i="9" s="1"/>
  <c r="F144" i="9"/>
  <c r="H144" i="9" s="1"/>
  <c r="F120" i="9"/>
  <c r="G120" i="9" s="1"/>
  <c r="F96" i="9"/>
  <c r="H96" i="9" s="1"/>
  <c r="F80" i="9"/>
  <c r="G80" i="9" s="1"/>
  <c r="F72" i="9"/>
  <c r="H72" i="9" s="1"/>
  <c r="F64" i="9"/>
  <c r="H64" i="9" s="1"/>
  <c r="F56" i="9"/>
  <c r="H56" i="9" s="1"/>
  <c r="F48" i="9"/>
  <c r="H48" i="9" s="1"/>
  <c r="F40" i="9"/>
  <c r="H40" i="9" s="1"/>
  <c r="F32" i="9"/>
  <c r="H32" i="9" s="1"/>
  <c r="F24" i="9"/>
  <c r="H24" i="9" s="1"/>
  <c r="F16" i="9"/>
  <c r="H16" i="9" s="1"/>
  <c r="F8" i="9"/>
  <c r="H8" i="9" s="1"/>
  <c r="K14" i="11"/>
  <c r="M14" i="11" s="1"/>
  <c r="N14" i="11" s="1"/>
  <c r="O14" i="11" s="1"/>
  <c r="K16" i="11"/>
  <c r="M11" i="11"/>
  <c r="N11" i="11" s="1"/>
  <c r="O11" i="11" s="1"/>
  <c r="I19" i="11"/>
  <c r="J19" i="11"/>
  <c r="L19" i="11" s="1"/>
  <c r="K9" i="11"/>
  <c r="M9" i="11" s="1"/>
  <c r="N9" i="11" s="1"/>
  <c r="O9" i="11" s="1"/>
  <c r="K12" i="11"/>
  <c r="I17" i="11"/>
  <c r="K21" i="11"/>
  <c r="M21" i="11" s="1"/>
  <c r="N21" i="11" s="1"/>
  <c r="O21" i="11" s="1"/>
  <c r="I15" i="11"/>
  <c r="I16" i="11"/>
  <c r="K13" i="11"/>
  <c r="K17" i="11"/>
  <c r="M17" i="11" s="1"/>
  <c r="N17" i="11" s="1"/>
  <c r="O17" i="11" s="1"/>
  <c r="J15" i="11"/>
  <c r="L15" i="11" s="1"/>
  <c r="K18" i="11"/>
  <c r="F197" i="9"/>
  <c r="H197" i="9" s="1"/>
  <c r="F185" i="9"/>
  <c r="G185" i="9" s="1"/>
  <c r="F173" i="9"/>
  <c r="H173" i="9" s="1"/>
  <c r="F161" i="9"/>
  <c r="H161" i="9" s="1"/>
  <c r="F149" i="9"/>
  <c r="H149" i="9" s="1"/>
  <c r="F137" i="9"/>
  <c r="H137" i="9" s="1"/>
  <c r="F125" i="9"/>
  <c r="G125" i="9" s="1"/>
  <c r="F113" i="9"/>
  <c r="H113" i="9" s="1"/>
  <c r="F101" i="9"/>
  <c r="G101" i="9" s="1"/>
  <c r="F89" i="9"/>
  <c r="H89" i="9" s="1"/>
  <c r="F77" i="9"/>
  <c r="H77" i="9" s="1"/>
  <c r="F65" i="9"/>
  <c r="G65" i="9" s="1"/>
  <c r="F53" i="9"/>
  <c r="G53" i="9" s="1"/>
  <c r="F41" i="9"/>
  <c r="G41" i="9" s="1"/>
  <c r="F29" i="9"/>
  <c r="H29" i="9" s="1"/>
  <c r="F17" i="9"/>
  <c r="G17" i="9" s="1"/>
  <c r="F193" i="9"/>
  <c r="G193" i="9" s="1"/>
  <c r="F181" i="9"/>
  <c r="G181" i="9" s="1"/>
  <c r="F169" i="9"/>
  <c r="G169" i="9" s="1"/>
  <c r="F157" i="9"/>
  <c r="G157" i="9" s="1"/>
  <c r="F145" i="9"/>
  <c r="G145" i="9" s="1"/>
  <c r="F191" i="9"/>
  <c r="H191" i="9" s="1"/>
  <c r="F179" i="9"/>
  <c r="H179" i="9" s="1"/>
  <c r="F188" i="9"/>
  <c r="H188" i="9" s="1"/>
  <c r="F176" i="9"/>
  <c r="H176" i="9" s="1"/>
  <c r="F164" i="9"/>
  <c r="H164" i="9" s="1"/>
  <c r="F152" i="9"/>
  <c r="G152" i="9" s="1"/>
  <c r="F140" i="9"/>
  <c r="H140" i="9" s="1"/>
  <c r="F128" i="9"/>
  <c r="H128" i="9" s="1"/>
  <c r="F116" i="9"/>
  <c r="G116" i="9" s="1"/>
  <c r="F104" i="9"/>
  <c r="H104" i="9" s="1"/>
  <c r="F196" i="9"/>
  <c r="F184" i="9"/>
  <c r="F172" i="9"/>
  <c r="F160" i="9"/>
  <c r="F148" i="9"/>
  <c r="F136" i="9"/>
  <c r="F124" i="9"/>
  <c r="F112" i="9"/>
  <c r="F100" i="9"/>
  <c r="F88" i="9"/>
  <c r="F76" i="9"/>
  <c r="H46" i="9"/>
  <c r="G46" i="9"/>
  <c r="H22" i="9"/>
  <c r="G22" i="9"/>
  <c r="D200" i="9"/>
  <c r="F7" i="9"/>
  <c r="G7" i="9" s="1"/>
  <c r="E200" i="9"/>
  <c r="D22" i="8"/>
  <c r="D13" i="8"/>
  <c r="D31" i="8"/>
  <c r="D47" i="8"/>
  <c r="D48" i="8"/>
  <c r="D12" i="8"/>
  <c r="D51" i="8"/>
  <c r="D32" i="8"/>
  <c r="D18" i="8"/>
  <c r="D33" i="8"/>
  <c r="D19" i="8"/>
  <c r="D35" i="8"/>
  <c r="D52" i="8"/>
  <c r="D21" i="8"/>
  <c r="D36" i="8"/>
  <c r="D53" i="8"/>
  <c r="D38" i="8"/>
  <c r="D55" i="8"/>
  <c r="D23" i="8"/>
  <c r="D39" i="8"/>
  <c r="D40" i="8"/>
  <c r="D41" i="8"/>
  <c r="D16" i="8"/>
  <c r="D24" i="8"/>
  <c r="D25" i="8"/>
  <c r="D15" i="8"/>
  <c r="D26" i="8"/>
  <c r="D14" i="8"/>
  <c r="D30" i="8"/>
  <c r="F7" i="4"/>
  <c r="F8" i="4"/>
  <c r="F9" i="4"/>
  <c r="F10" i="4"/>
  <c r="F11" i="4"/>
  <c r="F12" i="4"/>
  <c r="F13" i="4"/>
  <c r="F14" i="4"/>
  <c r="F15" i="4"/>
  <c r="F16" i="4"/>
  <c r="F17" i="4"/>
  <c r="F18" i="4"/>
  <c r="F19" i="4"/>
  <c r="F20" i="4"/>
  <c r="F22" i="4"/>
  <c r="F23" i="4"/>
  <c r="F24" i="4"/>
  <c r="F25" i="4"/>
  <c r="F26" i="4"/>
  <c r="F27" i="4"/>
  <c r="F28" i="4"/>
  <c r="F29" i="4"/>
  <c r="F30" i="4"/>
  <c r="F31" i="4"/>
  <c r="F32" i="4"/>
  <c r="F33" i="4"/>
  <c r="F34" i="4"/>
  <c r="F35" i="4"/>
  <c r="F36" i="4"/>
  <c r="F37" i="4"/>
  <c r="F38" i="4"/>
  <c r="F39" i="4"/>
  <c r="F40" i="4"/>
  <c r="F41" i="4"/>
  <c r="F42" i="4"/>
  <c r="F43" i="4"/>
  <c r="F44" i="4"/>
  <c r="F45" i="4"/>
  <c r="F47" i="4"/>
  <c r="F48" i="4"/>
  <c r="F49" i="4"/>
  <c r="F50" i="4"/>
  <c r="F51" i="4"/>
  <c r="F53" i="4"/>
  <c r="F54" i="4"/>
  <c r="F56" i="4"/>
  <c r="F57" i="4"/>
  <c r="F58" i="4"/>
  <c r="F60" i="4"/>
  <c r="F61" i="4"/>
  <c r="F62" i="4"/>
  <c r="F63" i="4"/>
  <c r="F64" i="4"/>
  <c r="F65" i="4"/>
  <c r="F66" i="4"/>
  <c r="F67" i="4"/>
  <c r="F68" i="4"/>
  <c r="F69" i="4"/>
  <c r="F70" i="4"/>
  <c r="F71" i="4"/>
  <c r="F73" i="4"/>
  <c r="F74" i="4"/>
  <c r="F75" i="4"/>
  <c r="F76" i="4"/>
  <c r="F77" i="4"/>
  <c r="F78" i="4"/>
  <c r="F79" i="4"/>
  <c r="F80" i="4"/>
  <c r="F81" i="4"/>
  <c r="F82" i="4"/>
  <c r="F83" i="4"/>
  <c r="F84" i="4"/>
  <c r="F85" i="4"/>
  <c r="F86" i="4"/>
  <c r="F87" i="4"/>
  <c r="F88" i="4"/>
  <c r="F89" i="4"/>
  <c r="F90" i="4"/>
  <c r="F91" i="4"/>
  <c r="F93" i="4"/>
  <c r="F94" i="4"/>
  <c r="F95" i="4"/>
  <c r="F96" i="4"/>
  <c r="F97" i="4"/>
  <c r="G7" i="4"/>
  <c r="G8" i="4"/>
  <c r="G9" i="4"/>
  <c r="G10" i="4"/>
  <c r="G12" i="4"/>
  <c r="G13" i="4"/>
  <c r="G14" i="4"/>
  <c r="G15" i="4"/>
  <c r="G16" i="4"/>
  <c r="G17" i="4"/>
  <c r="G18" i="4"/>
  <c r="G19" i="4"/>
  <c r="G20" i="4"/>
  <c r="G22" i="4"/>
  <c r="G23" i="4"/>
  <c r="G24" i="4"/>
  <c r="G25" i="4"/>
  <c r="G26" i="4"/>
  <c r="G27" i="4"/>
  <c r="G28" i="4"/>
  <c r="G29" i="4"/>
  <c r="G30" i="4"/>
  <c r="G31" i="4"/>
  <c r="G32" i="4"/>
  <c r="G33" i="4"/>
  <c r="G34" i="4"/>
  <c r="G35" i="4"/>
  <c r="G36" i="4"/>
  <c r="G37" i="4"/>
  <c r="G38" i="4"/>
  <c r="G39" i="4"/>
  <c r="G40" i="4"/>
  <c r="G41" i="4"/>
  <c r="G42" i="4"/>
  <c r="G43" i="4"/>
  <c r="G44" i="4"/>
  <c r="G45" i="4"/>
  <c r="G47" i="4"/>
  <c r="G48" i="4"/>
  <c r="G50" i="4"/>
  <c r="G51" i="4"/>
  <c r="G53" i="4"/>
  <c r="G54" i="4"/>
  <c r="G56" i="4"/>
  <c r="G57" i="4"/>
  <c r="G58" i="4"/>
  <c r="G60" i="4"/>
  <c r="G61"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3" i="4"/>
  <c r="G94" i="4"/>
  <c r="G95" i="4"/>
  <c r="G96" i="4"/>
  <c r="G97" i="4"/>
  <c r="F72" i="4"/>
  <c r="F21" i="4"/>
  <c r="D34" i="8"/>
  <c r="D46" i="8"/>
  <c r="F46" i="4"/>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1386" i="3"/>
  <c r="A1387" i="3"/>
  <c r="A1388" i="3"/>
  <c r="A1389" i="3"/>
  <c r="A1390" i="3"/>
  <c r="A1391" i="3"/>
  <c r="A1392" i="3"/>
  <c r="A1393" i="3"/>
  <c r="A1394" i="3"/>
  <c r="A1395" i="3"/>
  <c r="A1396" i="3"/>
  <c r="A1397" i="3"/>
  <c r="A1398" i="3"/>
  <c r="A1399" i="3"/>
  <c r="A1400" i="3"/>
  <c r="A1401" i="3"/>
  <c r="A1402" i="3"/>
  <c r="A1403" i="3"/>
  <c r="A1404" i="3"/>
  <c r="A1405" i="3"/>
  <c r="A1406" i="3"/>
  <c r="A1407" i="3"/>
  <c r="A1408" i="3"/>
  <c r="A1409" i="3"/>
  <c r="A1410" i="3"/>
  <c r="A1411" i="3"/>
  <c r="A1412" i="3"/>
  <c r="A1413" i="3"/>
  <c r="A1414" i="3"/>
  <c r="A1415" i="3"/>
  <c r="A1416" i="3"/>
  <c r="A1417" i="3"/>
  <c r="A1418" i="3"/>
  <c r="A1419" i="3"/>
  <c r="A1420" i="3"/>
  <c r="A1421" i="3"/>
  <c r="A1422" i="3"/>
  <c r="A1423" i="3"/>
  <c r="A1424" i="3"/>
  <c r="A1425" i="3"/>
  <c r="A1426" i="3"/>
  <c r="A1427" i="3"/>
  <c r="A1428" i="3"/>
  <c r="A1429" i="3"/>
  <c r="A1430" i="3"/>
  <c r="A1431" i="3"/>
  <c r="A1432" i="3"/>
  <c r="A1433" i="3"/>
  <c r="A1434" i="3"/>
  <c r="A1435" i="3"/>
  <c r="A1436" i="3"/>
  <c r="A1437" i="3"/>
  <c r="A1438" i="3"/>
  <c r="A1439" i="3"/>
  <c r="A1440" i="3"/>
  <c r="A1441" i="3"/>
  <c r="A1442" i="3"/>
  <c r="A1443" i="3"/>
  <c r="A1444" i="3"/>
  <c r="A1445" i="3"/>
  <c r="A1446" i="3"/>
  <c r="A1447" i="3"/>
  <c r="A1448" i="3"/>
  <c r="A1449" i="3"/>
  <c r="A1450" i="3"/>
  <c r="A1451" i="3"/>
  <c r="A1452" i="3"/>
  <c r="A1453" i="3"/>
  <c r="A1454" i="3"/>
  <c r="A1455" i="3"/>
  <c r="A1456" i="3"/>
  <c r="A1457" i="3"/>
  <c r="A1458" i="3"/>
  <c r="A1459" i="3"/>
  <c r="A1460" i="3"/>
  <c r="A1461" i="3"/>
  <c r="A1462" i="3"/>
  <c r="A1463" i="3"/>
  <c r="A1464" i="3"/>
  <c r="A1465" i="3"/>
  <c r="A1466" i="3"/>
  <c r="A1467" i="3"/>
  <c r="A1468" i="3"/>
  <c r="A1469" i="3"/>
  <c r="A1470" i="3"/>
  <c r="A1471" i="3"/>
  <c r="A1472" i="3"/>
  <c r="A1473" i="3"/>
  <c r="A1474" i="3"/>
  <c r="A1475" i="3"/>
  <c r="A1476" i="3"/>
  <c r="A1477" i="3"/>
  <c r="A1478" i="3"/>
  <c r="A1479" i="3"/>
  <c r="A1480" i="3"/>
  <c r="A1481" i="3"/>
  <c r="A1482" i="3"/>
  <c r="A1483" i="3"/>
  <c r="A1484" i="3"/>
  <c r="A1485" i="3"/>
  <c r="A1486" i="3"/>
  <c r="A1487" i="3"/>
  <c r="A1488" i="3"/>
  <c r="A1489" i="3"/>
  <c r="A1490" i="3"/>
  <c r="A1491" i="3"/>
  <c r="A1492" i="3"/>
  <c r="A1493" i="3"/>
  <c r="A1494" i="3"/>
  <c r="A1495" i="3"/>
  <c r="A1496" i="3"/>
  <c r="A1497" i="3"/>
  <c r="A1498" i="3"/>
  <c r="A1499" i="3"/>
  <c r="A1500" i="3"/>
  <c r="A1501" i="3"/>
  <c r="A1502" i="3"/>
  <c r="A1503" i="3"/>
  <c r="A1504" i="3"/>
  <c r="A1505" i="3"/>
  <c r="A1506" i="3"/>
  <c r="A1507" i="3"/>
  <c r="A1508" i="3"/>
  <c r="A1509" i="3"/>
  <c r="A1510" i="3"/>
  <c r="A1511" i="3"/>
  <c r="A1512" i="3"/>
  <c r="A1513" i="3"/>
  <c r="A1514" i="3"/>
  <c r="A1515" i="3"/>
  <c r="A1516" i="3"/>
  <c r="A1517" i="3"/>
  <c r="A1518" i="3"/>
  <c r="A1519" i="3"/>
  <c r="A1520" i="3"/>
  <c r="A1521" i="3"/>
  <c r="A1522" i="3"/>
  <c r="A1523" i="3"/>
  <c r="A1524" i="3"/>
  <c r="A1525" i="3"/>
  <c r="A1526" i="3"/>
  <c r="A1527" i="3"/>
  <c r="A1528" i="3"/>
  <c r="A1529" i="3"/>
  <c r="A1530" i="3"/>
  <c r="A1531" i="3"/>
  <c r="A1532" i="3"/>
  <c r="A1533" i="3"/>
  <c r="A1534" i="3"/>
  <c r="A1535" i="3"/>
  <c r="A1536" i="3"/>
  <c r="A1537" i="3"/>
  <c r="A1538" i="3"/>
  <c r="A1539" i="3"/>
  <c r="A1540" i="3"/>
  <c r="A1541" i="3"/>
  <c r="A1542" i="3"/>
  <c r="A1543" i="3"/>
  <c r="A1544" i="3"/>
  <c r="A1545" i="3"/>
  <c r="A1546" i="3"/>
  <c r="A1547" i="3"/>
  <c r="A1548" i="3"/>
  <c r="A1549" i="3"/>
  <c r="A1550" i="3"/>
  <c r="A1551" i="3"/>
  <c r="A1552" i="3"/>
  <c r="A1553" i="3"/>
  <c r="A1554" i="3"/>
  <c r="A1555" i="3"/>
  <c r="A1556" i="3"/>
  <c r="A1557" i="3"/>
  <c r="A1558" i="3"/>
  <c r="A1559" i="3"/>
  <c r="A1560" i="3"/>
  <c r="A1561" i="3"/>
  <c r="A1562" i="3"/>
  <c r="A1563" i="3"/>
  <c r="A1564" i="3"/>
  <c r="A1565" i="3"/>
  <c r="A1566" i="3"/>
  <c r="A1567" i="3"/>
  <c r="A1568" i="3"/>
  <c r="A1569" i="3"/>
  <c r="A1570" i="3"/>
  <c r="A1571" i="3"/>
  <c r="A1572" i="3"/>
  <c r="A1573" i="3"/>
  <c r="A1574" i="3"/>
  <c r="A1575" i="3"/>
  <c r="A1576" i="3"/>
  <c r="A1577" i="3"/>
  <c r="A1578" i="3"/>
  <c r="A1579" i="3"/>
  <c r="A1580" i="3"/>
  <c r="A1581" i="3"/>
  <c r="A1582" i="3"/>
  <c r="A1583" i="3"/>
  <c r="A1584" i="3"/>
  <c r="A1585" i="3"/>
  <c r="A1586" i="3"/>
  <c r="A1587" i="3"/>
  <c r="A1588" i="3"/>
  <c r="A1589" i="3"/>
  <c r="A1590" i="3"/>
  <c r="A1591" i="3"/>
  <c r="A1592" i="3"/>
  <c r="A1593" i="3"/>
  <c r="A1594" i="3"/>
  <c r="A1595" i="3"/>
  <c r="A1596" i="3"/>
  <c r="A1597" i="3"/>
  <c r="A1598" i="3"/>
  <c r="A1599" i="3"/>
  <c r="A1600" i="3"/>
  <c r="A1601" i="3"/>
  <c r="A1602" i="3"/>
  <c r="A1603" i="3"/>
  <c r="A1604" i="3"/>
  <c r="A1605" i="3"/>
  <c r="A1606" i="3"/>
  <c r="A1607" i="3"/>
  <c r="A1608" i="3"/>
  <c r="A1609" i="3"/>
  <c r="A1610" i="3"/>
  <c r="A1611" i="3"/>
  <c r="A1612" i="3"/>
  <c r="A1613" i="3"/>
  <c r="A1614" i="3"/>
  <c r="A1615" i="3"/>
  <c r="A1616" i="3"/>
  <c r="A1617" i="3"/>
  <c r="A1618" i="3"/>
  <c r="A1619" i="3"/>
  <c r="A1620" i="3"/>
  <c r="A1621" i="3"/>
  <c r="A1622" i="3"/>
  <c r="A1623" i="3"/>
  <c r="A1624" i="3"/>
  <c r="A1625" i="3"/>
  <c r="A1626" i="3"/>
  <c r="A1627" i="3"/>
  <c r="A1628" i="3"/>
  <c r="A1629" i="3"/>
  <c r="A1630" i="3"/>
  <c r="A1631" i="3"/>
  <c r="A1632" i="3"/>
  <c r="A1633" i="3"/>
  <c r="A1634" i="3"/>
  <c r="A1635" i="3"/>
  <c r="A1636" i="3"/>
  <c r="A1637" i="3"/>
  <c r="A1638" i="3"/>
  <c r="A1639" i="3"/>
  <c r="A1640" i="3"/>
  <c r="A1641" i="3"/>
  <c r="A1642" i="3"/>
  <c r="A1643" i="3"/>
  <c r="A1644" i="3"/>
  <c r="A1645" i="3"/>
  <c r="A1646" i="3"/>
  <c r="A1647" i="3"/>
  <c r="A1648" i="3"/>
  <c r="A1649" i="3"/>
  <c r="A1650" i="3"/>
  <c r="A1651" i="3"/>
  <c r="A1652" i="3"/>
  <c r="A1653" i="3"/>
  <c r="A1654" i="3"/>
  <c r="A1655" i="3"/>
  <c r="A1656" i="3"/>
  <c r="A1657" i="3"/>
  <c r="A1658" i="3"/>
  <c r="A1659" i="3"/>
  <c r="A1660" i="3"/>
  <c r="A1661" i="3"/>
  <c r="A1662" i="3"/>
  <c r="A1663" i="3"/>
  <c r="A1664" i="3"/>
  <c r="A1665" i="3"/>
  <c r="A1666" i="3"/>
  <c r="A1667" i="3"/>
  <c r="A1668" i="3"/>
  <c r="A1669" i="3"/>
  <c r="A1670" i="3"/>
  <c r="A1671" i="3"/>
  <c r="A1672" i="3"/>
  <c r="A1673" i="3"/>
  <c r="A1674" i="3"/>
  <c r="A1675" i="3"/>
  <c r="A1676" i="3"/>
  <c r="A1677" i="3"/>
  <c r="A1678" i="3"/>
  <c r="A1679" i="3"/>
  <c r="A1680" i="3"/>
  <c r="A1681" i="3"/>
  <c r="A1682" i="3"/>
  <c r="A1683" i="3"/>
  <c r="A1684" i="3"/>
  <c r="A1685" i="3"/>
  <c r="A1686" i="3"/>
  <c r="A1687" i="3"/>
  <c r="A1688" i="3"/>
  <c r="A1689" i="3"/>
  <c r="A1690" i="3"/>
  <c r="A1691" i="3"/>
  <c r="A1692" i="3"/>
  <c r="A1693" i="3"/>
  <c r="A1694" i="3"/>
  <c r="A1695" i="3"/>
  <c r="A1696" i="3"/>
  <c r="A1697" i="3"/>
  <c r="A1698" i="3"/>
  <c r="A1699" i="3"/>
  <c r="A1700" i="3"/>
  <c r="A1701" i="3"/>
  <c r="A1702" i="3"/>
  <c r="A1703" i="3"/>
  <c r="A1704" i="3"/>
  <c r="A1705" i="3"/>
  <c r="A1706" i="3"/>
  <c r="A1707" i="3"/>
  <c r="A1708" i="3"/>
  <c r="A1709" i="3"/>
  <c r="A1710" i="3"/>
  <c r="A1711" i="3"/>
  <c r="A1712" i="3"/>
  <c r="A1713" i="3"/>
  <c r="A1714" i="3"/>
  <c r="A1715" i="3"/>
  <c r="A1716" i="3"/>
  <c r="A1717" i="3"/>
  <c r="A1718" i="3"/>
  <c r="A1719" i="3"/>
  <c r="A1720" i="3"/>
  <c r="A1721" i="3"/>
  <c r="A1722" i="3"/>
  <c r="A1723" i="3"/>
  <c r="A1724" i="3"/>
  <c r="A1725" i="3"/>
  <c r="A1726" i="3"/>
  <c r="A1727" i="3"/>
  <c r="A1728" i="3"/>
  <c r="A1729" i="3"/>
  <c r="A1730" i="3"/>
  <c r="A1731" i="3"/>
  <c r="A1732" i="3"/>
  <c r="A1733" i="3"/>
  <c r="A1734" i="3"/>
  <c r="A1735" i="3"/>
  <c r="A1736" i="3"/>
  <c r="A1737" i="3"/>
  <c r="A1738" i="3"/>
  <c r="A1739" i="3"/>
  <c r="A1740" i="3"/>
  <c r="A1741" i="3"/>
  <c r="A1742" i="3"/>
  <c r="A1743" i="3"/>
  <c r="A1744" i="3"/>
  <c r="A1745" i="3"/>
  <c r="A1746" i="3"/>
  <c r="A1747" i="3"/>
  <c r="A1748" i="3"/>
  <c r="A1749" i="3"/>
  <c r="A1750" i="3"/>
  <c r="A1751" i="3"/>
  <c r="A1752" i="3"/>
  <c r="A1753" i="3"/>
  <c r="A1754" i="3"/>
  <c r="A1755" i="3"/>
  <c r="A1756" i="3"/>
  <c r="A1757" i="3"/>
  <c r="A1758" i="3"/>
  <c r="A1759" i="3"/>
  <c r="A1760" i="3"/>
  <c r="A1761" i="3"/>
  <c r="A1762" i="3"/>
  <c r="A1763" i="3"/>
  <c r="A1764" i="3"/>
  <c r="A1765" i="3"/>
  <c r="A1766" i="3"/>
  <c r="A1767" i="3"/>
  <c r="A1768" i="3"/>
  <c r="A1769" i="3"/>
  <c r="A1770" i="3"/>
  <c r="A1771" i="3"/>
  <c r="A1772" i="3"/>
  <c r="A1773" i="3"/>
  <c r="A1774" i="3"/>
  <c r="A1775" i="3"/>
  <c r="A1776" i="3"/>
  <c r="A1777" i="3"/>
  <c r="A1778" i="3"/>
  <c r="A1779" i="3"/>
  <c r="A1780" i="3"/>
  <c r="A1781" i="3"/>
  <c r="A1782" i="3"/>
  <c r="A1783" i="3"/>
  <c r="A1784" i="3"/>
  <c r="A1785" i="3"/>
  <c r="A1786" i="3"/>
  <c r="A1787" i="3"/>
  <c r="A1788" i="3"/>
  <c r="A1789" i="3"/>
  <c r="A1790" i="3"/>
  <c r="A1791" i="3"/>
  <c r="A1792" i="3"/>
  <c r="A1793" i="3"/>
  <c r="A1794" i="3"/>
  <c r="A1795" i="3"/>
  <c r="A1796" i="3"/>
  <c r="A1797" i="3"/>
  <c r="A1798" i="3"/>
  <c r="A1799" i="3"/>
  <c r="A1800" i="3"/>
  <c r="A1801" i="3"/>
  <c r="A1802" i="3"/>
  <c r="A1803" i="3"/>
  <c r="A1804" i="3"/>
  <c r="A1805" i="3"/>
  <c r="A1806" i="3"/>
  <c r="A1807" i="3"/>
  <c r="A1808" i="3"/>
  <c r="A1809" i="3"/>
  <c r="A1810" i="3"/>
  <c r="A1811" i="3"/>
  <c r="A1812" i="3"/>
  <c r="A1813" i="3"/>
  <c r="A1814" i="3"/>
  <c r="A1815" i="3"/>
  <c r="A1816" i="3"/>
  <c r="A1817" i="3"/>
  <c r="A1818" i="3"/>
  <c r="A1819" i="3"/>
  <c r="A1820" i="3"/>
  <c r="A1821" i="3"/>
  <c r="A1822" i="3"/>
  <c r="A1823" i="3"/>
  <c r="A1824" i="3"/>
  <c r="A1825" i="3"/>
  <c r="A1826" i="3"/>
  <c r="A1827" i="3"/>
  <c r="A1828" i="3"/>
  <c r="A1829" i="3"/>
  <c r="A1830" i="3"/>
  <c r="A1831" i="3"/>
  <c r="A1832" i="3"/>
  <c r="A1833" i="3"/>
  <c r="A1834" i="3"/>
  <c r="A1835" i="3"/>
  <c r="A1836" i="3"/>
  <c r="A1837" i="3"/>
  <c r="A1838" i="3"/>
  <c r="A1839" i="3"/>
  <c r="A1840" i="3"/>
  <c r="A1841" i="3"/>
  <c r="A1842" i="3"/>
  <c r="A1843" i="3"/>
  <c r="A1844" i="3"/>
  <c r="A1845" i="3"/>
  <c r="A1846" i="3"/>
  <c r="A1847" i="3"/>
  <c r="A1848" i="3"/>
  <c r="A1849" i="3"/>
  <c r="A1850" i="3"/>
  <c r="A1851" i="3"/>
  <c r="A1852" i="3"/>
  <c r="A1853" i="3"/>
  <c r="A1854" i="3"/>
  <c r="A1855" i="3"/>
  <c r="A1856" i="3"/>
  <c r="A1857" i="3"/>
  <c r="A1858" i="3"/>
  <c r="A1859" i="3"/>
  <c r="A1860" i="3"/>
  <c r="A1861" i="3"/>
  <c r="A1862" i="3"/>
  <c r="A1863" i="3"/>
  <c r="A1864" i="3"/>
  <c r="A1865" i="3"/>
  <c r="A1866" i="3"/>
  <c r="A1867" i="3"/>
  <c r="A1868" i="3"/>
  <c r="A1869" i="3"/>
  <c r="A1870" i="3"/>
  <c r="A1871" i="3"/>
  <c r="A1872" i="3"/>
  <c r="A1873" i="3"/>
  <c r="A1874" i="3"/>
  <c r="A1875" i="3"/>
  <c r="A1876" i="3"/>
  <c r="A1877" i="3"/>
  <c r="A1878" i="3"/>
  <c r="A1879" i="3"/>
  <c r="A1880" i="3"/>
  <c r="A1881" i="3"/>
  <c r="A1882" i="3"/>
  <c r="A1883" i="3"/>
  <c r="A1884" i="3"/>
  <c r="A1885" i="3"/>
  <c r="A1886" i="3"/>
  <c r="A1887" i="3"/>
  <c r="A1888" i="3"/>
  <c r="A1889" i="3"/>
  <c r="A1890" i="3"/>
  <c r="A1891" i="3"/>
  <c r="A1892" i="3"/>
  <c r="A1893" i="3"/>
  <c r="A1894" i="3"/>
  <c r="A1895" i="3"/>
  <c r="A1896" i="3"/>
  <c r="A1897" i="3"/>
  <c r="A1898" i="3"/>
  <c r="A1899" i="3"/>
  <c r="A1900" i="3"/>
  <c r="A1901" i="3"/>
  <c r="A1902" i="3"/>
  <c r="A1903" i="3"/>
  <c r="A1904" i="3"/>
  <c r="A1905" i="3"/>
  <c r="A1906" i="3"/>
  <c r="A1907" i="3"/>
  <c r="A1908" i="3"/>
  <c r="A1909" i="3"/>
  <c r="A1910" i="3"/>
  <c r="A1911" i="3"/>
  <c r="A1912" i="3"/>
  <c r="A1913" i="3"/>
  <c r="A1914" i="3"/>
  <c r="A1915" i="3"/>
  <c r="A1916" i="3"/>
  <c r="A1917" i="3"/>
  <c r="A1918" i="3"/>
  <c r="A1919" i="3"/>
  <c r="A1920" i="3"/>
  <c r="A1921" i="3"/>
  <c r="A1922" i="3"/>
  <c r="A1923" i="3"/>
  <c r="A1924" i="3"/>
  <c r="A1925" i="3"/>
  <c r="A1926" i="3"/>
  <c r="A1927" i="3"/>
  <c r="A1928" i="3"/>
  <c r="A1929" i="3"/>
  <c r="A1930" i="3"/>
  <c r="A1931" i="3"/>
  <c r="A1932" i="3"/>
  <c r="A1933" i="3"/>
  <c r="A1934" i="3"/>
  <c r="A1935" i="3"/>
  <c r="A1936" i="3"/>
  <c r="A1937" i="3"/>
  <c r="A1938" i="3"/>
  <c r="A1939" i="3"/>
  <c r="A1940" i="3"/>
  <c r="A1941" i="3"/>
  <c r="A1942" i="3"/>
  <c r="A1943" i="3"/>
  <c r="A1944" i="3"/>
  <c r="A1945" i="3"/>
  <c r="A1946" i="3"/>
  <c r="A1947" i="3"/>
  <c r="A1948" i="3"/>
  <c r="A1949" i="3"/>
  <c r="A1950" i="3"/>
  <c r="A1951" i="3"/>
  <c r="A1952" i="3"/>
  <c r="A1953" i="3"/>
  <c r="A1954" i="3"/>
  <c r="A1955" i="3"/>
  <c r="A1956" i="3"/>
  <c r="A1957" i="3"/>
  <c r="A1958" i="3"/>
  <c r="A1959" i="3"/>
  <c r="A1960" i="3"/>
  <c r="A1961" i="3"/>
  <c r="A1962" i="3"/>
  <c r="A1963" i="3"/>
  <c r="A1964" i="3"/>
  <c r="A1965" i="3"/>
  <c r="A1966" i="3"/>
  <c r="A1967" i="3"/>
  <c r="A1968" i="3"/>
  <c r="A1969" i="3"/>
  <c r="A1970" i="3"/>
  <c r="A1971" i="3"/>
  <c r="A1972" i="3"/>
  <c r="A1973" i="3"/>
  <c r="A1974" i="3"/>
  <c r="A1975" i="3"/>
  <c r="A1976" i="3"/>
  <c r="A1977" i="3"/>
  <c r="A1978" i="3"/>
  <c r="A1979" i="3"/>
  <c r="A1980" i="3"/>
  <c r="A1981" i="3"/>
  <c r="A1982" i="3"/>
  <c r="A1983" i="3"/>
  <c r="A1984" i="3"/>
  <c r="A1985" i="3"/>
  <c r="A1986" i="3"/>
  <c r="A1987" i="3"/>
  <c r="A1988" i="3"/>
  <c r="A1989" i="3"/>
  <c r="A1990" i="3"/>
  <c r="A1991" i="3"/>
  <c r="A1992" i="3"/>
  <c r="A1993" i="3"/>
  <c r="A1994" i="3"/>
  <c r="A1995" i="3"/>
  <c r="A1996" i="3"/>
  <c r="A1997" i="3"/>
  <c r="A1998" i="3"/>
  <c r="A1999" i="3"/>
  <c r="A2000" i="3"/>
  <c r="A2001" i="3"/>
  <c r="A2002" i="3"/>
  <c r="A2003" i="3"/>
  <c r="A2004" i="3"/>
  <c r="A2005" i="3"/>
  <c r="A2006" i="3"/>
  <c r="A2007" i="3"/>
  <c r="A2008" i="3"/>
  <c r="A2009" i="3"/>
  <c r="A2010" i="3"/>
  <c r="A2011" i="3"/>
  <c r="A2012" i="3"/>
  <c r="A2013" i="3"/>
  <c r="A2014" i="3"/>
  <c r="A2015" i="3"/>
  <c r="A2016" i="3"/>
  <c r="A2017" i="3"/>
  <c r="A2018" i="3"/>
  <c r="A2019" i="3"/>
  <c r="A2020" i="3"/>
  <c r="A2021" i="3"/>
  <c r="A2022" i="3"/>
  <c r="A2023" i="3"/>
  <c r="A2024" i="3"/>
  <c r="A2025" i="3"/>
  <c r="A2026" i="3"/>
  <c r="A2027" i="3"/>
  <c r="A2028" i="3"/>
  <c r="A2029" i="3"/>
  <c r="A2030" i="3"/>
  <c r="A2031" i="3"/>
  <c r="A2032" i="3"/>
  <c r="A2033" i="3"/>
  <c r="A2034" i="3"/>
  <c r="A2035" i="3"/>
  <c r="A2036" i="3"/>
  <c r="A2037" i="3"/>
  <c r="A2038" i="3"/>
  <c r="A2039" i="3"/>
  <c r="A2040" i="3"/>
  <c r="A2041" i="3"/>
  <c r="A2042" i="3"/>
  <c r="A2043" i="3"/>
  <c r="A2044" i="3"/>
  <c r="A2045" i="3"/>
  <c r="A2046" i="3"/>
  <c r="A2047" i="3"/>
  <c r="A2048" i="3"/>
  <c r="A2049" i="3"/>
  <c r="A2050" i="3"/>
  <c r="A2051" i="3"/>
  <c r="A2052" i="3"/>
  <c r="A2053" i="3"/>
  <c r="A2054" i="3"/>
  <c r="A2055" i="3"/>
  <c r="A2056" i="3"/>
  <c r="A2057" i="3"/>
  <c r="A6" i="3"/>
  <c r="G30" i="9" l="1"/>
  <c r="H91" i="4"/>
  <c r="H79" i="4"/>
  <c r="H66" i="4"/>
  <c r="H14" i="9"/>
  <c r="H61" i="4"/>
  <c r="H95" i="4"/>
  <c r="H82" i="4"/>
  <c r="H69" i="4"/>
  <c r="H94" i="4"/>
  <c r="H81" i="4"/>
  <c r="H68" i="4"/>
  <c r="H93" i="4"/>
  <c r="H80" i="4"/>
  <c r="H67" i="4"/>
  <c r="H90" i="4"/>
  <c r="H78" i="4"/>
  <c r="H65" i="4"/>
  <c r="H89" i="4"/>
  <c r="H77" i="4"/>
  <c r="H64" i="4"/>
  <c r="H88" i="4"/>
  <c r="H76" i="4"/>
  <c r="H63" i="4"/>
  <c r="H87" i="4"/>
  <c r="H75" i="4"/>
  <c r="H86" i="4"/>
  <c r="H74" i="4"/>
  <c r="H85" i="4"/>
  <c r="H73" i="4"/>
  <c r="H60" i="4"/>
  <c r="H97" i="4"/>
  <c r="H84" i="4"/>
  <c r="H71" i="4"/>
  <c r="H58" i="4"/>
  <c r="H72" i="4"/>
  <c r="H96" i="4"/>
  <c r="H83" i="4"/>
  <c r="H70" i="4"/>
  <c r="G38" i="9"/>
  <c r="M7" i="11"/>
  <c r="N7" i="11" s="1"/>
  <c r="O7" i="11" s="1"/>
  <c r="M20" i="11"/>
  <c r="N20" i="11" s="1"/>
  <c r="O20" i="11" s="1"/>
  <c r="M10" i="11"/>
  <c r="N10" i="11" s="1"/>
  <c r="O10" i="11" s="1"/>
  <c r="H37" i="9"/>
  <c r="H54" i="9"/>
  <c r="H62" i="9"/>
  <c r="H21" i="9"/>
  <c r="H45" i="9"/>
  <c r="H13" i="9"/>
  <c r="H134" i="9"/>
  <c r="H70" i="9"/>
  <c r="H118" i="9"/>
  <c r="H52" i="9"/>
  <c r="H126" i="9"/>
  <c r="H102" i="9"/>
  <c r="G86" i="9"/>
  <c r="G94" i="9"/>
  <c r="G110" i="9"/>
  <c r="G78" i="9"/>
  <c r="H142" i="9"/>
  <c r="H109" i="9"/>
  <c r="G117" i="9"/>
  <c r="H11" i="9"/>
  <c r="H61" i="9"/>
  <c r="H69" i="9"/>
  <c r="H93" i="9"/>
  <c r="H85" i="9"/>
  <c r="H35" i="9"/>
  <c r="G19" i="9"/>
  <c r="G133" i="9"/>
  <c r="H141" i="9"/>
  <c r="G27" i="9"/>
  <c r="H31" i="9"/>
  <c r="H95" i="9"/>
  <c r="G103" i="9"/>
  <c r="G39" i="9"/>
  <c r="H79" i="9"/>
  <c r="G87" i="9"/>
  <c r="G71" i="9"/>
  <c r="H15" i="9"/>
  <c r="G23" i="9"/>
  <c r="G63" i="9"/>
  <c r="G55" i="9"/>
  <c r="G111" i="9"/>
  <c r="G47" i="9"/>
  <c r="G59" i="9"/>
  <c r="G51" i="9"/>
  <c r="G43" i="9"/>
  <c r="H44" i="9"/>
  <c r="G84" i="9"/>
  <c r="G68" i="9"/>
  <c r="G12" i="9"/>
  <c r="H180" i="9"/>
  <c r="H156" i="9"/>
  <c r="G36" i="9"/>
  <c r="H132" i="9"/>
  <c r="H75" i="9"/>
  <c r="H190" i="9"/>
  <c r="H150" i="9"/>
  <c r="G92" i="9"/>
  <c r="H28" i="9"/>
  <c r="H20" i="9"/>
  <c r="G182" i="9"/>
  <c r="H60" i="9"/>
  <c r="G108" i="9"/>
  <c r="G91" i="9"/>
  <c r="H174" i="9"/>
  <c r="G165" i="9"/>
  <c r="G115" i="9"/>
  <c r="H166" i="9"/>
  <c r="G67" i="9"/>
  <c r="G158" i="9"/>
  <c r="G107" i="9"/>
  <c r="H129" i="9"/>
  <c r="G83" i="9"/>
  <c r="G99" i="9"/>
  <c r="G198" i="9"/>
  <c r="H195" i="9"/>
  <c r="G189" i="9"/>
  <c r="G114" i="9"/>
  <c r="H163" i="9"/>
  <c r="H33" i="9"/>
  <c r="H178" i="9"/>
  <c r="H127" i="9"/>
  <c r="G186" i="9"/>
  <c r="G49" i="9"/>
  <c r="G119" i="9"/>
  <c r="H101" i="9"/>
  <c r="H162" i="9"/>
  <c r="G135" i="9"/>
  <c r="G50" i="9"/>
  <c r="G183" i="9"/>
  <c r="G143" i="9"/>
  <c r="G197" i="9"/>
  <c r="H159" i="9"/>
  <c r="G96" i="9"/>
  <c r="H122" i="9"/>
  <c r="H199" i="9"/>
  <c r="H153" i="9"/>
  <c r="H155" i="9"/>
  <c r="G42" i="9"/>
  <c r="G24" i="9"/>
  <c r="G56" i="9"/>
  <c r="G106" i="9"/>
  <c r="G57" i="9"/>
  <c r="G25" i="9"/>
  <c r="H175" i="9"/>
  <c r="H169" i="9"/>
  <c r="G173" i="9"/>
  <c r="G58" i="9"/>
  <c r="G171" i="9"/>
  <c r="H121" i="9"/>
  <c r="G170" i="9"/>
  <c r="H53" i="9"/>
  <c r="H123" i="9"/>
  <c r="H167" i="9"/>
  <c r="G26" i="9"/>
  <c r="G139" i="9"/>
  <c r="G154" i="9"/>
  <c r="G147" i="9"/>
  <c r="G34" i="9"/>
  <c r="H192" i="9"/>
  <c r="H130" i="9"/>
  <c r="G32" i="9"/>
  <c r="H17" i="9"/>
  <c r="G66" i="9"/>
  <c r="G194" i="9"/>
  <c r="G74" i="9"/>
  <c r="G187" i="9"/>
  <c r="G8" i="9"/>
  <c r="H97" i="9"/>
  <c r="H98" i="9"/>
  <c r="G82" i="9"/>
  <c r="G90" i="9"/>
  <c r="G151" i="9"/>
  <c r="G131" i="9"/>
  <c r="G72" i="9"/>
  <c r="H146" i="9"/>
  <c r="H125" i="9"/>
  <c r="H116" i="9"/>
  <c r="G137" i="9"/>
  <c r="G29" i="9"/>
  <c r="G161" i="9"/>
  <c r="G18" i="9"/>
  <c r="H105" i="9"/>
  <c r="G10" i="9"/>
  <c r="G138" i="9"/>
  <c r="G9" i="9"/>
  <c r="G48" i="9"/>
  <c r="H65" i="9"/>
  <c r="G140" i="9"/>
  <c r="G104" i="9"/>
  <c r="G81" i="9"/>
  <c r="H177" i="9"/>
  <c r="H120" i="9"/>
  <c r="G168" i="9"/>
  <c r="G144" i="9"/>
  <c r="H73" i="9"/>
  <c r="G40" i="9"/>
  <c r="G46" i="4"/>
  <c r="H80" i="9"/>
  <c r="H157" i="9"/>
  <c r="G89" i="9"/>
  <c r="G164" i="9"/>
  <c r="G16" i="9"/>
  <c r="G64" i="9"/>
  <c r="D50" i="8"/>
  <c r="G113" i="9"/>
  <c r="K19" i="11"/>
  <c r="M13" i="11"/>
  <c r="N13" i="11" s="1"/>
  <c r="O13" i="11" s="1"/>
  <c r="M18" i="11"/>
  <c r="N18" i="11" s="1"/>
  <c r="O18" i="11" s="1"/>
  <c r="K15" i="11"/>
  <c r="M12" i="11"/>
  <c r="N12" i="11" s="1"/>
  <c r="O12" i="11" s="1"/>
  <c r="M16" i="11"/>
  <c r="N16" i="11" s="1"/>
  <c r="O16" i="11" s="1"/>
  <c r="H41" i="9"/>
  <c r="H185" i="9"/>
  <c r="G191" i="9"/>
  <c r="G77" i="9"/>
  <c r="G149" i="9"/>
  <c r="G179" i="9"/>
  <c r="H181" i="9"/>
  <c r="G188" i="9"/>
  <c r="H152" i="9"/>
  <c r="G128" i="9"/>
  <c r="H193" i="9"/>
  <c r="H145" i="9"/>
  <c r="G176" i="9"/>
  <c r="H88" i="9"/>
  <c r="G88" i="9"/>
  <c r="H112" i="9"/>
  <c r="G112" i="9"/>
  <c r="H124" i="9"/>
  <c r="G124" i="9"/>
  <c r="H100" i="9"/>
  <c r="G100" i="9"/>
  <c r="H136" i="9"/>
  <c r="G136" i="9"/>
  <c r="H148" i="9"/>
  <c r="G148" i="9"/>
  <c r="H160" i="9"/>
  <c r="G160" i="9"/>
  <c r="H172" i="9"/>
  <c r="G172" i="9"/>
  <c r="H184" i="9"/>
  <c r="G184" i="9"/>
  <c r="H196" i="9"/>
  <c r="G196" i="9"/>
  <c r="F200" i="9"/>
  <c r="H7" i="9"/>
  <c r="H76" i="9"/>
  <c r="G76" i="9"/>
  <c r="D42" i="8"/>
  <c r="D20" i="8"/>
  <c r="G21" i="4"/>
  <c r="G62" i="4"/>
  <c r="H62" i="4" s="1"/>
  <c r="G6" i="4"/>
  <c r="J62" i="4" l="1"/>
  <c r="L62" i="4" s="1"/>
  <c r="I62" i="4"/>
  <c r="G49" i="4"/>
  <c r="M15" i="11"/>
  <c r="N15" i="11" s="1"/>
  <c r="O15" i="11" s="1"/>
  <c r="M19" i="11"/>
  <c r="N19" i="11" s="1"/>
  <c r="O19" i="11" s="1"/>
  <c r="J58" i="4"/>
  <c r="I58" i="4"/>
  <c r="G200" i="9"/>
  <c r="H200" i="9"/>
  <c r="D11" i="8"/>
  <c r="F6" i="4"/>
  <c r="V66" i="15"/>
  <c r="V57" i="15"/>
  <c r="V56" i="15"/>
  <c r="V55" i="15"/>
  <c r="V54" i="15"/>
  <c r="C200" i="9"/>
  <c r="B200" i="9"/>
  <c r="H4" i="9" l="1"/>
  <c r="C11" i="6"/>
  <c r="C26" i="6" s="1"/>
  <c r="U87" i="12"/>
  <c r="V73" i="12"/>
  <c r="V60" i="12"/>
  <c r="V71" i="12"/>
  <c r="V69" i="12"/>
  <c r="D18" i="16"/>
  <c r="D56" i="16"/>
  <c r="D49" i="16"/>
  <c r="D51" i="16" s="1"/>
  <c r="D42" i="16"/>
  <c r="C1" i="4"/>
  <c r="D55" i="16" l="1"/>
  <c r="D53" i="16" s="1"/>
  <c r="C69" i="5"/>
  <c r="C66" i="5"/>
  <c r="C65" i="5"/>
  <c r="C64" i="5"/>
  <c r="C63" i="5"/>
  <c r="C62" i="5"/>
  <c r="C60" i="5"/>
  <c r="C55" i="5"/>
  <c r="C53" i="5"/>
  <c r="C52" i="5"/>
  <c r="C48" i="5"/>
  <c r="C47" i="5"/>
  <c r="C46" i="5"/>
  <c r="C45" i="5"/>
  <c r="C43" i="5"/>
  <c r="C42" i="5"/>
  <c r="C31" i="5"/>
  <c r="C30" i="5"/>
  <c r="C29" i="5"/>
  <c r="C28" i="5"/>
  <c r="C20" i="5"/>
  <c r="C19" i="5"/>
  <c r="C18" i="5"/>
  <c r="D22" i="11" l="1"/>
  <c r="T110" i="12"/>
  <c r="O109" i="12"/>
  <c r="O106" i="12"/>
  <c r="I101" i="4"/>
  <c r="C64" i="8"/>
  <c r="C61" i="8"/>
  <c r="D69" i="5"/>
  <c r="E69" i="5" s="1"/>
  <c r="D66" i="5"/>
  <c r="E66" i="5" s="1"/>
  <c r="D65" i="5"/>
  <c r="E65" i="5" s="1"/>
  <c r="D64" i="5"/>
  <c r="E64" i="5" s="1"/>
  <c r="D63" i="5"/>
  <c r="E63" i="5" s="1"/>
  <c r="D62" i="5"/>
  <c r="E62" i="5" s="1"/>
  <c r="D60" i="5"/>
  <c r="E60" i="5" s="1"/>
  <c r="E50" i="5"/>
  <c r="D55" i="5"/>
  <c r="E55" i="5" s="1"/>
  <c r="D53" i="5"/>
  <c r="E53" i="5" s="1"/>
  <c r="D52" i="5"/>
  <c r="E52" i="5" s="1"/>
  <c r="D48" i="5"/>
  <c r="E48" i="5" s="1"/>
  <c r="D47" i="5"/>
  <c r="E47" i="5" s="1"/>
  <c r="D46" i="5"/>
  <c r="E46" i="5" s="1"/>
  <c r="D45" i="5"/>
  <c r="E45" i="5" s="1"/>
  <c r="D43" i="5"/>
  <c r="E43" i="5" s="1"/>
  <c r="D42" i="5"/>
  <c r="E42" i="5" s="1"/>
  <c r="D31" i="5"/>
  <c r="E31" i="5" s="1"/>
  <c r="D30" i="5"/>
  <c r="E30" i="5" s="1"/>
  <c r="D29" i="5"/>
  <c r="E29" i="5" s="1"/>
  <c r="D28" i="5"/>
  <c r="E28" i="5" s="1"/>
  <c r="D20" i="5"/>
  <c r="E20" i="5" s="1"/>
  <c r="D19" i="5"/>
  <c r="E19" i="5" s="1"/>
  <c r="D18" i="5"/>
  <c r="E18" i="5" s="1"/>
  <c r="F22" i="11"/>
  <c r="V35" i="12"/>
  <c r="V33" i="12"/>
  <c r="V32" i="12"/>
  <c r="V31" i="12"/>
  <c r="V63" i="15"/>
  <c r="V62" i="15"/>
  <c r="V61" i="15"/>
  <c r="V58" i="15"/>
  <c r="V7" i="15"/>
  <c r="V14" i="15"/>
  <c r="V15" i="15"/>
  <c r="V16" i="15"/>
  <c r="V17" i="15"/>
  <c r="V18" i="15"/>
  <c r="V19" i="15"/>
  <c r="V21" i="15"/>
  <c r="V23" i="15"/>
  <c r="V25" i="15"/>
  <c r="V26" i="15"/>
  <c r="V28" i="15"/>
  <c r="V29" i="15"/>
  <c r="V30" i="15"/>
  <c r="V31" i="15"/>
  <c r="V32" i="15"/>
  <c r="V33" i="15"/>
  <c r="V34" i="15"/>
  <c r="V35" i="15"/>
  <c r="V36" i="15"/>
  <c r="V37" i="15"/>
  <c r="V38" i="15"/>
  <c r="V39" i="15"/>
  <c r="V40" i="15"/>
  <c r="V45" i="15"/>
  <c r="V46" i="15"/>
  <c r="A8" i="8"/>
  <c r="B8" i="2"/>
  <c r="I85" i="4" l="1"/>
  <c r="K85" i="4" s="1"/>
  <c r="J82" i="4"/>
  <c r="L82" i="4" s="1"/>
  <c r="H37" i="4"/>
  <c r="J37" i="4" s="1"/>
  <c r="C28" i="6"/>
  <c r="C30" i="6" s="1"/>
  <c r="C35" i="6" s="1"/>
  <c r="A11" i="14"/>
  <c r="B8" i="14"/>
  <c r="A8" i="14"/>
  <c r="U6" i="14"/>
  <c r="S6" i="14"/>
  <c r="Q6" i="14"/>
  <c r="P6" i="14"/>
  <c r="B6" i="14"/>
  <c r="A6" i="14"/>
  <c r="T88" i="12"/>
  <c r="T89" i="12" s="1"/>
  <c r="T90" i="12" s="1"/>
  <c r="T91" i="12" s="1"/>
  <c r="T92" i="12" s="1"/>
  <c r="T93" i="12" s="1"/>
  <c r="T94" i="12" s="1"/>
  <c r="T95" i="12" s="1"/>
  <c r="T96" i="12" s="1"/>
  <c r="T97" i="12" s="1"/>
  <c r="T98" i="12" s="1"/>
  <c r="T99" i="12" s="1"/>
  <c r="T100" i="12" s="1"/>
  <c r="T101" i="12" s="1"/>
  <c r="T102" i="12" s="1"/>
  <c r="U84" i="12"/>
  <c r="U58" i="12"/>
  <c r="U59" i="12" s="1"/>
  <c r="U60" i="12" s="1"/>
  <c r="U61" i="12" s="1"/>
  <c r="U55" i="12"/>
  <c r="U56" i="12" s="1"/>
  <c r="H484" i="10"/>
  <c r="F484" i="10"/>
  <c r="G432" i="10"/>
  <c r="F432" i="10"/>
  <c r="E432" i="10"/>
  <c r="H321" i="10"/>
  <c r="G321" i="10"/>
  <c r="F321" i="10"/>
  <c r="E321" i="10"/>
  <c r="J201" i="10"/>
  <c r="J200" i="10"/>
  <c r="J199" i="10"/>
  <c r="J198" i="10"/>
  <c r="J197" i="10"/>
  <c r="J196" i="10"/>
  <c r="J195" i="10"/>
  <c r="J194" i="10"/>
  <c r="J193" i="10"/>
  <c r="J192" i="10"/>
  <c r="J191" i="10"/>
  <c r="J190" i="10"/>
  <c r="J189" i="10"/>
  <c r="J187" i="10"/>
  <c r="J186" i="10"/>
  <c r="J185" i="10"/>
  <c r="J184" i="10"/>
  <c r="J183" i="10"/>
  <c r="J182" i="10"/>
  <c r="J181" i="10"/>
  <c r="J180" i="10"/>
  <c r="J179" i="10"/>
  <c r="D178" i="10"/>
  <c r="J178" i="10" s="1"/>
  <c r="J177" i="10"/>
  <c r="I171" i="10"/>
  <c r="H171" i="10"/>
  <c r="J170" i="10"/>
  <c r="J169" i="10"/>
  <c r="J167" i="10"/>
  <c r="J166" i="10"/>
  <c r="J165" i="10"/>
  <c r="J164" i="10"/>
  <c r="J163" i="10"/>
  <c r="J162" i="10"/>
  <c r="J160" i="10"/>
  <c r="J159" i="10"/>
  <c r="G157" i="10"/>
  <c r="J156" i="10"/>
  <c r="J155" i="10"/>
  <c r="J154" i="10"/>
  <c r="J153" i="10"/>
  <c r="J152" i="10"/>
  <c r="J151" i="10"/>
  <c r="J150" i="10"/>
  <c r="J149" i="10"/>
  <c r="J148" i="10"/>
  <c r="J146" i="10"/>
  <c r="J145" i="10"/>
  <c r="G105" i="10"/>
  <c r="I102" i="10"/>
  <c r="I105" i="10" s="1"/>
  <c r="D10" i="10"/>
  <c r="D9" i="10"/>
  <c r="D8" i="10"/>
  <c r="A1" i="9"/>
  <c r="C49" i="8"/>
  <c r="C45" i="8"/>
  <c r="C37" i="8"/>
  <c r="C29" i="8"/>
  <c r="C17" i="8"/>
  <c r="C27" i="8" s="1"/>
  <c r="D7" i="8"/>
  <c r="I23" i="7"/>
  <c r="I22" i="7"/>
  <c r="I20" i="7"/>
  <c r="H17" i="7"/>
  <c r="I17" i="7" s="1"/>
  <c r="G16" i="7"/>
  <c r="G18" i="7" s="1"/>
  <c r="F16" i="7"/>
  <c r="E16" i="7"/>
  <c r="E18" i="7" s="1"/>
  <c r="E24" i="7" s="1"/>
  <c r="D16" i="7"/>
  <c r="H15" i="7"/>
  <c r="I15" i="7" s="1"/>
  <c r="H14" i="7"/>
  <c r="I14" i="7" s="1"/>
  <c r="H13" i="7"/>
  <c r="I13" i="7" s="1"/>
  <c r="H12" i="7"/>
  <c r="I12" i="7" s="1"/>
  <c r="I11" i="7"/>
  <c r="H10" i="7"/>
  <c r="I10" i="7" s="1"/>
  <c r="H9" i="7"/>
  <c r="I9" i="7" s="1"/>
  <c r="I6" i="7"/>
  <c r="C8" i="6"/>
  <c r="C7" i="6"/>
  <c r="D6" i="6"/>
  <c r="B77" i="5"/>
  <c r="B64" i="8" s="1"/>
  <c r="B74" i="5"/>
  <c r="B42" i="6" s="1"/>
  <c r="D4" i="5"/>
  <c r="D8" i="5" s="1"/>
  <c r="D8" i="6" s="1"/>
  <c r="A4" i="5"/>
  <c r="E101" i="4"/>
  <c r="H8" i="7"/>
  <c r="C67" i="5"/>
  <c r="C61" i="5"/>
  <c r="C8" i="7" s="1"/>
  <c r="C16" i="7" s="1"/>
  <c r="C24" i="7" s="1"/>
  <c r="C54" i="5"/>
  <c r="C51" i="5"/>
  <c r="C41" i="5"/>
  <c r="C44" i="5"/>
  <c r="V88" i="12"/>
  <c r="C40" i="5"/>
  <c r="C38" i="5"/>
  <c r="F147" i="10"/>
  <c r="G161" i="10"/>
  <c r="E103" i="10"/>
  <c r="B3" i="10"/>
  <c r="A1" i="3"/>
  <c r="W41" i="2"/>
  <c r="C77" i="5" s="1"/>
  <c r="C45" i="6" s="1"/>
  <c r="W39" i="2"/>
  <c r="A18" i="2"/>
  <c r="Q7" i="2" s="1"/>
  <c r="T12" i="2"/>
  <c r="J5" i="2"/>
  <c r="L9" i="12" s="1"/>
  <c r="L6" i="14" s="1"/>
  <c r="I5" i="2"/>
  <c r="K9" i="12" s="1"/>
  <c r="K6" i="14" s="1"/>
  <c r="H5" i="2"/>
  <c r="J9" i="12" s="1"/>
  <c r="J6" i="14" s="1"/>
  <c r="G5" i="2"/>
  <c r="I9" i="12" s="1"/>
  <c r="I6" i="14" s="1"/>
  <c r="F5" i="2"/>
  <c r="H9" i="12" s="1"/>
  <c r="H6" i="14" s="1"/>
  <c r="E5" i="2"/>
  <c r="G9" i="12" s="1"/>
  <c r="G6" i="14" s="1"/>
  <c r="D5" i="2"/>
  <c r="F9" i="12" s="1"/>
  <c r="F6" i="14" s="1"/>
  <c r="E9" i="1"/>
  <c r="D9" i="1"/>
  <c r="A19" i="2" s="1"/>
  <c r="Q8" i="2" s="1"/>
  <c r="C9" i="1"/>
  <c r="H22" i="11" l="1"/>
  <c r="G22" i="11"/>
  <c r="C56" i="5"/>
  <c r="C43" i="8"/>
  <c r="C16" i="5"/>
  <c r="C54" i="8"/>
  <c r="C56" i="8" s="1"/>
  <c r="J85" i="4"/>
  <c r="L85" i="4" s="1"/>
  <c r="I90" i="4"/>
  <c r="K90" i="4" s="1"/>
  <c r="V44" i="15" s="1"/>
  <c r="J93" i="4"/>
  <c r="L93" i="4" s="1"/>
  <c r="H57" i="4"/>
  <c r="I57" i="4" s="1"/>
  <c r="V28" i="12"/>
  <c r="I66" i="4"/>
  <c r="K66" i="4" s="1"/>
  <c r="H48" i="4"/>
  <c r="I48" i="4" s="1"/>
  <c r="H53" i="4"/>
  <c r="I53" i="4" s="1"/>
  <c r="J63" i="4"/>
  <c r="L63" i="4" s="1"/>
  <c r="V34" i="12" s="1"/>
  <c r="I67" i="4"/>
  <c r="K67" i="4" s="1"/>
  <c r="H6" i="4"/>
  <c r="I6" i="4" s="1"/>
  <c r="H51" i="4"/>
  <c r="J51" i="4" s="1"/>
  <c r="V91" i="12"/>
  <c r="J71" i="4"/>
  <c r="L71" i="4" s="1"/>
  <c r="J94" i="4"/>
  <c r="L94" i="4" s="1"/>
  <c r="J70" i="4"/>
  <c r="L70" i="4" s="1"/>
  <c r="H54" i="4"/>
  <c r="I54" i="4" s="1"/>
  <c r="I60" i="4"/>
  <c r="J64" i="4"/>
  <c r="L64" i="4" s="1"/>
  <c r="I68" i="4"/>
  <c r="K68" i="4" s="1"/>
  <c r="I91" i="4"/>
  <c r="K91" i="4" s="1"/>
  <c r="I74" i="4"/>
  <c r="K74" i="4" s="1"/>
  <c r="H40" i="4"/>
  <c r="I40" i="4" s="1"/>
  <c r="I75" i="4"/>
  <c r="K75" i="4" s="1"/>
  <c r="H41" i="4"/>
  <c r="J41" i="4" s="1"/>
  <c r="C39" i="5"/>
  <c r="J76" i="4"/>
  <c r="L76" i="4" s="1"/>
  <c r="I82" i="4"/>
  <c r="K82" i="4" s="1"/>
  <c r="J95" i="4"/>
  <c r="L95" i="4" s="1"/>
  <c r="H42" i="4"/>
  <c r="I42" i="4" s="1"/>
  <c r="H56" i="4"/>
  <c r="J56" i="4" s="1"/>
  <c r="J79" i="4"/>
  <c r="L79" i="4" s="1"/>
  <c r="I79" i="4"/>
  <c r="K79" i="4" s="1"/>
  <c r="V11" i="15" s="1"/>
  <c r="J89" i="4"/>
  <c r="L89" i="4" s="1"/>
  <c r="I89" i="4"/>
  <c r="K89" i="4" s="1"/>
  <c r="V43" i="15" s="1"/>
  <c r="I83" i="4"/>
  <c r="K83" i="4" s="1"/>
  <c r="J83" i="4"/>
  <c r="L83" i="4" s="1"/>
  <c r="J86" i="4"/>
  <c r="L86" i="4" s="1"/>
  <c r="I86" i="4"/>
  <c r="K86" i="4" s="1"/>
  <c r="V22" i="15" s="1"/>
  <c r="H38" i="4"/>
  <c r="J87" i="4"/>
  <c r="L87" i="4" s="1"/>
  <c r="I87" i="4"/>
  <c r="K87" i="4" s="1"/>
  <c r="H46" i="4"/>
  <c r="H49" i="4"/>
  <c r="I84" i="4"/>
  <c r="K84" i="4" s="1"/>
  <c r="J84" i="4"/>
  <c r="L84" i="4" s="1"/>
  <c r="H10" i="4"/>
  <c r="H14" i="4"/>
  <c r="F66" i="10"/>
  <c r="F70" i="10" s="1"/>
  <c r="H18" i="4"/>
  <c r="C15" i="5"/>
  <c r="H22" i="4"/>
  <c r="H26" i="4"/>
  <c r="C27" i="5"/>
  <c r="H30" i="4"/>
  <c r="H34" i="4"/>
  <c r="I81" i="4"/>
  <c r="K81" i="4" s="1"/>
  <c r="J81" i="4"/>
  <c r="L81" i="4" s="1"/>
  <c r="H39" i="4"/>
  <c r="H43" i="4"/>
  <c r="H7" i="4"/>
  <c r="H11" i="4"/>
  <c r="H15" i="4"/>
  <c r="C17" i="5"/>
  <c r="H19" i="4"/>
  <c r="H23" i="4"/>
  <c r="H27" i="4"/>
  <c r="C26" i="5"/>
  <c r="H31" i="4"/>
  <c r="H35" i="4"/>
  <c r="H47" i="4"/>
  <c r="H50" i="4"/>
  <c r="H44" i="4"/>
  <c r="H8" i="4"/>
  <c r="H12" i="4"/>
  <c r="H16" i="4"/>
  <c r="H20" i="4"/>
  <c r="E102" i="10"/>
  <c r="H24" i="4"/>
  <c r="C25" i="5"/>
  <c r="H28" i="4"/>
  <c r="H32" i="4"/>
  <c r="H36" i="4"/>
  <c r="J88" i="4"/>
  <c r="L88" i="4" s="1"/>
  <c r="I88" i="4"/>
  <c r="K88" i="4" s="1"/>
  <c r="V42" i="15" s="1"/>
  <c r="H45" i="4"/>
  <c r="J80" i="4"/>
  <c r="L80" i="4" s="1"/>
  <c r="I80" i="4"/>
  <c r="K80" i="4" s="1"/>
  <c r="H9" i="4"/>
  <c r="H13" i="4"/>
  <c r="H17" i="4"/>
  <c r="C14" i="5"/>
  <c r="H21" i="4"/>
  <c r="H25" i="4"/>
  <c r="C24" i="5"/>
  <c r="H29" i="4"/>
  <c r="H33" i="4"/>
  <c r="I37" i="4"/>
  <c r="M37" i="4" s="1"/>
  <c r="N37" i="4" s="1"/>
  <c r="C12" i="5"/>
  <c r="D10" i="8"/>
  <c r="D49" i="8"/>
  <c r="D45" i="8"/>
  <c r="D37" i="8"/>
  <c r="D29" i="8"/>
  <c r="D17" i="8"/>
  <c r="C37" i="5"/>
  <c r="C23" i="5"/>
  <c r="C13" i="5"/>
  <c r="F42" i="10"/>
  <c r="C11" i="5"/>
  <c r="C74" i="5"/>
  <c r="C42" i="6"/>
  <c r="H16" i="7"/>
  <c r="V10" i="15"/>
  <c r="F98" i="4"/>
  <c r="G98" i="4"/>
  <c r="C109" i="12"/>
  <c r="B45" i="6"/>
  <c r="B30" i="7"/>
  <c r="B61" i="8"/>
  <c r="C70" i="5"/>
  <c r="Q14" i="2"/>
  <c r="E98" i="4"/>
  <c r="B4" i="7"/>
  <c r="A5" i="8" s="1"/>
  <c r="J147" i="10"/>
  <c r="F157" i="10"/>
  <c r="J157" i="10" s="1"/>
  <c r="G168" i="10"/>
  <c r="U64" i="12"/>
  <c r="U65" i="12" s="1"/>
  <c r="U66" i="12" s="1"/>
  <c r="U67" i="12" s="1"/>
  <c r="U68" i="12" s="1"/>
  <c r="F161" i="10"/>
  <c r="F168" i="10" s="1"/>
  <c r="F171" i="10" s="1"/>
  <c r="I4" i="7"/>
  <c r="A4" i="6"/>
  <c r="B27" i="7"/>
  <c r="F43" i="10"/>
  <c r="C106" i="12"/>
  <c r="E104" i="10"/>
  <c r="S9" i="12"/>
  <c r="R6" i="14" s="1"/>
  <c r="I8" i="7"/>
  <c r="I16" i="7" s="1"/>
  <c r="D18" i="7"/>
  <c r="D4" i="6"/>
  <c r="F18" i="7"/>
  <c r="F24" i="7" s="1"/>
  <c r="H4" i="10"/>
  <c r="D188" i="10"/>
  <c r="J188" i="10" s="1"/>
  <c r="D98" i="4"/>
  <c r="C44" i="8"/>
  <c r="V41" i="15" l="1"/>
  <c r="J90" i="4"/>
  <c r="L90" i="4" s="1"/>
  <c r="I93" i="4"/>
  <c r="K93" i="4" s="1"/>
  <c r="I18" i="7"/>
  <c r="C49" i="5"/>
  <c r="I51" i="4"/>
  <c r="M51" i="4" s="1"/>
  <c r="J91" i="4"/>
  <c r="L91" i="4" s="1"/>
  <c r="M58" i="4"/>
  <c r="J53" i="4"/>
  <c r="M53" i="4" s="1"/>
  <c r="J42" i="4"/>
  <c r="M42" i="4" s="1"/>
  <c r="J48" i="4"/>
  <c r="M48" i="4" s="1"/>
  <c r="O48" i="4" s="1"/>
  <c r="J57" i="4"/>
  <c r="M57" i="4" s="1"/>
  <c r="J66" i="4"/>
  <c r="L66" i="4" s="1"/>
  <c r="I41" i="4"/>
  <c r="M41" i="4" s="1"/>
  <c r="I71" i="4"/>
  <c r="K71" i="4" s="1"/>
  <c r="V13" i="15" s="1"/>
  <c r="J74" i="4"/>
  <c r="L74" i="4" s="1"/>
  <c r="I94" i="4"/>
  <c r="K94" i="4" s="1"/>
  <c r="V64" i="15" s="1"/>
  <c r="J67" i="4"/>
  <c r="L67" i="4" s="1"/>
  <c r="I63" i="4"/>
  <c r="J68" i="4"/>
  <c r="L68" i="4" s="1"/>
  <c r="V39" i="12"/>
  <c r="W4" i="15" s="1"/>
  <c r="O37" i="4"/>
  <c r="P37" i="4"/>
  <c r="V27" i="12"/>
  <c r="I70" i="4"/>
  <c r="K70" i="4" s="1"/>
  <c r="V5" i="15" s="1"/>
  <c r="I64" i="4"/>
  <c r="I76" i="4"/>
  <c r="K76" i="4" s="1"/>
  <c r="H415" i="10" s="1"/>
  <c r="I56" i="4"/>
  <c r="M56" i="4" s="1"/>
  <c r="O56" i="4" s="1"/>
  <c r="J60" i="4"/>
  <c r="M60" i="4" s="1"/>
  <c r="J54" i="4"/>
  <c r="J75" i="4"/>
  <c r="L75" i="4" s="1"/>
  <c r="J40" i="4"/>
  <c r="M40" i="4" s="1"/>
  <c r="C32" i="5"/>
  <c r="I95" i="4"/>
  <c r="J9" i="4"/>
  <c r="I9" i="4"/>
  <c r="J20" i="4"/>
  <c r="I20" i="4"/>
  <c r="I65" i="4"/>
  <c r="J65" i="4"/>
  <c r="L65" i="4" s="1"/>
  <c r="J27" i="4"/>
  <c r="I27" i="4"/>
  <c r="I39" i="4"/>
  <c r="J39" i="4"/>
  <c r="I16" i="4"/>
  <c r="J16" i="4"/>
  <c r="J61" i="4"/>
  <c r="I61" i="4"/>
  <c r="J23" i="4"/>
  <c r="I23" i="4"/>
  <c r="J18" i="4"/>
  <c r="I18" i="4"/>
  <c r="J69" i="4"/>
  <c r="L69" i="4" s="1"/>
  <c r="I69" i="4"/>
  <c r="K69" i="4" s="1"/>
  <c r="H411" i="10" s="1"/>
  <c r="I12" i="4"/>
  <c r="J12" i="4"/>
  <c r="J72" i="4"/>
  <c r="L72" i="4" s="1"/>
  <c r="I72" i="4"/>
  <c r="K72" i="4" s="1"/>
  <c r="H430" i="10" s="1"/>
  <c r="I8" i="4"/>
  <c r="J8" i="4"/>
  <c r="J19" i="4"/>
  <c r="I19" i="4"/>
  <c r="J14" i="4"/>
  <c r="I14" i="4"/>
  <c r="I38" i="4"/>
  <c r="J38" i="4"/>
  <c r="J33" i="4"/>
  <c r="I33" i="4"/>
  <c r="I97" i="4"/>
  <c r="K97" i="4" s="1"/>
  <c r="J97" i="4"/>
  <c r="L97" i="4" s="1"/>
  <c r="J6" i="4"/>
  <c r="M6" i="4" s="1"/>
  <c r="I29" i="4"/>
  <c r="J29" i="4"/>
  <c r="J78" i="4"/>
  <c r="L78" i="4" s="1"/>
  <c r="I78" i="4"/>
  <c r="K78" i="4" s="1"/>
  <c r="V12" i="15" s="1"/>
  <c r="I15" i="4"/>
  <c r="J15" i="4"/>
  <c r="I13" i="4"/>
  <c r="J13" i="4"/>
  <c r="I10" i="4"/>
  <c r="J10" i="4"/>
  <c r="I36" i="4"/>
  <c r="J36" i="4"/>
  <c r="J77" i="4"/>
  <c r="L77" i="4" s="1"/>
  <c r="I77" i="4"/>
  <c r="K77" i="4" s="1"/>
  <c r="H414" i="10" s="1"/>
  <c r="J11" i="4"/>
  <c r="I11" i="4"/>
  <c r="I25" i="4"/>
  <c r="J25" i="4"/>
  <c r="J32" i="4"/>
  <c r="I32" i="4"/>
  <c r="J50" i="4"/>
  <c r="I50" i="4"/>
  <c r="J34" i="4"/>
  <c r="I34" i="4"/>
  <c r="I44" i="4"/>
  <c r="J44" i="4"/>
  <c r="J7" i="4"/>
  <c r="I7" i="4"/>
  <c r="J21" i="4"/>
  <c r="I21" i="4"/>
  <c r="J28" i="4"/>
  <c r="I28" i="4"/>
  <c r="J47" i="4"/>
  <c r="I47" i="4"/>
  <c r="J30" i="4"/>
  <c r="I30" i="4"/>
  <c r="I45" i="4"/>
  <c r="J45" i="4"/>
  <c r="J96" i="4"/>
  <c r="L96" i="4" s="1"/>
  <c r="I96" i="4"/>
  <c r="J35" i="4"/>
  <c r="I35" i="4"/>
  <c r="J49" i="4"/>
  <c r="I49" i="4"/>
  <c r="I17" i="4"/>
  <c r="J17" i="4"/>
  <c r="I24" i="4"/>
  <c r="J24" i="4"/>
  <c r="J73" i="4"/>
  <c r="L73" i="4" s="1"/>
  <c r="I73" i="4"/>
  <c r="K73" i="4" s="1"/>
  <c r="J31" i="4"/>
  <c r="I31" i="4"/>
  <c r="I26" i="4"/>
  <c r="J26" i="4"/>
  <c r="J46" i="4"/>
  <c r="I46" i="4"/>
  <c r="J43" i="4"/>
  <c r="I43" i="4"/>
  <c r="J22" i="4"/>
  <c r="I22" i="4"/>
  <c r="F45" i="10"/>
  <c r="D54" i="8"/>
  <c r="D27" i="8"/>
  <c r="D43" i="8"/>
  <c r="V20" i="15"/>
  <c r="V47" i="15"/>
  <c r="C58" i="8"/>
  <c r="D57" i="8"/>
  <c r="H431" i="10"/>
  <c r="V8" i="15"/>
  <c r="H412" i="10"/>
  <c r="J161" i="10"/>
  <c r="G99" i="4"/>
  <c r="H410" i="10"/>
  <c r="H426" i="10"/>
  <c r="V24" i="15"/>
  <c r="H421" i="10"/>
  <c r="V9" i="15"/>
  <c r="E99" i="4"/>
  <c r="C21" i="5"/>
  <c r="J168" i="10"/>
  <c r="G171" i="10"/>
  <c r="J171" i="10" s="1"/>
  <c r="D24" i="7"/>
  <c r="B16" i="7"/>
  <c r="B8" i="7"/>
  <c r="D5" i="8"/>
  <c r="B24" i="7"/>
  <c r="V65" i="15" l="1"/>
  <c r="M61" i="4"/>
  <c r="O53" i="4"/>
  <c r="D44" i="5" s="1"/>
  <c r="E44" i="5" s="1"/>
  <c r="N53" i="4"/>
  <c r="N51" i="4"/>
  <c r="U101" i="12" s="1"/>
  <c r="D24" i="16"/>
  <c r="D21" i="6"/>
  <c r="C57" i="5"/>
  <c r="C71" i="5" s="1"/>
  <c r="V60" i="15"/>
  <c r="M22" i="4"/>
  <c r="M30" i="4"/>
  <c r="N57" i="4"/>
  <c r="O57" i="4"/>
  <c r="D54" i="5" s="1"/>
  <c r="E54" i="5" s="1"/>
  <c r="H440" i="10"/>
  <c r="H441" i="10" s="1"/>
  <c r="M43" i="4"/>
  <c r="M13" i="4"/>
  <c r="M35" i="4"/>
  <c r="M21" i="4"/>
  <c r="M34" i="4"/>
  <c r="M47" i="4"/>
  <c r="M50" i="4"/>
  <c r="O50" i="4" s="1"/>
  <c r="V4" i="15"/>
  <c r="M8" i="4"/>
  <c r="N8" i="4" s="1"/>
  <c r="M16" i="4"/>
  <c r="M27" i="4"/>
  <c r="M31" i="4"/>
  <c r="M7" i="4"/>
  <c r="M11" i="4"/>
  <c r="N11" i="4" s="1"/>
  <c r="N60" i="4"/>
  <c r="O60" i="4"/>
  <c r="D67" i="5" s="1"/>
  <c r="E67" i="5" s="1"/>
  <c r="O6" i="4"/>
  <c r="N6" i="4"/>
  <c r="P6" i="4" s="1"/>
  <c r="M17" i="4"/>
  <c r="N17" i="4" s="1"/>
  <c r="M46" i="4"/>
  <c r="O46" i="4" s="1"/>
  <c r="M49" i="4"/>
  <c r="O49" i="4" s="1"/>
  <c r="M28" i="4"/>
  <c r="N28" i="4" s="1"/>
  <c r="M32" i="4"/>
  <c r="N32" i="4" s="1"/>
  <c r="M12" i="4"/>
  <c r="N12" i="4" s="1"/>
  <c r="M39" i="4"/>
  <c r="N42" i="4"/>
  <c r="P42" i="4" s="1"/>
  <c r="O42" i="4"/>
  <c r="M38" i="4"/>
  <c r="M26" i="4"/>
  <c r="N26" i="4" s="1"/>
  <c r="M25" i="4"/>
  <c r="N25" i="4" s="1"/>
  <c r="M15" i="4"/>
  <c r="N15" i="4" s="1"/>
  <c r="M14" i="4"/>
  <c r="N14" i="4" s="1"/>
  <c r="M18" i="4"/>
  <c r="N18" i="4" s="1"/>
  <c r="M19" i="4"/>
  <c r="N19" i="4" s="1"/>
  <c r="M23" i="4"/>
  <c r="N23" i="4" s="1"/>
  <c r="M20" i="4"/>
  <c r="N20" i="4" s="1"/>
  <c r="N56" i="4"/>
  <c r="D51" i="5"/>
  <c r="O41" i="4"/>
  <c r="N41" i="4"/>
  <c r="P41" i="4" s="1"/>
  <c r="M45" i="4"/>
  <c r="O45" i="4" s="1"/>
  <c r="M44" i="4"/>
  <c r="O44" i="4" s="1"/>
  <c r="M29" i="4"/>
  <c r="N29" i="4" s="1"/>
  <c r="M9" i="4"/>
  <c r="N9" i="4" s="1"/>
  <c r="D40" i="5"/>
  <c r="E40" i="5" s="1"/>
  <c r="N48" i="4"/>
  <c r="M24" i="4"/>
  <c r="N24" i="4" s="1"/>
  <c r="M36" i="4"/>
  <c r="N36" i="4" s="1"/>
  <c r="O40" i="4"/>
  <c r="N40" i="4"/>
  <c r="P40" i="4" s="1"/>
  <c r="N58" i="4"/>
  <c r="O58" i="4"/>
  <c r="D61" i="5" s="1"/>
  <c r="E61" i="5" s="1"/>
  <c r="M54" i="4"/>
  <c r="O54" i="4" s="1"/>
  <c r="M10" i="4"/>
  <c r="N10" i="4" s="1"/>
  <c r="M33" i="4"/>
  <c r="N33" i="4" s="1"/>
  <c r="C33" i="5"/>
  <c r="J98" i="4"/>
  <c r="L98" i="4"/>
  <c r="I98" i="4"/>
  <c r="V6" i="15"/>
  <c r="D56" i="8"/>
  <c r="V27" i="15"/>
  <c r="H422" i="10"/>
  <c r="H432" i="10" s="1"/>
  <c r="J22" i="11"/>
  <c r="L22" i="11" s="1"/>
  <c r="I22" i="11"/>
  <c r="O30" i="4" l="1"/>
  <c r="N30" i="4"/>
  <c r="D27" i="5" s="1"/>
  <c r="E27" i="5" s="1"/>
  <c r="N7" i="4"/>
  <c r="H43" i="10" s="1"/>
  <c r="O31" i="4"/>
  <c r="N31" i="4"/>
  <c r="P31" i="4" s="1"/>
  <c r="O16" i="4"/>
  <c r="N16" i="4"/>
  <c r="P16" i="4" s="1"/>
  <c r="O22" i="4"/>
  <c r="N22" i="4"/>
  <c r="P22" i="4" s="1"/>
  <c r="N34" i="4"/>
  <c r="P34" i="4" s="1"/>
  <c r="O21" i="4"/>
  <c r="N21" i="4"/>
  <c r="P21" i="4" s="1"/>
  <c r="O35" i="4"/>
  <c r="N35" i="4"/>
  <c r="P35" i="4" s="1"/>
  <c r="N13" i="4"/>
  <c r="P13" i="4" s="1"/>
  <c r="O27" i="4"/>
  <c r="N27" i="4"/>
  <c r="P27" i="4" s="1"/>
  <c r="O47" i="4"/>
  <c r="D38" i="5" s="1"/>
  <c r="E38" i="5" s="1"/>
  <c r="D22" i="16"/>
  <c r="V26" i="12"/>
  <c r="V25" i="12"/>
  <c r="D56" i="5"/>
  <c r="V67" i="15"/>
  <c r="V41" i="12" s="1"/>
  <c r="C78" i="5"/>
  <c r="E51" i="5"/>
  <c r="O13" i="4"/>
  <c r="O34" i="4"/>
  <c r="N43" i="4"/>
  <c r="P43" i="4" s="1"/>
  <c r="O43" i="4"/>
  <c r="N50" i="4"/>
  <c r="O7" i="4"/>
  <c r="O11" i="4"/>
  <c r="O8" i="4"/>
  <c r="N47" i="4"/>
  <c r="O12" i="4"/>
  <c r="O25" i="4"/>
  <c r="P25" i="4"/>
  <c r="O32" i="4"/>
  <c r="O28" i="4"/>
  <c r="O36" i="4"/>
  <c r="P36" i="4"/>
  <c r="O29" i="4"/>
  <c r="O24" i="4"/>
  <c r="P24" i="4"/>
  <c r="N46" i="4"/>
  <c r="G21" i="7"/>
  <c r="G24" i="7" s="1"/>
  <c r="N44" i="4"/>
  <c r="N45" i="4"/>
  <c r="O26" i="4"/>
  <c r="P26" i="4"/>
  <c r="N49" i="4"/>
  <c r="N54" i="4"/>
  <c r="O17" i="4"/>
  <c r="H69" i="10"/>
  <c r="O38" i="4"/>
  <c r="N38" i="4"/>
  <c r="P38" i="4" s="1"/>
  <c r="O33" i="4"/>
  <c r="P33" i="4"/>
  <c r="O10" i="4"/>
  <c r="P20" i="4"/>
  <c r="O20" i="4"/>
  <c r="H66" i="10"/>
  <c r="O18" i="4"/>
  <c r="P23" i="4"/>
  <c r="O23" i="4"/>
  <c r="O14" i="4"/>
  <c r="H81" i="10"/>
  <c r="H82" i="10" s="1"/>
  <c r="O19" i="4"/>
  <c r="O9" i="4"/>
  <c r="O15" i="4"/>
  <c r="O39" i="4"/>
  <c r="N39" i="4"/>
  <c r="P39" i="4" s="1"/>
  <c r="J99" i="4"/>
  <c r="H42" i="10"/>
  <c r="V48" i="15"/>
  <c r="K22" i="11"/>
  <c r="D14" i="5" l="1"/>
  <c r="E14" i="5" s="1"/>
  <c r="P7" i="4"/>
  <c r="H45" i="10"/>
  <c r="D11" i="5"/>
  <c r="E11" i="5" s="1"/>
  <c r="D10" i="16"/>
  <c r="D9" i="16" s="1"/>
  <c r="V43" i="12" s="1"/>
  <c r="E56" i="5"/>
  <c r="D15" i="5"/>
  <c r="E15" i="5" s="1"/>
  <c r="P30" i="4"/>
  <c r="D23" i="5"/>
  <c r="E23" i="5" s="1"/>
  <c r="D26" i="5"/>
  <c r="E26" i="5" s="1"/>
  <c r="D17" i="5"/>
  <c r="E17" i="5" s="1"/>
  <c r="H70" i="10"/>
  <c r="P15" i="4"/>
  <c r="D13" i="5"/>
  <c r="E13" i="5" s="1"/>
  <c r="D41" i="5"/>
  <c r="E41" i="5" s="1"/>
  <c r="H284" i="10"/>
  <c r="H287" i="10" s="1"/>
  <c r="P12" i="4"/>
  <c r="D12" i="5"/>
  <c r="E12" i="5" s="1"/>
  <c r="P19" i="4"/>
  <c r="D24" i="5"/>
  <c r="E24" i="5" s="1"/>
  <c r="P29" i="4"/>
  <c r="I21" i="7"/>
  <c r="P32" i="4"/>
  <c r="P14" i="4"/>
  <c r="D61" i="10"/>
  <c r="P28" i="4"/>
  <c r="D25" i="5"/>
  <c r="E25" i="5" s="1"/>
  <c r="D37" i="5"/>
  <c r="E37" i="5" s="1"/>
  <c r="D16" i="5"/>
  <c r="E16" i="5" s="1"/>
  <c r="N98" i="4"/>
  <c r="P18" i="4"/>
  <c r="W49" i="15"/>
  <c r="V69" i="15"/>
  <c r="N22" i="11"/>
  <c r="M22" i="11"/>
  <c r="D9" i="6" l="1"/>
  <c r="D58" i="8"/>
  <c r="D65" i="8" s="1"/>
  <c r="D66" i="8" s="1"/>
  <c r="O22" i="11"/>
  <c r="D19" i="6"/>
  <c r="D14" i="6"/>
  <c r="V62" i="12" s="1"/>
  <c r="D18" i="6"/>
  <c r="D23" i="6"/>
  <c r="D25" i="6"/>
  <c r="D32" i="5"/>
  <c r="D10" i="6"/>
  <c r="D20" i="6"/>
  <c r="D17" i="6"/>
  <c r="D16" i="6"/>
  <c r="V37" i="12" s="1"/>
  <c r="D21" i="5"/>
  <c r="D13" i="6"/>
  <c r="V65" i="12" s="1"/>
  <c r="D22" i="6"/>
  <c r="D12" i="6"/>
  <c r="V30" i="12" s="1"/>
  <c r="D15" i="6"/>
  <c r="V61" i="12" s="1"/>
  <c r="V24" i="12" s="1"/>
  <c r="D24" i="6"/>
  <c r="V22" i="12" l="1"/>
  <c r="V55" i="12"/>
  <c r="D14" i="16" s="1"/>
  <c r="D12" i="16" s="1"/>
  <c r="D33" i="5"/>
  <c r="D11" i="6"/>
  <c r="D26" i="6" s="1"/>
  <c r="D7" i="16" s="1"/>
  <c r="V66" i="12"/>
  <c r="V74" i="12" s="1"/>
  <c r="V40" i="12"/>
  <c r="V38" i="12" s="1"/>
  <c r="V42" i="12" l="1"/>
  <c r="W42" i="12" s="1"/>
  <c r="V44" i="12"/>
  <c r="V45" i="12" s="1"/>
  <c r="V47" i="12" s="1"/>
  <c r="V49" i="12" s="1"/>
  <c r="D16" i="16"/>
  <c r="D26" i="16" s="1"/>
  <c r="D30" i="16" s="1"/>
  <c r="D31" i="16" l="1"/>
  <c r="D36" i="16" s="1"/>
  <c r="D27" i="6" s="1"/>
  <c r="K95" i="4" s="1"/>
  <c r="O51" i="4" s="1"/>
  <c r="V50" i="12" l="1"/>
  <c r="V52" i="12" s="1"/>
  <c r="V84" i="12" s="1"/>
  <c r="V89" i="12" s="1"/>
  <c r="D28" i="6"/>
  <c r="D30" i="6" s="1"/>
  <c r="V79" i="12" l="1"/>
  <c r="V102" i="12"/>
  <c r="G455" i="10"/>
  <c r="G457" i="10" s="1"/>
  <c r="D35" i="6"/>
  <c r="K96" i="4" s="1"/>
  <c r="O61" i="4" s="1"/>
  <c r="H19" i="7"/>
  <c r="O98" i="4" l="1"/>
  <c r="O99" i="4" s="1"/>
  <c r="K98" i="4"/>
  <c r="L99" i="4" s="1"/>
  <c r="I19" i="7"/>
  <c r="H24" i="7"/>
  <c r="I24" i="7" s="1"/>
  <c r="D39" i="5"/>
  <c r="D68" i="5" l="1"/>
  <c r="D70" i="5" s="1"/>
  <c r="I31" i="7" s="1"/>
  <c r="D49" i="5"/>
  <c r="D57" i="5" s="1"/>
  <c r="E39" i="5"/>
  <c r="E49" i="5" l="1"/>
  <c r="D71" i="5"/>
  <c r="D78"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Myagmarsuren Tudevdagva</author>
  </authors>
  <commentList>
    <comment ref="B200" authorId="0" shapeId="0" xr:uid="{00000000-0006-0000-0800-000001000000}">
      <text>
        <r>
          <rPr>
            <b/>
            <sz val="9"/>
            <color indexed="81"/>
            <rFont val="Tahoma"/>
            <family val="2"/>
          </rPr>
          <t>Балансын авлагын эхний үлдэгдэлтэй тэнцүү байх ёстой</t>
        </r>
      </text>
    </comment>
    <comment ref="C200" authorId="0" shapeId="0" xr:uid="{00000000-0006-0000-0800-000002000000}">
      <text>
        <r>
          <rPr>
            <b/>
            <sz val="9"/>
            <color indexed="81"/>
            <rFont val="Tahoma"/>
            <family val="2"/>
          </rPr>
          <t>Балансын авлагын эхний үлдэгдэлтэй тэнцүү байх ёстой</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Myagmarsuren Tudevdagva</author>
  </authors>
  <commentList>
    <comment ref="V42" authorId="0" shapeId="0" xr:uid="{00000000-0006-0000-0B00-000001000000}">
      <text>
        <r>
          <rPr>
            <b/>
            <sz val="9"/>
            <color indexed="81"/>
            <rFont val="Tahoma"/>
            <family val="2"/>
          </rPr>
          <t>Орлого үр дүнгийн тайлангийн татварын өмнөх ашгийн дүнтэй тэнцүү байна.</t>
        </r>
        <r>
          <rPr>
            <sz val="9"/>
            <color indexed="81"/>
            <rFont val="Tahoma"/>
            <family val="2"/>
          </rPr>
          <t xml:space="preserve">
</t>
        </r>
      </text>
    </comment>
  </commentList>
</comments>
</file>

<file path=xl/sharedStrings.xml><?xml version="1.0" encoding="utf-8"?>
<sst xmlns="http://schemas.openxmlformats.org/spreadsheetml/2006/main" count="1445" uniqueCount="1018">
  <si>
    <t>ТОГТМОЛ МЭДЭЭЛЭЛ ОРУУЛАХ ХЭСЭГ</t>
  </si>
  <si>
    <t>Байгууллагын нэр:</t>
  </si>
  <si>
    <t xml:space="preserve">Захиралын нэр: </t>
  </si>
  <si>
    <t>Ерөнхий нягтлан бодогч:</t>
  </si>
  <si>
    <t>Тайлант хугацаа</t>
  </si>
  <si>
    <t>Регистрийн дугаар:</t>
  </si>
  <si>
    <t>Хаяг:</t>
  </si>
  <si>
    <t>Шуудангийн хаяг:</t>
  </si>
  <si>
    <t xml:space="preserve">Утас: </t>
  </si>
  <si>
    <t>Факс:</t>
  </si>
  <si>
    <t xml:space="preserve">Өмчийн хэлбэр: </t>
  </si>
  <si>
    <t>Төрийн</t>
  </si>
  <si>
    <t>Хувийн</t>
  </si>
  <si>
    <t>Үйл ажиллагааны чиглэл</t>
  </si>
  <si>
    <t>Гадаад худалдаа</t>
  </si>
  <si>
    <t>Сангийн сайдын 2017 оны 77 дугаар тушаалын  2 дугаар хавсралт</t>
  </si>
  <si>
    <t>____________________________________</t>
  </si>
  <si>
    <t>_______________________________________</t>
  </si>
  <si>
    <t>Факс</t>
  </si>
  <si>
    <t>________________</t>
  </si>
  <si>
    <t>....... хувь</t>
  </si>
  <si>
    <t>Хувийн  100  хувь</t>
  </si>
  <si>
    <t xml:space="preserve">БОДИТ БАЙДЛЫН ТУХАЙ МЭДЭГДЭЛ </t>
  </si>
  <si>
    <t>А</t>
  </si>
  <si>
    <t>A</t>
  </si>
  <si>
    <t>Бүх ажил гүйлгээ бодитоор гарсан бөгөөд холбогдох анхан шатны баримтыг үндэслэн</t>
  </si>
  <si>
    <t>нягтлан бодох бүртгэл , санхүүгийн тайланд үнэн зөв тусгасан</t>
  </si>
  <si>
    <t>Санхүүгийн тайланд тусгагдсан бүх бүх тооцоолол үнэн хийгдсэн</t>
  </si>
  <si>
    <t>Аж ахуйн нэгжийн үйл ажиллагааны эдийн засаг , санхүүгийн бүхий л үйл явцыг иж</t>
  </si>
  <si>
    <t>бүрэн хамарсан</t>
  </si>
  <si>
    <t xml:space="preserve">Тайлант үеийн үр дүнд өмнөх оны ажил гүйлгээнээс шилжин тусгагдаагүй , мөн тайлант </t>
  </si>
  <si>
    <t>оны ажил гүйлгээнээс орхигдсон зүйл байхгүй</t>
  </si>
  <si>
    <t xml:space="preserve">Бүх хөрөнгө , авлага , өр төлбөр , орлого , зардлыг Санхүүгийн тайлагналын олон </t>
  </si>
  <si>
    <t>улсын стандартын дагуу үнэн зөв тусгасан</t>
  </si>
  <si>
    <t>Энэ тайланд тусгагдсан бүхий л зүйл манай байгууллагын албан ёсны өмчлөлд байдаг</t>
  </si>
  <si>
    <t>бөгөөд орхигдсон зүйл үгүй болно.</t>
  </si>
  <si>
    <t>Хянаж хүлээн авсан байгууллагын нэр</t>
  </si>
  <si>
    <t>Сар, өдөр</t>
  </si>
  <si>
    <t>Гарын үсэг</t>
  </si>
  <si>
    <t>Захирал:</t>
  </si>
  <si>
    <t>Ерөнхий журналын гүйлгээ</t>
  </si>
  <si>
    <t>Харьцсан данс</t>
  </si>
  <si>
    <t>№</t>
  </si>
  <si>
    <t>Date</t>
  </si>
  <si>
    <t>Column1</t>
  </si>
  <si>
    <t>Dr</t>
  </si>
  <si>
    <t>Cr</t>
  </si>
  <si>
    <t>Мөнгөн гүйлгээний үзүүлэлт сонгоно</t>
  </si>
  <si>
    <t>Бараа борлуулсан, үйлчилгээ үзүүлсний орлого</t>
  </si>
  <si>
    <t>Балансын ангилал</t>
  </si>
  <si>
    <t>ДАНС</t>
  </si>
  <si>
    <t>ДАНСНЫ НЭР</t>
  </si>
  <si>
    <t>Балансын эхний үлдэгдэл</t>
  </si>
  <si>
    <t>Гүйлгээ баланс</t>
  </si>
  <si>
    <t xml:space="preserve"> Зөрүү</t>
  </si>
  <si>
    <t>С2 Шалгах баланс</t>
  </si>
  <si>
    <t>ОЗНД</t>
  </si>
  <si>
    <t>БАЛАНС</t>
  </si>
  <si>
    <t>Тайлбар</t>
  </si>
  <si>
    <t>DT</t>
  </si>
  <si>
    <t>KT</t>
  </si>
  <si>
    <t>Column2</t>
  </si>
  <si>
    <t>Column3</t>
  </si>
  <si>
    <t>Column4</t>
  </si>
  <si>
    <t>Column7</t>
  </si>
  <si>
    <t>Column8</t>
  </si>
  <si>
    <t>Column82</t>
  </si>
  <si>
    <t>Column9</t>
  </si>
  <si>
    <t>Column10</t>
  </si>
  <si>
    <t>Column13</t>
  </si>
  <si>
    <t>Column14</t>
  </si>
  <si>
    <t>Column142</t>
  </si>
  <si>
    <t>Column15</t>
  </si>
  <si>
    <t>Column16</t>
  </si>
  <si>
    <t>1.1.1</t>
  </si>
  <si>
    <t>Төгрөгийн касс</t>
  </si>
  <si>
    <t>Хаан төгрөг</t>
  </si>
  <si>
    <t>Худалдаа хөгжил</t>
  </si>
  <si>
    <t>Төрийн банк</t>
  </si>
  <si>
    <t>Голомт банк</t>
  </si>
  <si>
    <t>Хас банк</t>
  </si>
  <si>
    <t>1.1.2</t>
  </si>
  <si>
    <t>Дансны авлага</t>
  </si>
  <si>
    <t>1.1.3</t>
  </si>
  <si>
    <t>Байгууллагаас авах авлага</t>
  </si>
  <si>
    <t>НДШ авлага</t>
  </si>
  <si>
    <t>НӨАТ авлага</t>
  </si>
  <si>
    <t>ХХОАТ авлага</t>
  </si>
  <si>
    <t>ААНОАТ авлага</t>
  </si>
  <si>
    <t>1.1.7</t>
  </si>
  <si>
    <t>Урьдчилж төлсөн зардал</t>
  </si>
  <si>
    <t>Урьдчилж төлсөн даатгал</t>
  </si>
  <si>
    <t>1.1.4</t>
  </si>
  <si>
    <t>Ажилчдад олгосон урьдчилгаа</t>
  </si>
  <si>
    <t>1.1.5</t>
  </si>
  <si>
    <t>Бусад эргэлтийн хөрөнгө</t>
  </si>
  <si>
    <t>1.1.6</t>
  </si>
  <si>
    <t>Хангамжийн материал</t>
  </si>
  <si>
    <t>Бэлэн бүтээгдэхүүн</t>
  </si>
  <si>
    <t>Сэлбэг хэрэгсэл, шатах тослох материал</t>
  </si>
  <si>
    <t>Түүхий эд материал</t>
  </si>
  <si>
    <t>Дуусаагүй үйлдвэрлэл</t>
  </si>
  <si>
    <t>1.2.3</t>
  </si>
  <si>
    <t>Биологийн хөрөнгө</t>
  </si>
  <si>
    <t>1.2.2</t>
  </si>
  <si>
    <t>Биет бус хөрөнгө</t>
  </si>
  <si>
    <t>1.2.5</t>
  </si>
  <si>
    <t>Хайгуул ба үнэлгээний хөрөнгө</t>
  </si>
  <si>
    <t>1.2.4</t>
  </si>
  <si>
    <t>Урт хугацаат хөрөнгө оруулалт</t>
  </si>
  <si>
    <t>1.2.1</t>
  </si>
  <si>
    <t>Барилга</t>
  </si>
  <si>
    <t>ХЭ. Барилга</t>
  </si>
  <si>
    <t>Тоног төхөөрөмж</t>
  </si>
  <si>
    <t>ХЭ. ТТӨХ</t>
  </si>
  <si>
    <t>Тавилга эд хогшил</t>
  </si>
  <si>
    <t>ХЭ. ТЭХ</t>
  </si>
  <si>
    <t>Компьютер</t>
  </si>
  <si>
    <t>ХЭ. Компьютер</t>
  </si>
  <si>
    <t>Тээврийн хэрэгсэл</t>
  </si>
  <si>
    <t>ХЭ. ТХ</t>
  </si>
  <si>
    <t>Бусад үндсэн хөрөнгө</t>
  </si>
  <si>
    <t>ХЭ. БҮХ</t>
  </si>
  <si>
    <t>2.1.1.1</t>
  </si>
  <si>
    <t>Дансны өглөг</t>
  </si>
  <si>
    <t>Байгууллага хоорондын өглөг</t>
  </si>
  <si>
    <t>Хувь хүнд өглөг</t>
  </si>
  <si>
    <t>2.1.1.2</t>
  </si>
  <si>
    <t>Цалингийн өглөг</t>
  </si>
  <si>
    <t>2.1.1.4</t>
  </si>
  <si>
    <t>НДШ өглөг</t>
  </si>
  <si>
    <t>2.1.1.3</t>
  </si>
  <si>
    <t>НӨАТ өглөг</t>
  </si>
  <si>
    <t>ХХОАТ өглөг</t>
  </si>
  <si>
    <t>ААНОАТ өглөг</t>
  </si>
  <si>
    <t>2.1.1.8</t>
  </si>
  <si>
    <t>Урьдчилж орсон орлого</t>
  </si>
  <si>
    <t>2.1.1.5</t>
  </si>
  <si>
    <t>Банкны богино хугацаат зээл</t>
  </si>
  <si>
    <t>2.1.2.1</t>
  </si>
  <si>
    <t>Урт хугацаат өр төлбөр</t>
  </si>
  <si>
    <t>2.1.2.4</t>
  </si>
  <si>
    <t>Бусад урт хугацаат өр төлбөр</t>
  </si>
  <si>
    <t>2.3.2</t>
  </si>
  <si>
    <t>Эзний өмч</t>
  </si>
  <si>
    <t>2.3.8</t>
  </si>
  <si>
    <t>Эзэмшигчдийн өмчийн хэсэг</t>
  </si>
  <si>
    <t>Код</t>
  </si>
  <si>
    <t>2.3.9</t>
  </si>
  <si>
    <t>Хуримтлагдсан ашиг</t>
  </si>
  <si>
    <t>ОҮДТ</t>
  </si>
  <si>
    <t>ААНЗ</t>
  </si>
  <si>
    <t>ААНО</t>
  </si>
  <si>
    <t>Зөрүүгийн тайлан</t>
  </si>
  <si>
    <t>Борлуулалтын орлого</t>
  </si>
  <si>
    <t>Түрээсийн орлого</t>
  </si>
  <si>
    <t>Хүүний орлого</t>
  </si>
  <si>
    <t>Бусад орлого</t>
  </si>
  <si>
    <t>Боруулсан бүтээгдэхүүний өртөг</t>
  </si>
  <si>
    <t>Валютын ханшийн бодит бус ашиг</t>
  </si>
  <si>
    <t>Цалингийн зардал</t>
  </si>
  <si>
    <t>НДШ зардал</t>
  </si>
  <si>
    <t>Бичиг хэргийн зардал</t>
  </si>
  <si>
    <t>Түрээсийн зардал</t>
  </si>
  <si>
    <t>Хангамжийн материалын зардал</t>
  </si>
  <si>
    <t>Ашиглалтын зардал</t>
  </si>
  <si>
    <t>Тээврийн зардал</t>
  </si>
  <si>
    <t>Урсгал засварын зардал</t>
  </si>
  <si>
    <t>Шуудан холбооны зардал</t>
  </si>
  <si>
    <t>Шатахууны зардал</t>
  </si>
  <si>
    <t>Мэргэжлийн үйлчилгээний зардал</t>
  </si>
  <si>
    <t>Томилолтын зардал</t>
  </si>
  <si>
    <t>Бусдаар гүйцэтгүүлсэн ажил, үйлчилгээний хөлс</t>
  </si>
  <si>
    <t>Банкны шимтгэлийн зардал</t>
  </si>
  <si>
    <t>Элэгдлийн зардал</t>
  </si>
  <si>
    <t>Валютийн ханшийн бодит алдагдал</t>
  </si>
  <si>
    <t>Зар сурталчилгааны зардал</t>
  </si>
  <si>
    <t>Хүүгийн зардал</t>
  </si>
  <si>
    <t>Үл хөдлөх эд хөрөнгийн албан татвар</t>
  </si>
  <si>
    <t>АТБӨЯХ-ийн албан татвар</t>
  </si>
  <si>
    <t>Газрын төлбөр</t>
  </si>
  <si>
    <t>Онцгой албан татвар</t>
  </si>
  <si>
    <t>Даатгалын зардал</t>
  </si>
  <si>
    <t>Бусад зардал</t>
  </si>
  <si>
    <t>Үйл ажиллагааны бус зардал</t>
  </si>
  <si>
    <t>ОАТ зардал</t>
  </si>
  <si>
    <t>Тайлант хугацааны ашиг</t>
  </si>
  <si>
    <t>Шалгах</t>
  </si>
  <si>
    <t>Ажлын хүснэгт хөтөлсөн:</t>
  </si>
  <si>
    <t>BALANCE SHEET</t>
  </si>
  <si>
    <t>( Аж ахуйн нэгж, байгууллагын нэр )</t>
  </si>
  <si>
    <t>(Төгрөгөөр)</t>
  </si>
  <si>
    <t>Мөрийн дугаар</t>
  </si>
  <si>
    <t>Үзүүлэлт</t>
  </si>
  <si>
    <t>Үлдэгдэл</t>
  </si>
  <si>
    <t>1-р сарын 1</t>
  </si>
  <si>
    <t>ХӨРӨНГӨ</t>
  </si>
  <si>
    <t>Эргэлтийн хөрөнгө</t>
  </si>
  <si>
    <t xml:space="preserve">Мөнгө ба түүнтэй адилтгах хөрөнгө </t>
  </si>
  <si>
    <t>Татвар, НДШ-ийн авлага</t>
  </si>
  <si>
    <t>Бусад авлага</t>
  </si>
  <si>
    <t>Бусад санхүүгийн хөрөнгө</t>
  </si>
  <si>
    <t>Бараа материал</t>
  </si>
  <si>
    <t>Урьдчилж төлсөн зардал/тооцоо</t>
  </si>
  <si>
    <t>1.1.8</t>
  </si>
  <si>
    <t>1.1.9</t>
  </si>
  <si>
    <t>Борлуулах зорилгоор эзэмшиж буй эргэлтийн бус хөрөнгө (борлуулах бүлэг хөрөнгө)</t>
  </si>
  <si>
    <t>1.1.10</t>
  </si>
  <si>
    <t>1.1.11</t>
  </si>
  <si>
    <t>Эргэлтийн хөрөнгийн дүн</t>
  </si>
  <si>
    <t>Эргэлтийн бус хөрөнгө</t>
  </si>
  <si>
    <t>Үндсэн хөрөнгө</t>
  </si>
  <si>
    <t>1.2.6</t>
  </si>
  <si>
    <t>Хойшлогдсон татварын хөрөнгө</t>
  </si>
  <si>
    <t>1.2.7</t>
  </si>
  <si>
    <t>Хөрөнгө оруулалтын зориулалттай үл хөдлөх хөрөнгө</t>
  </si>
  <si>
    <t>1.2.8</t>
  </si>
  <si>
    <t>Бусад эргэлтийн бус хөрөнгө</t>
  </si>
  <si>
    <t>1.2.9</t>
  </si>
  <si>
    <t>1.2.10</t>
  </si>
  <si>
    <t>Эргэлтийн бус хөрөнгийн дүн</t>
  </si>
  <si>
    <t>НИЙТ ХӨРӨНГИЙН ДҮН</t>
  </si>
  <si>
    <t xml:space="preserve">ӨР ТӨЛБӨР БА ЭЗДИЙН ӨМЧ </t>
  </si>
  <si>
    <t>ӨР ТӨЛБӨР</t>
  </si>
  <si>
    <t>2.1.1</t>
  </si>
  <si>
    <t>Богино хугацаат өр төлбөр</t>
  </si>
  <si>
    <t>Татварын өр</t>
  </si>
  <si>
    <t xml:space="preserve">ЭМНД -ийн шимтгэлийн өглөг </t>
  </si>
  <si>
    <t>Богино хугацаат зээл</t>
  </si>
  <si>
    <t>2.1.1.6</t>
  </si>
  <si>
    <t>Хүүний өглөг</t>
  </si>
  <si>
    <t>2.1.1.7</t>
  </si>
  <si>
    <t>Ногдол ашгийн өглөг</t>
  </si>
  <si>
    <t>2.1.1.9</t>
  </si>
  <si>
    <t>Нөөц /өр төлбөр/</t>
  </si>
  <si>
    <t>2.1.1.10</t>
  </si>
  <si>
    <t>Бусад богино хугацаат өр төлбөр</t>
  </si>
  <si>
    <t>2.1.1.11</t>
  </si>
  <si>
    <t>Борлуулах зорилгоор эзэмшиж буй эргэлтийн бус хөрөнгө (борлуулах бүлэг хөрөнгө)-нд хамаарах өр төлбөр</t>
  </si>
  <si>
    <t>2.1.1.12</t>
  </si>
  <si>
    <t>2.1.1.13</t>
  </si>
  <si>
    <t xml:space="preserve">     Богино хугацаат өр төлбөрийн дүн</t>
  </si>
  <si>
    <t>2.1.2</t>
  </si>
  <si>
    <t>Урт хугацаат зээл</t>
  </si>
  <si>
    <t>2.1.2.2</t>
  </si>
  <si>
    <t>2.1.2.3</t>
  </si>
  <si>
    <t>Хойшлогдсон татварын өр</t>
  </si>
  <si>
    <t>2.1.2.5</t>
  </si>
  <si>
    <t>2.1.2.6</t>
  </si>
  <si>
    <t>Урт хугацаат өр төлбөрийн дүн</t>
  </si>
  <si>
    <t>Өр төлбөрийн нийт дүн</t>
  </si>
  <si>
    <t>Эздийн өмч</t>
  </si>
  <si>
    <t xml:space="preserve">Өмч :     </t>
  </si>
  <si>
    <t>2.3.1</t>
  </si>
  <si>
    <t xml:space="preserve">               а) төрийн</t>
  </si>
  <si>
    <t xml:space="preserve">               б) хувийн</t>
  </si>
  <si>
    <t>2.3.3</t>
  </si>
  <si>
    <t xml:space="preserve">               в) хувьцаат</t>
  </si>
  <si>
    <t>2.3.4</t>
  </si>
  <si>
    <t>Халаасны хувьцаа</t>
  </si>
  <si>
    <t>2.3.5</t>
  </si>
  <si>
    <t>Нэмж төлөгдсөн капитал</t>
  </si>
  <si>
    <t>2.3.6</t>
  </si>
  <si>
    <t>Хөрөнгийн дахин үнэлгээний нэмэгдэл</t>
  </si>
  <si>
    <t>2.3.7</t>
  </si>
  <si>
    <t>Гадаад валютын хөрвүүлэлтийн нөөц</t>
  </si>
  <si>
    <t>Эздийн өмчийн бусад хэсэг</t>
  </si>
  <si>
    <t>Хуримтлагдсан ашиг (алдагдал)</t>
  </si>
  <si>
    <t>2.3.10</t>
  </si>
  <si>
    <t>2.3.11</t>
  </si>
  <si>
    <t>Эздийн өмчийн дүн</t>
  </si>
  <si>
    <t>ӨР ТӨЛБӨР БА ЭЗДИЙН ӨМЧИЙН ДҮН</t>
  </si>
  <si>
    <t>Балансын зөрүү</t>
  </si>
  <si>
    <t>ОРЛОГЫН ТАЙЛАН</t>
  </si>
  <si>
    <t>INCOME STATEMENT</t>
  </si>
  <si>
    <t xml:space="preserve"> ( Аж ахуйн нэгж, байгууллагын нэр )</t>
  </si>
  <si>
    <t>ҮЗҮҮЛЭЛТ</t>
  </si>
  <si>
    <t>Борлуулалтын орлого (цэвэр)</t>
  </si>
  <si>
    <t>Борлуулалтын өртөг</t>
  </si>
  <si>
    <t>Нийт ашиг (алдагдал)</t>
  </si>
  <si>
    <t>Ногдол ашгийн орлого</t>
  </si>
  <si>
    <t>Эрхийн шимтгэлийн орлого</t>
  </si>
  <si>
    <t>Борлуулалт, маркетингийн зардал</t>
  </si>
  <si>
    <t>Ерөнхий ба удирдлагын зардал</t>
  </si>
  <si>
    <t>Санхүүгийн зардал</t>
  </si>
  <si>
    <t>Гадаад валютын ханшийн зөрүүний олз (гарз)</t>
  </si>
  <si>
    <t>Үндсэн хөрөнгө данснаас хассаны олз (гарз)</t>
  </si>
  <si>
    <t>Биет бус хөрөнгө данснаас хассаны олз (гарз)</t>
  </si>
  <si>
    <t>Хөрөнгө оруулалт борлуулснаас үүссэн олз (гарз)</t>
  </si>
  <si>
    <t>Бусад ашиг (алдагдал)</t>
  </si>
  <si>
    <t>Татвар төлөхийн өмнөх ашиг (алдагдал)</t>
  </si>
  <si>
    <t>Орлогын татварын зардал</t>
  </si>
  <si>
    <t>Татварын дараах ашиг (алдагдал)</t>
  </si>
  <si>
    <t>Зогсоосон үйл ажиллагааны татварын дараах ашиг (алдагдал)</t>
  </si>
  <si>
    <t>Тайлант үеийн цэвэр ашиг (алдагдал)</t>
  </si>
  <si>
    <t>Бусад дэлгэрэнгүй орлого</t>
  </si>
  <si>
    <t>Хөрөнгийн дахин үнэлгээний нэмэгдлийн зөрүү</t>
  </si>
  <si>
    <t>Гадаад валютын хөрвүүлэлтийн зөрүү</t>
  </si>
  <si>
    <t>Бусад  олз (гарз)</t>
  </si>
  <si>
    <t>Орлогын нийт дүн</t>
  </si>
  <si>
    <t>Нэгж хувьцаанд ногдох суурь ашиг (алдагдал)</t>
  </si>
  <si>
    <t>ӨМЧИЙН ӨӨРЧЛӨЛТИЙН ТАЙЛАН</t>
  </si>
  <si>
    <t xml:space="preserve">STATEMENT OF CHANGES IN EQUITY    </t>
  </si>
  <si>
    <t>Өмч</t>
  </si>
  <si>
    <t>Нийт дүн</t>
  </si>
  <si>
    <t>Нягтлан бодох бүртгэлийн бодлогын өөрчлөлтийн нөлөө, алдааны залруулга</t>
  </si>
  <si>
    <t>Залруулсан  үлдэгдэл</t>
  </si>
  <si>
    <t>Өмчид гарсан өөрчлөлт</t>
  </si>
  <si>
    <t>Зарласан ногдол ашиг</t>
  </si>
  <si>
    <t>Дахин үнэлгээний нэмэгдлийн хэрэгжсэн дүн</t>
  </si>
  <si>
    <t>МӨНГӨН ГҮЙЛГЭЭНИЙ ТАЙЛАН</t>
  </si>
  <si>
    <t>STATEMENT OF CASH FLOW</t>
  </si>
  <si>
    <t>Өмнөх оны дүн</t>
  </si>
  <si>
    <t>Тайлант жилийн дүн</t>
  </si>
  <si>
    <t>Үндсэн үйл ажиллагааны мөнгөн гүйлгээ</t>
  </si>
  <si>
    <t>Мөнгөн орлогын дүн (+)</t>
  </si>
  <si>
    <t>Эрхийн шимтгэл, хураамж, төлбөрийн орлого</t>
  </si>
  <si>
    <t>Даатгалын нөхвөрөөс хүлээн авсан мөнгө</t>
  </si>
  <si>
    <t>Буцаан авсан албан татвар</t>
  </si>
  <si>
    <t>Татаас, санхүүжилтийн орлого</t>
  </si>
  <si>
    <t>Бусад мөнгөн орлого</t>
  </si>
  <si>
    <t>Мөнгөн зарлагын дүн (-)</t>
  </si>
  <si>
    <t>Ажиллагчдад төлсөн</t>
  </si>
  <si>
    <t>Нийгмийн даатгалын байгууллагад төлсөн</t>
  </si>
  <si>
    <t>Бараа материал худалдан авахад төлсөн</t>
  </si>
  <si>
    <t>Ашиглалтын зардалд төлсөн</t>
  </si>
  <si>
    <t xml:space="preserve">Түлш шатахуун, тээврийн хөлс, сэлбэг хэрэгсэлд төлсөн </t>
  </si>
  <si>
    <t>Хүүний төлбөрт төлсөн</t>
  </si>
  <si>
    <t>Татварын байгууллагад төлсөн</t>
  </si>
  <si>
    <t xml:space="preserve">Даатгалын төлбөрт төлсөн </t>
  </si>
  <si>
    <t>Бусад мөнгөн зарлага</t>
  </si>
  <si>
    <t>Үндсэн үйл ажиллагааны цэвэр мөнгөн гүйлгээний дүн</t>
  </si>
  <si>
    <t>Хөрөнгө оруулалтын үйл ажиллагааны мөнгөн гүйлгээ</t>
  </si>
  <si>
    <t>Үндсэн хөрөнгө борлуулсны орлого</t>
  </si>
  <si>
    <t>Биет бус хөрөнгө борлуулсны орлого</t>
  </si>
  <si>
    <t>2.1.3</t>
  </si>
  <si>
    <t>Хөрөнгө оруулалт борлуулсны орлого</t>
  </si>
  <si>
    <t>2.1.4</t>
  </si>
  <si>
    <t>Бусад урт хугацаат хөрөнгө борлуулсны орлого</t>
  </si>
  <si>
    <t>2.1.5</t>
  </si>
  <si>
    <t>Бусдад олгосон зээл, мөнгөн урьдчилгааны буцаан төлөлт</t>
  </si>
  <si>
    <t>2.1.6</t>
  </si>
  <si>
    <t>Хүлээн авсан хүүний орлого</t>
  </si>
  <si>
    <t>2.1.7</t>
  </si>
  <si>
    <t>Хүлээн авсан ногдол ашиг</t>
  </si>
  <si>
    <t>2.2.1</t>
  </si>
  <si>
    <t>Үндсэн хөрөнгө олж эзэмшихэд төлсөн</t>
  </si>
  <si>
    <t>2.2.2</t>
  </si>
  <si>
    <t>Биет бус хөрөнгө олж эзэмшихэд төлсөн</t>
  </si>
  <si>
    <t>2.2.3</t>
  </si>
  <si>
    <t>Хөрөнгө оруулалт олж эзэмшихэд төлсөн</t>
  </si>
  <si>
    <t>2.2.4</t>
  </si>
  <si>
    <t>Бусад урт хугацаат хөрөнгө олж эзэмшихэд төлсөн</t>
  </si>
  <si>
    <t>2.2.5</t>
  </si>
  <si>
    <t>Бусдад олгосон зээл болон урьдчилгаа</t>
  </si>
  <si>
    <t>Санхүүгийн үйл ажиллагааны мөнгөн гүйлгээ</t>
  </si>
  <si>
    <t>3.1.1</t>
  </si>
  <si>
    <t>Зээл авсан, өрийн үнэт цаас гаргаснаас хүлээн авсан</t>
  </si>
  <si>
    <t>3.1.2</t>
  </si>
  <si>
    <t>Хувьцаа болон өмчийн бусад үнэт цаас гаргаснаас хүлээн авсан</t>
  </si>
  <si>
    <t>3.1.3</t>
  </si>
  <si>
    <t>Төрөл бүрийн хандив</t>
  </si>
  <si>
    <t>3.2.1</t>
  </si>
  <si>
    <t>Зээл, өрийн үнэт цаасны төлбөрт төлсөн мөнгө</t>
  </si>
  <si>
    <t>3.2.2</t>
  </si>
  <si>
    <t>Санхүүгийн түрээсийн өглөгт төлсөн</t>
  </si>
  <si>
    <t>3.2.3</t>
  </si>
  <si>
    <t>Хувьцаа буцаан худалдаж авахад төлсөн</t>
  </si>
  <si>
    <t>3.2.4</t>
  </si>
  <si>
    <t>Төлсөн ногдол ашиг</t>
  </si>
  <si>
    <t>Санхүүгийн үйл ажиллагааны цэвэр мөнгөн гүйлгээний дүн</t>
  </si>
  <si>
    <t>Валютын ханшийн зөрүү</t>
  </si>
  <si>
    <t>Бүх цэвэр мөнгөн гүйлгээ</t>
  </si>
  <si>
    <t>Мөнгө, түүнтэй адилтгах хөрөнгийн эхний үлдэгдэл</t>
  </si>
  <si>
    <t>Мөнгө, түүнтэй адилтгах хөрөнгийн эцсийн үлдэгдэл</t>
  </si>
  <si>
    <t>Зөрүү</t>
  </si>
  <si>
    <t>САНХҮҮГИЙН ТАЙЛАНГИЙН ТОДРУУЛГА</t>
  </si>
  <si>
    <t>/Аж  ахуй нэгж байгууллагын нэр/</t>
  </si>
  <si>
    <t>Үйл ажиллагааны үндсэн чиглэл /төрөл/ :</t>
  </si>
  <si>
    <t>а/</t>
  </si>
  <si>
    <t>б/</t>
  </si>
  <si>
    <t>в/</t>
  </si>
  <si>
    <t>Туслах үйл ажиллагааны /төрөл/:</t>
  </si>
  <si>
    <t xml:space="preserve">Салбар төлөөлөгчийн газрын нэр байршил: </t>
  </si>
  <si>
    <t>1. ТАЙЛАН БЭЛТГЭХ ҮНДЭСЛЭЛ</t>
  </si>
  <si>
    <t>2. НЯГТЛАН БОДОХ БҮРТГЭЛИЙН БОДЛОГЫН ӨӨРЧЛӨЛТ</t>
  </si>
  <si>
    <t>3. МӨНГӨ БА ТҮҮНТЭЙ АДИЛТГАХ ХӨРӨНГӨ</t>
  </si>
  <si>
    <t>¹</t>
  </si>
  <si>
    <t>Төрөл</t>
  </si>
  <si>
    <t>Эхний үлдэгдэл</t>
  </si>
  <si>
    <t>Эцсийн үлдэгдэл</t>
  </si>
  <si>
    <t>Касс дахь мөнгө</t>
  </si>
  <si>
    <t>Банкин дахь мөнгө</t>
  </si>
  <si>
    <t>Мөнгө түүнтэй адилтгах хөрөнгө</t>
  </si>
  <si>
    <t>Дүн</t>
  </si>
  <si>
    <t xml:space="preserve">Тэмдэглэл: </t>
  </si>
  <si>
    <t>(Мөнгө, түүнтэй адилтгах хөрөнгөтэй холбоотой тайлбар, тэмдэглэлийг хийнэ.)</t>
  </si>
  <si>
    <t>4. ДАНСНЫ БОЛОН БУСАД АВЛАГА</t>
  </si>
  <si>
    <t>4.1 Дансны авлага</t>
  </si>
  <si>
    <t>Найдваргүй авлагын хасагдуулга</t>
  </si>
  <si>
    <t>Дансны авлага (цэвэр дүнгээр)</t>
  </si>
  <si>
    <t>Нэмэгдсэн</t>
  </si>
  <si>
    <t>Хасагдсан (-)</t>
  </si>
  <si>
    <t xml:space="preserve">                   Төлөгдсөн </t>
  </si>
  <si>
    <t xml:space="preserve">                   Найдваргүй болсон</t>
  </si>
  <si>
    <t>4.2 Татвар, нийгмийн даатгалын шимтгэл (НДШ)-ийн  авлага</t>
  </si>
  <si>
    <t>ААНОАТ-ын авлага</t>
  </si>
  <si>
    <t>НӨАТ-ын авлага</t>
  </si>
  <si>
    <t>НДШ-ийн авлага</t>
  </si>
  <si>
    <t>ХХОАТ</t>
  </si>
  <si>
    <t>4.3  Бусад богино хугацаат авлага (төрлөөр ангилна)</t>
  </si>
  <si>
    <t xml:space="preserve">Төрөл </t>
  </si>
  <si>
    <t>Холбоотой талаас авлага (эргэлтийн хөрөнгөнд хамаарах дүн)</t>
  </si>
  <si>
    <t xml:space="preserve">Ажиллагчдаас авах авлага </t>
  </si>
  <si>
    <t>Ногдол ашгийн авлага</t>
  </si>
  <si>
    <t>Хүүний авлага</t>
  </si>
  <si>
    <t xml:space="preserve">Богино хугацаат авлагын бичиг </t>
  </si>
  <si>
    <t>Бусад талуудаас авах авлага</t>
  </si>
  <si>
    <t>УТТооцоо</t>
  </si>
  <si>
    <t xml:space="preserve"> Нийт дүн</t>
  </si>
  <si>
    <t>Тэмдэглэл. (Дансны авлагыг төлөгдөх хугацаандаа байгаа, хугацаа хэтэрсэн, төлөгдөх найдваргүй гэж ангилна. Найдваргүй авлагын хасагдуулга байгуулсан арга, гадаад валютаар илэрхийлэгдсэн авлагын талаар болон бусад тайлбар тэмдэглэлийг хийнэ.)</t>
  </si>
  <si>
    <t>5. БУСАД САНХҮҮГИЙН ХӨРӨНГӨ</t>
  </si>
  <si>
    <t>6. БАРАА МАТЕРИАЛ</t>
  </si>
  <si>
    <t>Бараа материалын төрөл</t>
  </si>
  <si>
    <t xml:space="preserve">Бараа </t>
  </si>
  <si>
    <t>Эхний үлдэгдэл (өртгөөр)</t>
  </si>
  <si>
    <t>Нэмэгдсэн дүн</t>
  </si>
  <si>
    <t>Хасагдсан дүн (-)</t>
  </si>
  <si>
    <t>Эцсийн үлдэгдэл (өртгөөр)</t>
  </si>
  <si>
    <t>Үнийн бууралтын гарз (-)</t>
  </si>
  <si>
    <t>Үнийн бууралтын буцаалт</t>
  </si>
  <si>
    <t>Дансны цэвэр дүн*</t>
  </si>
  <si>
    <t>* Дансны цэвэр дүнгийн эхний, эцсийн үлдэгдлийн нийт дүн нь санхүүгийн байдлын тайлан дахь бараа материалын дансны эхний, эцсийн дүнтэй тэнцүү байна.</t>
  </si>
  <si>
    <t>Тэмдэглэл. (Бараа материалыг өртгийг тодорхойлоход ашигласан арга, бараа материалын бүртгэлийн систем, өртөг болон цэвэр боломжит үнийн аль багыг сонгох аргын талаар тайлбар, тэмдэглэл хийнэ.)</t>
  </si>
  <si>
    <t>7. БОРЛУУЛАХ ЗОРИЛГООР ЭЗЭМШИЖ БУЙ ЭРГЭЛТИЙН БУС ХӨРӨНГӨ (ЭСВЭЛ БОРЛУУЛАХ БҮЛЭГ ХӨРӨНГӨ) БОЛОН ӨР ТӨЛБӨР</t>
  </si>
  <si>
    <t>Тэмдэглэл. (Борлуулах зорилгоор эзэмшиж буй эргэлтийн бус хөрөнгө эсвэл борлуулах бүлэг хөрөнгө болон өр төлбөрийн тодорхойлолт, хэмжилтийн суурь, борлуулалт хийгдсэн аль эсвэл хийгдэхэд хүргэсэн нөхцөл байдал, борлуулах арга, хугацаа, хүлээн зөвшөөрсөн олз ба гарз болон бусад тайлбар, тэмдэглэлийг хийнэ.</t>
  </si>
  <si>
    <t>8. УРЬДЧИЛЖ ТӨЛСӨН ЗАРДАЛ/ТООЦОО</t>
  </si>
  <si>
    <t>Урьдчилж төлсөн түрээс, даатгал</t>
  </si>
  <si>
    <t>Бэлтгэн нийлүүлэгчид төлсөн урьдчилгаа төлбөр</t>
  </si>
  <si>
    <t xml:space="preserve">9. ҮНДСЭН ХӨРӨНГӨ </t>
  </si>
  <si>
    <t>Газрын сайжруулалт</t>
  </si>
  <si>
    <t>Барилга байгууламж</t>
  </si>
  <si>
    <t>Машин, тоног төхөөрөмж</t>
  </si>
  <si>
    <t>Компьютер, бусад хэрэгсэл</t>
  </si>
  <si>
    <t>Бусад үндсэг хөрөнгө</t>
  </si>
  <si>
    <t>ҮНДСЭН ХӨРӨНГӨ /Өртөг/</t>
  </si>
  <si>
    <t xml:space="preserve">Нэмэгдсэн дүн </t>
  </si>
  <si>
    <t>Өөрөө үйлдвэрлэсэн</t>
  </si>
  <si>
    <t>Худалдаж авсан</t>
  </si>
  <si>
    <t>Үнэ төлбөргүй авсан</t>
  </si>
  <si>
    <t>Дахин үнэлгээний нэмэгдэл</t>
  </si>
  <si>
    <t>Худалдсан</t>
  </si>
  <si>
    <t>Үнэгүй шилжүүлсэн</t>
  </si>
  <si>
    <t>Акталсан</t>
  </si>
  <si>
    <t xml:space="preserve">Үндсэн хөрөнгө дахин ангилсан </t>
  </si>
  <si>
    <t xml:space="preserve">Үндсэн хөрөнгө, ХОЗҮХХ* хооронд дахин ангилсан </t>
  </si>
  <si>
    <t>ХУРИМТЛАГДСАН ЭЛЭГДЭЛ</t>
  </si>
  <si>
    <t xml:space="preserve">Байгуулсан элэгдэл </t>
  </si>
  <si>
    <t xml:space="preserve">Дахин үнэлгээгээр нэмэгдсэн </t>
  </si>
  <si>
    <t>Үнэ цэнийн бууралтын буцаалт</t>
  </si>
  <si>
    <t>Хасагдсан дүн</t>
  </si>
  <si>
    <t>Данснаас хассан хөрөнгийн элэгдэл</t>
  </si>
  <si>
    <t xml:space="preserve">Дахин үнэлгээгээр хасагдсан </t>
  </si>
  <si>
    <t>Үнэ цэнийн бууралт</t>
  </si>
  <si>
    <t>ДАНСНЫ ЦЭВЭР ДҮН</t>
  </si>
  <si>
    <t>10. БИЕТ БУС ХӨРӨНГӨ</t>
  </si>
  <si>
    <t>Зохиогчийн эрх</t>
  </si>
  <si>
    <t>КомпьютерийнПрограмм хангамж</t>
  </si>
  <si>
    <t>Патент</t>
  </si>
  <si>
    <t>Барааны тэмдэг</t>
  </si>
  <si>
    <t>Тусгай зөвшөөрөл</t>
  </si>
  <si>
    <t>Газар эзэмших эрх</t>
  </si>
  <si>
    <t>Бусад биет бус хөрөнгө</t>
  </si>
  <si>
    <t>Бүгд</t>
  </si>
  <si>
    <t>Биет бус хөрөнгө /өртөг/</t>
  </si>
  <si>
    <t>Акталж, устгасан</t>
  </si>
  <si>
    <t>Хуримтлагдсан хорогдол</t>
  </si>
  <si>
    <t>Байгуулсан хорогдол</t>
  </si>
  <si>
    <t>Дахин үнэлгээгээр нэмэгдсэн</t>
  </si>
  <si>
    <t>Данснаас хассан хөрөнгийн хорогдол</t>
  </si>
  <si>
    <t>Эхний үлдэгдэл /1.1-2.1/</t>
  </si>
  <si>
    <t>Эцсийн үлдэгдэл /1.4-2.4/</t>
  </si>
  <si>
    <t>11. ДУУСААГҮЙ БАРИЛГА</t>
  </si>
  <si>
    <t>Дуусаагүй барилгын нэр</t>
  </si>
  <si>
    <t xml:space="preserve">Эхэлсэн он </t>
  </si>
  <si>
    <t>Дуусгалтын хувь</t>
  </si>
  <si>
    <t>Нийт төсөвт өртөг</t>
  </si>
  <si>
    <t>Ашиглалтанд орох хугацаа</t>
  </si>
  <si>
    <t>12. БИОЛОГИЙН ХӨРӨНГӨ</t>
  </si>
  <si>
    <t>Биологийн хөрөнгийн төрөл</t>
  </si>
  <si>
    <t>тоо</t>
  </si>
  <si>
    <t>дансны үнэ</t>
  </si>
  <si>
    <t xml:space="preserve">Тэмдэглэл.(Биологийн хөрөнгийн хэмжилтийн суурь болон бусад тайлбар, тэмдэглэлийг хийнэ.) </t>
  </si>
  <si>
    <t>13. УРТ ХУГАЦААТ ХӨРӨНГӨ ОРУУЛАЛТ</t>
  </si>
  <si>
    <t>Хөрөнгө оруулалтын төрөл</t>
  </si>
  <si>
    <t>Хөрөнгө оруулалтын хувь</t>
  </si>
  <si>
    <t>Хөрөнгө оруулалтын дүн</t>
  </si>
  <si>
    <t xml:space="preserve">Тэмдэглэл.(Урт хугацаат хөрөнгө оруулалттай холбоотой бий болсон олз, гарзын дүн, бүртгэсэн аргыг тодруулна. Охин компани, хамтын хяналттай аж ахуйн нэгж, хараат компанид оруулсан хөрөнгө оруулалтыг НББОУС-27 Нэгтгэсэн болон тусдаа санхүүгийн тайлан -ийн дагуу тодруулна.) </t>
  </si>
  <si>
    <t>14. ХӨРӨНГӨ ОРУУЛАЛТЫН ЗОРИУЛАЛТТАЙ ҮЛ ХӨДЛӨХ ХӨРӨНГӨ</t>
  </si>
  <si>
    <t xml:space="preserve">Тэмдэглэл.(Хөрөнгө оруулалтын зориулалттай үл хөдлөх хөрөнгийн хувьд ашигласан хэмжилтийн суурь: бодит үнэ цэнийн загвар ашигладаг бол бодит үнэ цэнийн загвар ашигладаг бол бодит үнэ цэнийг тодорхойлоход ашигласан арга, бодит үнэ цэнийн тохируулгаас үүссэн олз, гарз; хэрэв түрээслэдэг бол түрээсийн орлого, түрээсэлсэн хөрөнгөтэй холбоотой гарсан зардлууд; Хэрэв өртгийн загвар ашигладаг бол хөрөнгийн ашиглалтын хугацаа, элэгдэл тооцох арга болон НББОУС-40 Хөрөнгө оруулалтын зориулалттай үл хөдлөх хөрөнгө-д заасны дагуу бусад тодруулгыг хийнэ. ) </t>
  </si>
  <si>
    <t>15. БУСАД ЭРГЭЛТИЙН БУС ХӨРӨНГӨ</t>
  </si>
  <si>
    <t xml:space="preserve">Нийт дүн </t>
  </si>
  <si>
    <t>16. ӨР ТӨЛБӨР</t>
  </si>
  <si>
    <t>16.1 Дансны өглөг</t>
  </si>
  <si>
    <t>Ангилал</t>
  </si>
  <si>
    <t xml:space="preserve">       Төлөгдөх хугацаандаа байгаа</t>
  </si>
  <si>
    <t xml:space="preserve">       Хугацаа хэтэрсэн</t>
  </si>
  <si>
    <t xml:space="preserve">16.2 Татварын өр </t>
  </si>
  <si>
    <t>Татварын өрийн төрөл</t>
  </si>
  <si>
    <t xml:space="preserve">ААНОАТ-ын өр </t>
  </si>
  <si>
    <t xml:space="preserve">НӨАТ-ын өр </t>
  </si>
  <si>
    <t xml:space="preserve">ХХОАТ-ын өр </t>
  </si>
  <si>
    <t xml:space="preserve">ОАТ-ын өр </t>
  </si>
  <si>
    <t xml:space="preserve">Бусад татварын өр </t>
  </si>
  <si>
    <t>16.3 Богино хугацаат зээл</t>
  </si>
  <si>
    <t>төгрөгөөр</t>
  </si>
  <si>
    <t>валютаар</t>
  </si>
  <si>
    <t>16.4 Богино хугацаат нөөц (өр төлбөр)</t>
  </si>
  <si>
    <t>Хасагдсан (ашигласан нөөц)</t>
  </si>
  <si>
    <t>Ашиглаагүй буцаан бичсэн дүн</t>
  </si>
  <si>
    <t xml:space="preserve">Баталгаат засварын </t>
  </si>
  <si>
    <t>Нөхөн сэргээлтийн</t>
  </si>
  <si>
    <t>Тэмдэглэл. / Урт хугацаат нөөцийн дүнг тодруулна. Нөөцийн төрлөөр тайлбар , тэмдэглэнэ./</t>
  </si>
  <si>
    <t>16.5 Бусад богино хугацаат өр төлбөр</t>
  </si>
  <si>
    <t>Тэмдэглэл. / Гадаад валютаар илэрхийлэгдсэн богино хугацаат өр төлбөрийн дүнг тусад тодруулна./</t>
  </si>
  <si>
    <t>16.6 Урт хугацаат зээл болон бусад урт хугацаат өр төлбөр</t>
  </si>
  <si>
    <t xml:space="preserve">Урт хугацаат зээлийн дүн </t>
  </si>
  <si>
    <t>Гадаадын байгууллагаас шууд авсан зээл</t>
  </si>
  <si>
    <t>Гадаадын байгууллагаас дамжуулан авсан зээл</t>
  </si>
  <si>
    <t>Дотоодын эх үүсвэрээс авсан зээл</t>
  </si>
  <si>
    <t xml:space="preserve">Бусад урт хугацаат өр төлбөрийн дүн </t>
  </si>
  <si>
    <t>Тэмдэглэл. / Урт хугацаат зээл болон бусад урт хугацаат өр төлбөрийн төрлөөр тайлбар, тэмдэглэл хийнэ./</t>
  </si>
  <si>
    <t>17. ЭЗДИЙН ӨМЧ</t>
  </si>
  <si>
    <t>17.1 Өмч</t>
  </si>
  <si>
    <t>Эргэлтэнд байгаа бүрэн төлөгдсөн энгийн хувьцаа</t>
  </si>
  <si>
    <t>Давуу эрхтэй хувьцаа</t>
  </si>
  <si>
    <t xml:space="preserve">Өмчийн дүн (төгрөгөөр) </t>
  </si>
  <si>
    <t>тоо ширхэг</t>
  </si>
  <si>
    <t xml:space="preserve">Дүн (төгрөгөөр) </t>
  </si>
  <si>
    <t xml:space="preserve">Нэмэгдсэн </t>
  </si>
  <si>
    <t>17.2 Хөрөнгийн дахин үнэлгээний нэмэгдэл</t>
  </si>
  <si>
    <t>Үндсэн хөрөнгийн дахин үнэлгээний нэмэгдэл</t>
  </si>
  <si>
    <t>Биет бус  хөрөнгийн дахин үнэлгээний нэмэгдэл</t>
  </si>
  <si>
    <t xml:space="preserve">Дахин үнэлгээний нэмэгдлийн зөрүү </t>
  </si>
  <si>
    <t>Дахин үнэлсэн хөрөнгийн үнэ цэнийн бууралтын гарзын буцаалт **</t>
  </si>
  <si>
    <t>Хасагдсан дүн /-/</t>
  </si>
  <si>
    <t>Дахин үнэлсэн хөрөнгийн үнэ цэнийн бууралтын гарз***</t>
  </si>
  <si>
    <t xml:space="preserve">**- Дахин үнэлсэн хөрөнгийн өмнөх тайлань хугацаанд ашиг, алдагдлаар хүлээн зөвшөөрсөн үнэ цэнийн бууралтын гарзын дүнгээс хэтэрсэн дүн </t>
  </si>
  <si>
    <t>***- Дахин үнэлсэн хөрөнгийн үнэ цэнийн бууралтын гарз нь тухайн хөрөнгийн дахин үнэлгээний нэмэгдлиын дүнгээс хэтрэхгүй хэмжээ хүртэл байхаар дахин үнэлсэн хөрөнгийн үнэ цэнийн бууралтын гарзыг бусад дэлгэрэнгүй орлогод хүлээн зөвшөөрнө. Үлдсэн дүнг ашиг, алдагдлаар хүлээн зөвшөөрнө.</t>
  </si>
  <si>
    <t>17.3 Гадаад валютын хөрвүүлэлтийн нөөц</t>
  </si>
  <si>
    <t>Хасагдсан /-/</t>
  </si>
  <si>
    <t>Гадаад үйл ажиллагааны хөрвүүлэлтээс үүссэн зөрүү</t>
  </si>
  <si>
    <t>Бүртгэлийн валютын толилуулгын валют руу хөрвүүлснээс үүссэн зөрүү</t>
  </si>
  <si>
    <t>Бусад</t>
  </si>
  <si>
    <t xml:space="preserve">17.4 Эздийн өмчийн бусад хэсэг </t>
  </si>
  <si>
    <t>Тэмдэглэл. /Эздийн өмчийн бусад хэсгийн бүрэлдэхүүн тус бүрээр тодруулж тайлбар, тэмдэглэл хийнэ./</t>
  </si>
  <si>
    <t>18. БОРЛУУЛАЛТЫН ОРЛОГО БОЛОН БОРЛУУЛАЛТЫН ӨРТӨГ</t>
  </si>
  <si>
    <t>Тайлант оны дүн</t>
  </si>
  <si>
    <t>Борлуулалтын орлого:</t>
  </si>
  <si>
    <t>Бараа бүтээгдэхүүн борлуулсны орлого</t>
  </si>
  <si>
    <t>Ажил үйлчилгээ борлуулсны орлого</t>
  </si>
  <si>
    <t>Нийт борлуулалтын орлого</t>
  </si>
  <si>
    <t>Борлуулалтын буцаалт, хөнгөлөлт, үнийн бууралт /-/</t>
  </si>
  <si>
    <t>Цэвэр борлуулалт</t>
  </si>
  <si>
    <t>Борлуулалтын өртөг:</t>
  </si>
  <si>
    <t>Борлуулсан бараа, бүтээгдэхүүний өртөг</t>
  </si>
  <si>
    <t xml:space="preserve">Борлуулсан ажил, үйлчилгээний өртөг </t>
  </si>
  <si>
    <t>Нийт борлуулалтын өртөг</t>
  </si>
  <si>
    <t>19. БУСАД ОРЛОГО, ОЛЗ (ГАРЗ), АШИГ (АЛДАГДАЛ)</t>
  </si>
  <si>
    <t>19.1 Бусад орлого</t>
  </si>
  <si>
    <t>Орлогын төрөл</t>
  </si>
  <si>
    <t xml:space="preserve">Өмнөх оны дүн </t>
  </si>
  <si>
    <t xml:space="preserve">Тайлант оны дүн </t>
  </si>
  <si>
    <t>19.2 Гадаад валютын ханшийн зөрүүний олз, гарз</t>
  </si>
  <si>
    <t>Мөнгөн хөрөнгийн үлдэгдэлд хийсэн ханшийн тэгшитгэлийн ханшийн зөрүү</t>
  </si>
  <si>
    <t>Эргэлийн авлага, өр төлбөртэй холбоотой үүссэн ханшийн зөрүү</t>
  </si>
  <si>
    <t>Эргэлийн бус авлага, өр төлбөртэй холбоотой үүссэн ханшийн зөрүү</t>
  </si>
  <si>
    <t>Валютын арилжаанаас үүссэн олз/гарз</t>
  </si>
  <si>
    <t>20. ЗАРДАЛ</t>
  </si>
  <si>
    <t>20.1 Борлуулалт маркетингийн болон ерөнхий ба удирдлагын зардлууд</t>
  </si>
  <si>
    <t>Зардлын төрөл</t>
  </si>
  <si>
    <t>БорМар</t>
  </si>
  <si>
    <t>ЕрУд</t>
  </si>
  <si>
    <t>Ажиллагчдын цалингийн зардал</t>
  </si>
  <si>
    <t>Аж ахуйн нэгжээс төлсөн НДШ-ийн зардал</t>
  </si>
  <si>
    <t xml:space="preserve">Албан татвар, төлбөр, хураамжийн зардал </t>
  </si>
  <si>
    <t>Сургалтын зардал</t>
  </si>
  <si>
    <t>Сонин сэтгүүл захиалгын зардал</t>
  </si>
  <si>
    <t>Засварын зардал</t>
  </si>
  <si>
    <t>Элэгдэл, хорогдлын зардал</t>
  </si>
  <si>
    <t>Харуул хамгаалалтын зардал</t>
  </si>
  <si>
    <t>Цэвэрлэгээ үйлчилгээний зардал</t>
  </si>
  <si>
    <t>Хүлээн авалтын зардал</t>
  </si>
  <si>
    <t>Хангамжийн зардал</t>
  </si>
  <si>
    <t>20.2 Бусад зардал</t>
  </si>
  <si>
    <t>Алданги торгуулийн зардал</t>
  </si>
  <si>
    <t>Хандивийн зардал</t>
  </si>
  <si>
    <t>Найдваргүй авлагын зардал</t>
  </si>
  <si>
    <t>Хувийн хэрэглээний зардал</t>
  </si>
  <si>
    <t>20.3 Цалингийн зардал</t>
  </si>
  <si>
    <t>Ажиллагчдын дундаж тоо</t>
  </si>
  <si>
    <t>Цалингийн зардлын дүн</t>
  </si>
  <si>
    <t>өмнөх оны дүн</t>
  </si>
  <si>
    <t>тайлант оны дүн</t>
  </si>
  <si>
    <t>Үйлдвэрлэл, үйлчлгээний:</t>
  </si>
  <si>
    <t>Борлуулалт, маркетингийн:</t>
  </si>
  <si>
    <t>Ерөнхий ба удирдлагын:</t>
  </si>
  <si>
    <t>21. ОРЛОГЫН ТАТВАРЫН ЗАРДАЛ</t>
  </si>
  <si>
    <t>Тайлангийн үеийн орлогын татварын зардал</t>
  </si>
  <si>
    <t>Хойшлогдсон татварын зардал /орлого/</t>
  </si>
  <si>
    <t xml:space="preserve">Орлогын татварын зардал /орлого/ -ын нийт дүн </t>
  </si>
  <si>
    <t>Тэмдэглэл. /Орлогын татварын зардал  /орлого/-ын бүрэлдэхүүн тус бүрээр тайлбар, тэмдэглэл хийнэ.</t>
  </si>
  <si>
    <t>22. ХОЛБООТОЙ ТАЛУУДТАЙ ХИЙСЭН АЖИЛ ГҮЙЛГЭЭ</t>
  </si>
  <si>
    <t>22.1 Толгой компани, хамгийн дээд хяналт тавигч компани, хувь хүний талаарх мэдээлэл****</t>
  </si>
  <si>
    <t>Толгой компани</t>
  </si>
  <si>
    <t>Хамгийн дээд хяналт тавигч толгой компани</t>
  </si>
  <si>
    <t>Хамгийн дээд хяналт тавигч хувь хүн</t>
  </si>
  <si>
    <t>Òàéëáàð</t>
  </si>
  <si>
    <t>Нэр</t>
  </si>
  <si>
    <t>Бүртгэгдсэн /оршин суугаа/ улс</t>
  </si>
  <si>
    <t>Эзэмшлийн хувь</t>
  </si>
  <si>
    <r>
      <rPr>
        <sz val="9"/>
        <color theme="1"/>
        <rFont val="Times New Roman"/>
        <family val="1"/>
      </rPr>
      <t xml:space="preserve">****- НББОУС- 24 </t>
    </r>
    <r>
      <rPr>
        <i/>
        <sz val="9"/>
        <color theme="1"/>
        <rFont val="Times New Roman"/>
        <family val="1"/>
      </rPr>
      <t>Холбоотой талуудын тодруулга</t>
    </r>
    <r>
      <rPr>
        <sz val="9"/>
        <color theme="1"/>
        <rFont val="Times New Roman"/>
        <family val="1"/>
      </rPr>
      <t>-д заасны дагуу тодруулна.</t>
    </r>
  </si>
  <si>
    <t>22.2 Тэргүүлэх удирдлагын бүрэлдэхүүнд олгосон нөхөн олговрын тухай мэдээлэл</t>
  </si>
  <si>
    <t>Тэргүүлэх удирдлага гэдэгт ....................................................................................................................................... бүрэлдэхүүнийг хамруулав.*****</t>
  </si>
  <si>
    <t xml:space="preserve">Нөхөн олговорын нэр </t>
  </si>
  <si>
    <t>Богино болон урт хугацааны тэтгэмж</t>
  </si>
  <si>
    <t>Ажил эрхлэлтийн дараах, ажлаас халагдсаны тэтгэмж</t>
  </si>
  <si>
    <t>Хувьцаанд суурилсан төлбөр</t>
  </si>
  <si>
    <t>*****- Тэргүүлэх удирдлагад ямар бүрэлдэхүүнийг хамруулснаа тодруулна. Тухайлбал, захирлуудын зөвлөл, удирдах зөвлөлийн гишүүд гэх мэт.</t>
  </si>
  <si>
    <t>22.3 Холбоотой талуудтай хийсэн ажил гүйлгээ</t>
  </si>
  <si>
    <t xml:space="preserve">Холбоотой талын нэр </t>
  </si>
  <si>
    <t>Ажил гүйлгээний утга</t>
  </si>
  <si>
    <t xml:space="preserve">Дүн </t>
  </si>
  <si>
    <t xml:space="preserve">23. БОЛЗОШГҮЙ ХӨРӨНГӨ БА ӨР ТӨЛБӨР </t>
  </si>
  <si>
    <t>Тэмдэглэл. (Болзошгүй хөрөнгө ба өр төлбөрийн мөн чанар, хэрэв практик боломжтой бол тэдгээрийн санхүүгийн нөлөөллийн тооцооллыг тодруулна.)</t>
  </si>
  <si>
    <t>24. ТАЙЛАГНАЛЫН ҮЕИЙН ДАРААХ ҮЙЛ ЯВЦ</t>
  </si>
  <si>
    <t>Тэмдэглэл. (Тайлагналын өдрийн дараах үл залруулагдах үйл явдлын материаллаг ангилал тус бүрийн хувьд мөн чанар, санхүүгийн нөлөөллийн тооцоолол зэргийг тодруулж бусад тайлбар, тэмдэглэл хийнэ.)</t>
  </si>
  <si>
    <t>25. ХӨРӨНГӨ ОРУУЛАЛТ</t>
  </si>
  <si>
    <t>Тайлант хугацаанд хийгдсэн хөрөнгө оруулалт (төгрөгөөр)</t>
  </si>
  <si>
    <t xml:space="preserve">Аж ахуйн нэгжийн өөрийн хөрөнгөөр </t>
  </si>
  <si>
    <t>Улсын төсвийн хөрөнгөөр</t>
  </si>
  <si>
    <t>Орон нутгийн төсвийн хөрөнгөөр</t>
  </si>
  <si>
    <t xml:space="preserve"> Банкны зээл</t>
  </si>
  <si>
    <t>Гадаадын шууд хөрөнгө оруулалт</t>
  </si>
  <si>
    <t>Гадаадын зээл</t>
  </si>
  <si>
    <t>Гадаадын буцалтгүй тусламж</t>
  </si>
  <si>
    <t>Төсөл хөтөлбөр хандив</t>
  </si>
  <si>
    <t>Бусад эх үүсвэр</t>
  </si>
  <si>
    <t>Биет хөрөнгө</t>
  </si>
  <si>
    <t>Үүнээс: Орон сууцны барилга</t>
  </si>
  <si>
    <t>Авто зам</t>
  </si>
  <si>
    <t>Машин,тоног төхөөрөмж</t>
  </si>
  <si>
    <t>Компьютер,бусад хөрөнгө</t>
  </si>
  <si>
    <t>Бусад биет хөрөнгө</t>
  </si>
  <si>
    <t>Үүнээс:ХОЗҮХХ</t>
  </si>
  <si>
    <t>1.1.0</t>
  </si>
  <si>
    <t>Биет хөрөнгийн дүн:</t>
  </si>
  <si>
    <t>Компьютер,программ хангамж</t>
  </si>
  <si>
    <t>Үүнээс:Прогром хангамж</t>
  </si>
  <si>
    <t>Мэдээллийн сан</t>
  </si>
  <si>
    <t>2.7.1</t>
  </si>
  <si>
    <t>Үүнээс:Зураг төсвийн ажил,ТЭЗҮ боловсруулах туршилт судалгаа</t>
  </si>
  <si>
    <t>Биет бус хөрөнгийн дүн:</t>
  </si>
  <si>
    <t>Хайгуул үнэлгээний хөрөнгө</t>
  </si>
  <si>
    <t>Үүнээс: Биет хөрөнгө</t>
  </si>
  <si>
    <t xml:space="preserve">Биет бус хөрөнгө </t>
  </si>
  <si>
    <t>Нийт хөрөнгө:</t>
  </si>
  <si>
    <t>ХОЗҮХХ-Хөрөнгө оруулалтын зориулалттай үл хөдлөх хөрөнгө</t>
  </si>
  <si>
    <t>Сангийн, эдийн засгийн сайдын 2002 оны 191 тоот тушаалаар батлав.</t>
  </si>
  <si>
    <t>АВЛАГА, ӨГЛӨГЫН ДЭЛГЭРЭНГҮЙ БҮРТГЭЛ</t>
  </si>
  <si>
    <t xml:space="preserve">Бэлтгэсэн огноо: </t>
  </si>
  <si>
    <t>Ажил гүйлгээ</t>
  </si>
  <si>
    <t>Харилцагчид</t>
  </si>
  <si>
    <t>ДТ</t>
  </si>
  <si>
    <t>КТ</t>
  </si>
  <si>
    <t>Дебит</t>
  </si>
  <si>
    <t>Кредит</t>
  </si>
  <si>
    <t>Цалин олгох хүснэгт</t>
  </si>
  <si>
    <t>2021 оны цалингийн тооцоо</t>
  </si>
  <si>
    <t>Цалингийн хүснэгт</t>
  </si>
  <si>
    <t>Сар</t>
  </si>
  <si>
    <t>Овог</t>
  </si>
  <si>
    <t>Ажилчдын нэрс</t>
  </si>
  <si>
    <t>Тооцсон цалин</t>
  </si>
  <si>
    <t>Амралтын мөнгө</t>
  </si>
  <si>
    <t>Олговол зохих цалин</t>
  </si>
  <si>
    <t>Суутгалууд</t>
  </si>
  <si>
    <t>Нийт суутгал</t>
  </si>
  <si>
    <t>Гарт олгох цалин</t>
  </si>
  <si>
    <t>Даатгуулагч</t>
  </si>
  <si>
    <t>Ажил олгогч</t>
  </si>
  <si>
    <t>Нийт НДШ</t>
  </si>
  <si>
    <t>ХХОАТ тооцох цалин</t>
  </si>
  <si>
    <t>ХХОАТ хөнгөлөлт</t>
  </si>
  <si>
    <t>Төлөх ХХОАТ дүн</t>
  </si>
  <si>
    <t xml:space="preserve">                            Үндэсний татварын алба    </t>
  </si>
  <si>
    <t>Монголын татварын алба</t>
  </si>
  <si>
    <t>Маягт ТТ-02</t>
  </si>
  <si>
    <t>Аж ахуйн нэгжийн орлогын албан татварын тайлан</t>
  </si>
  <si>
    <t>(Улсын төсвийн орлого, хяналтын газартай харилцагч )</t>
  </si>
  <si>
    <t>ТТД:</t>
  </si>
  <si>
    <t>Нэр:</t>
  </si>
  <si>
    <t xml:space="preserve">3 Хариуцлагын хэлбэр </t>
  </si>
  <si>
    <t>Эрхлэх үйл ажиллагаа</t>
  </si>
  <si>
    <t xml:space="preserve">Үндсэн: </t>
  </si>
  <si>
    <t xml:space="preserve">код </t>
  </si>
  <si>
    <t>5. Тайлант хугацаа: он | 2 | 0 | 2 | 0 |  улирал          4</t>
  </si>
  <si>
    <t>( ) Тухайн тайлангийн хугацаанд үйлдвэрлэл явуулж, борлуулалт хийгээгүй бол (х) -ээр тэмдэглэнэ.</t>
  </si>
  <si>
    <t>А. Нийтлэг хувь хэмжээгээр ногдуулах татварын тооцоолол:</t>
  </si>
  <si>
    <t>(оны эхнээс өссөн дүнгээр, төгрөг, мөнгөөр)</t>
  </si>
  <si>
    <t>Үзүүлэлтүүд</t>
  </si>
  <si>
    <t>Мөр</t>
  </si>
  <si>
    <t>Татвар төлөгчийн  тодорхойлсон</t>
  </si>
  <si>
    <t>1. Нийт орлогын дүн ( мөр 2+3+4+5)</t>
  </si>
  <si>
    <t>Үүнээс</t>
  </si>
  <si>
    <t xml:space="preserve">	1.1. Татвараас чөлөөлөгдөх орлогын дүн /ХМ-02(1) хавсралт мэдээг бөглөх/</t>
  </si>
  <si>
    <t>1.2. Тусгай хувь хэмжээгээр татвар ногдох орлого (32) /ХМ-02(5), ХМ-02(6) хавсралт мэдээг бөглөх/</t>
  </si>
  <si>
    <t>1.3. Бусад орлогын дүн (Гадаад валютын ханшийн зөрүүгийн бодит бус орлого г.м) /ХМ-02(9) хавсралт мэдээг бөглөх/</t>
  </si>
  <si>
    <t>1.4. Нийтлэг хувь хэмжээгээр татвар ногдох орлого ( 6+8+…+16) /ХМ-02(2) хавсралт мэдээг бөглөх/</t>
  </si>
  <si>
    <t>Бараа, ажил, үйлчилгээний борлуулалтын орлого</t>
  </si>
  <si>
    <t>Техникийн, удирдлагын, зөвлөхийн болон бусад үйлчилгээний орлого</t>
  </si>
  <si>
    <t>Үл хөдлөх эд хөрөнгө ашиглуулсан болон түрээслүүлсний орлого</t>
  </si>
  <si>
    <t>Хөдлөх эд хөрөнгө ашиглуулсан болон түрээслүүлсний орлого</t>
  </si>
  <si>
    <t>Үнэ төлбөргүйгээр бусдаас авсан бараа, ажил, үйлчилгээний орлого</t>
  </si>
  <si>
    <t>Гэрээгээр хүлээсэн үүргээ биелүүлээгүй этгээдээс авсан хүү, анз /торгууль, алданги/, хохирлын нөхөн төлбөрийн орлого</t>
  </si>
  <si>
    <t>Төлбөрт таавар, бооцоот тоглоом, эд мөнгөний хонжворт сугалааны үйл ажиллагааны орлого</t>
  </si>
  <si>
    <t>Хувьцаа, үнэт цаас, санхүүгийн бусад хэрэгсэл борлуулсны орлого</t>
  </si>
  <si>
    <t>Бусад биет бус хөрөнгө болон хөдлөх эд хөрөнгө борлуулсан, шилжүүлсний орлого /хуулийн 10.1.2, 10.1.3- т заасан орлогоос бусад/</t>
  </si>
  <si>
    <t>Гадаад валютын ханшийн зөрүүгийн бодит орлого</t>
  </si>
  <si>
    <t>Албан татвар ногдох бусад орлого</t>
  </si>
  <si>
    <t>2. Нийт зардлын дүн (18+19+20) /ХМ-02(3a), ХМ-02(3б), ХМ-02(3в) хавсралт мэдээг бөглөх/</t>
  </si>
  <si>
    <t>2.1. Борлуулсан бүтээгдэхүүний өртөг</t>
  </si>
  <si>
    <t>2.2. Удирдлагын болон борлуулалтын үйл ажиллагааны зардал</t>
  </si>
  <si>
    <t>2.3. Үндсэн бус үйл ажиллагааны зардал</t>
  </si>
  <si>
    <t xml:space="preserve"> Татвар төлөхийн өмнөх ашиг +, алдагдал - (1-17 )</t>
  </si>
  <si>
    <t>Татвар төлөхийн өмнөх ашиг, алдагдлыг нэмэгдүүлэх дүн /ХМ-02(9) хавсралт мэдээг бөглөх/</t>
  </si>
  <si>
    <t>Татвар төлөхийн өмнөх ашиг, алдагдлыг бууруулах дүн /ХМ-02(9) хавсралт мэдээг бөглөх/</t>
  </si>
  <si>
    <t>Татвар ногдуулах орлогын дүн ( мөр 21+22-23)</t>
  </si>
  <si>
    <t xml:space="preserve"> Сайн дурын даатгалын хураамжийн хэтрэлт /ХМ-02(3в) хавсралт мэдээг бөглөх/</t>
  </si>
  <si>
    <t>Зохицуулагдсан татвар ногдуулах орлогын дүн (мөр 24+25)</t>
  </si>
  <si>
    <t>Өмнөх жилүүдийн татварын тайлангаар гарсан татварын албаар баталгаажуулсан алдагдлаас тайлант хугацаанд шилжүүлсэн дүн /ХМ-02(4) хавсралт мэдээг бөглөх/</t>
  </si>
  <si>
    <t>Нийтлэг хувь хэмжээгээр татвар ногдуулах орлого (26-27)</t>
  </si>
  <si>
    <t>Ногдуулсан төлбөл зохих албан татвар (28 * хуулийн 20.1, 20.2.7- д заасан хувиар) /ХМ-02(8) хавсралт мэдээний 2-р хэсгийг бөглөх/</t>
  </si>
  <si>
    <t>Хуулийн 22.5-д заасны дагуу хөнгөлөгдөх татвар</t>
  </si>
  <si>
    <t>13. НИЙТЛЭГ ХУВЬ ХЭМЖЭЭГЭЭР ТӨЛБӨЛ ЗОХИХ АЛБАН ТАТВАР (мөр 29-30)</t>
  </si>
  <si>
    <t>Б. Тусгай хувь хэмжээгээр ногдуулах татварын тооцоолол:</t>
  </si>
  <si>
    <t>14.Тусгай хувь хэмжээгээр татвар ногдох орлого (33+38+39+40+41+42+44+45+47+49)</t>
  </si>
  <si>
    <t>15. Төрийн байгууллагаас олгосон эрх борлуулсан, шилжүүлсний орлого /ХМ-02(5) хавсралт мэдээг бөглөх/</t>
  </si>
  <si>
    <t>Төрийн байгууллагаас эрх олгосон тохиолдолд эрх авахтай холбогдон төрийн байгууллагад төлсөн баримтаар нотлогдох төлбөр, хураамж</t>
  </si>
  <si>
    <t>Бусдаас худалдаж, шилжүүлж авсан тохиолдолд хэлцлийн дагуу худалдах, шилжүүлэн авахад төлсөн, шилжүүлсэн баримтаар нотлогдох төлбөр</t>
  </si>
  <si>
    <t>Татвар ногдуулах орлого (мөр 33-34-35)</t>
  </si>
  <si>
    <t>Эрх борлуулсан, шилжүүлсний орлогод ногдох татвар ((36 * 10%) + Үнэлгээнээс нэмж тооцсон татвар)</t>
  </si>
  <si>
    <t>16. Эрхийн шимтгэлийн орлого /ХМ-02(6) хавсралт мэдээг бөглөх/</t>
  </si>
  <si>
    <t>17. Ногдол ашгийн орлого /ХМ-02(6) хавсралт мэдээг бөглөх/</t>
  </si>
  <si>
    <t>18. Байгаль орчинд нөлөөлөх байдлын үнэлгээний тухай хуулийн 9.11, Газрын тосны тухай хуулийн 11.1.4,12.5-д заасны дагуу буцаан олгосон мөнгөн хөрөнгө /ХМ-02(6) хавсралт мэдээг бөглөх/</t>
  </si>
  <si>
    <t>19. Даатгалын нөхөн төлбөрийн орлого /ХМ-02(6) хавсралт мэдээг бөглөх/</t>
  </si>
  <si>
    <t>20. Хүүгийн орлого /ХМ-02(6) хавсралт мэдээг бөглөх/</t>
  </si>
  <si>
    <t>Ногдуулсан татвар (( 38+39+40+41+42) * 10%)</t>
  </si>
  <si>
    <t>21. Монгол Улсын арилжааны банкны гадаад, дотоодын эх үүсвэрээс татсан зээл, өрийн хэрэгслийн хүүгийн орлого /ХМ-02(6) хавсралт мэдээг бөглөх/</t>
  </si>
  <si>
    <t>22. Ашигт малтмал, цацраг идэвхт ашигт малтмал, газрын тосны хайгуулын болон ашиглалтын тусгай зөвшөөрөл эзэмшдэггүй /Үүнд энэ хуулийн 4.1.12, 30.1-д заасан этгээд мөн хамаарна./ Монгол Улсад байрладаг албан татвар төлөгчийн гадаад, дотоодын үнэт цаасны анхдагч болон хоёрдогч зах зээлд нээлттэй арилжаалах өрийн хэрэгсэл, нэгж эрх худалдан авсан албан татвар төлөгчийн хүүгийн орлого /ХМ-02(6) хавсралт мэдээг бөглөх/</t>
  </si>
  <si>
    <t>Ногдуулсан татвар (( 44+45) * 5%)</t>
  </si>
  <si>
    <r>
      <t>23. Үл хөдлөх эд хөрөнгө борлуулсан, шилжүүлсний орлого /</t>
    </r>
    <r>
      <rPr>
        <b/>
        <sz val="11"/>
        <color theme="1"/>
        <rFont val="Times New Roman"/>
        <family val="1"/>
      </rPr>
      <t>ХМ-02(6) хавсралт мэдээг бөглөх</t>
    </r>
    <r>
      <rPr>
        <sz val="11"/>
        <color theme="1"/>
        <rFont val="Times New Roman"/>
        <family val="1"/>
      </rPr>
      <t>/</t>
    </r>
  </si>
  <si>
    <t>Ногдуулсан татвар ( 47 * 2%)</t>
  </si>
  <si>
    <r>
      <t>24. Төлбөрт таавар, бооцоот тоглоом, эд мөнгөний хонжворт сугалаанаас хожсон орлого /</t>
    </r>
    <r>
      <rPr>
        <b/>
        <sz val="11"/>
        <color theme="1"/>
        <rFont val="Times New Roman"/>
        <family val="1"/>
      </rPr>
      <t>ХМ-02(6) хавсралт мэдээг бөглөх</t>
    </r>
    <r>
      <rPr>
        <sz val="11"/>
        <color theme="1"/>
        <rFont val="Times New Roman"/>
        <family val="1"/>
      </rPr>
      <t>/</t>
    </r>
  </si>
  <si>
    <t>Ногдуулсан татвар ( 49 *40%)</t>
  </si>
  <si>
    <t xml:space="preserve">25. ТУСГАЙ ХУВЬ ХЭМЖЭЭГЭЭР НОГДУУЛСАН АЛБАН ТАТВАР (37+43+46+48+50) </t>
  </si>
  <si>
    <t>В. Албан татвар ногдуулах тооцоолол:</t>
  </si>
  <si>
    <t>26. Хуулийн дагуу бусдад суутгуулсан албан татвар /зөвхөн суутгуулан төлсөн албан татварын дүн байна/</t>
  </si>
  <si>
    <t>27. Төлбөл зохих албан татвараас хасагдах гадаад улсад ногдуулан төлсөн албан татвар /ХМ-02(7) хавсралт мэдээг бөглөх/</t>
  </si>
  <si>
    <t>28. ТӨЛБӨЛ ЗОХИХ ТАТВАРЫН ДҮН (31+51-52-53)</t>
  </si>
  <si>
    <t>29. Хуулийн 22.1-т заасны дагуу албан татварыг хөнгөлөн буцаан авахаар тооцсон дүн</t>
  </si>
  <si>
    <t>Г. Аж ахуйн нэгжийн орлогын албан татвараас хөнгөлөх, чөлөөлөх тухай хуулийн дагуу албан татвараас хөнгөлөх, чөлөөлөх татварын тооцоолол</t>
  </si>
  <si>
    <t>30. Түрээсийн төлбөрийг бууруулсан аж ахуйн нэгжийг орлогын албан татвараас хөнгөлөх (Мэдээ ХМ(10) 27-р багана нийт дүн)</t>
  </si>
  <si>
    <t>31. Аж ахуйн нэгжийн орлогын албан татвараас чөлөөлөх мэдээ /ХМ-02(12)-ийн 5-р баганын 31 дүгээр мөрийн дүн/</t>
  </si>
  <si>
    <t>32. Нийт төлбөл зохих татварын дүн (мөр 31 - (мөр57 + мөр58) + мөр51 - мөр52 - мөр53))</t>
  </si>
  <si>
    <t xml:space="preserve">Г. Татварын тооцоолол                                                                                              </t>
  </si>
  <si>
    <t>Дебет</t>
  </si>
  <si>
    <t>Тайлангийн эхний үлдэгдэл</t>
  </si>
  <si>
    <t>Илүү</t>
  </si>
  <si>
    <t>Дутуу</t>
  </si>
  <si>
    <t>Тайлант хугацаанд ногдуулсан татвар (мөр 59)</t>
  </si>
  <si>
    <t>Тайлант хугацаанд төлсөн</t>
  </si>
  <si>
    <t>Татварын алба болон татвар төлөгч хоорондын тооцоогоор төлсөн</t>
  </si>
  <si>
    <t>Тайлангийн хугацаанд төсвөөс буцаан авсан</t>
  </si>
  <si>
    <t>Тайлангийн хугацаанд хүлээн авсан үлдэгдэл</t>
  </si>
  <si>
    <t>Тайлангийн хугацаанд шилжүүлсэн үлдэгдэл</t>
  </si>
  <si>
    <t>Тайлангийн хугацаанд хүчингүй болгосон</t>
  </si>
  <si>
    <t xml:space="preserve">Суутган тооцсон </t>
  </si>
  <si>
    <t>Тайлангийн эцсийн үлдэгдэл</t>
  </si>
  <si>
    <t>Тайланг үнэн зөв гаргасан:</t>
  </si>
  <si>
    <t>Тайланг хянаж хүлээж авсан:</t>
  </si>
  <si>
    <t>Татварын улсын байцаагч: ..................................</t>
  </si>
  <si>
    <r>
      <rPr>
        <sz val="8"/>
        <rFont val="Times New Roman"/>
        <family val="1"/>
      </rPr>
      <t>Сангийн сайдын 2017 оны        дугаар</t>
    </r>
  </si>
  <si>
    <r>
      <rPr>
        <sz val="8"/>
        <rFont val="Times New Roman"/>
        <family val="1"/>
      </rPr>
      <t>тушаалын 2 дугаар хавсралт</t>
    </r>
  </si>
  <si>
    <t>САНХҮҮГИЙН БОЛОН ТАТВАРЫН ТАЙЛАНГИЙН</t>
  </si>
  <si>
    <r>
      <rPr>
        <b/>
        <sz val="12"/>
        <rFont val="Times New Roman"/>
        <family val="1"/>
      </rPr>
      <t>ҮЗҮҮЛЭЛТ ХООРОНДЫН ЗӨРҮҮГ ЗОХИЦУУЛАХ ТАЙЛАН</t>
    </r>
  </si>
  <si>
    <r>
      <rPr>
        <sz val="10"/>
        <rFont val="Times New Roman"/>
        <family val="1"/>
      </rPr>
      <t>(оны эхнээс өссөн дүнгээр, төгрөгөөр)</t>
    </r>
  </si>
  <si>
    <r>
      <rPr>
        <b/>
        <sz val="10"/>
        <rFont val="Times New Roman"/>
        <family val="1"/>
      </rPr>
      <t>Үзүүлэлт</t>
    </r>
  </si>
  <si>
    <r>
      <rPr>
        <b/>
        <sz val="10"/>
        <rFont val="Times New Roman"/>
        <family val="1"/>
      </rPr>
      <t>Мөр</t>
    </r>
  </si>
  <si>
    <r>
      <rPr>
        <b/>
        <sz val="10"/>
        <rFont val="Times New Roman"/>
        <family val="1"/>
      </rPr>
      <t>Дүн</t>
    </r>
  </si>
  <si>
    <r>
      <rPr>
        <sz val="10"/>
        <rFont val="Times New Roman"/>
        <family val="1"/>
      </rPr>
      <t>Санхүүгийн тайлангийн татварын өмнөх ашгийн дүн</t>
    </r>
  </si>
  <si>
    <r>
      <rPr>
        <b/>
        <sz val="11"/>
        <rFont val="Times New Roman"/>
        <family val="1"/>
      </rPr>
      <t>A   БАЙНГЫН ЗӨРҮҮГЭЭР ЗОХИЦУУЛАГДАХ ДҮН</t>
    </r>
  </si>
  <si>
    <r>
      <rPr>
        <b/>
        <sz val="11"/>
        <rFont val="Times New Roman"/>
        <family val="1"/>
      </rPr>
      <t>Байнгын зөрүүгийн нэмэгдүүлэх дүн (мөр 3+4)</t>
    </r>
  </si>
  <si>
    <t>Албан татвар ногдох орлогоос хасагдахгүй зардал)</t>
  </si>
  <si>
    <t>Бусад байнгын зөрүүгийн нэмэгдүүлэх дүн</t>
  </si>
  <si>
    <r>
      <rPr>
        <b/>
        <sz val="11"/>
        <rFont val="Times New Roman"/>
        <family val="1"/>
      </rPr>
      <t>Байнгын зөрүүгийн бууруулах дүн (мөр 6+7+8+9)</t>
    </r>
  </si>
  <si>
    <t>Татвараас чөлөөлөгдөх орлогын дүн (Мэдээ ХМ-02(1))</t>
  </si>
  <si>
    <t>Тусгай хувь хэмжээгээр татвар ногдох орлогын дүн (Маягт ТТ-02 мөр 32)</t>
  </si>
  <si>
    <r>
      <rPr>
        <sz val="10"/>
        <rFont val="Times New Roman"/>
        <family val="1"/>
      </rPr>
      <t>Бусад байнгын зөрүүгийн бууруулах дүн</t>
    </r>
  </si>
  <si>
    <r>
      <rPr>
        <b/>
        <sz val="10"/>
        <rFont val="Times New Roman"/>
        <family val="1"/>
      </rPr>
      <t>БАЙНГЫН ЗӨРҮҮГЭЭР ЗОХИЦУУЛАГДСАН ДҮН (мөр 1+2-5)</t>
    </r>
  </si>
  <si>
    <r>
      <rPr>
        <b/>
        <sz val="10"/>
        <rFont val="Times New Roman"/>
        <family val="1"/>
      </rPr>
      <t>Б   ТҮР ЗӨРҮҮГЭЭР ЗОХИЦУУЛАГДАХ ДҮН</t>
    </r>
  </si>
  <si>
    <t>3  Түр зөрүүгийн нэмэгдүүлэх дүн (мөр 11+12+13)</t>
  </si>
  <si>
    <t>Элэгдлийн зардал- Санхүүгийн тайлангийн</t>
  </si>
  <si>
    <t>Валютын ханшийн зөрүүгийн бодит бус алдагдал</t>
  </si>
  <si>
    <t>Бусад түр зөрүүгийн нэмэгдүүлэх дүн</t>
  </si>
  <si>
    <t>4  Түр зөрүүгийн бууруулах дүн (мөр 15+16+17)</t>
  </si>
  <si>
    <t>Элэгдлийн зардал – Татварын тайлангийн</t>
  </si>
  <si>
    <t xml:space="preserve">Валютын ханшийн зөрүүгийн бодит бус ашиг </t>
  </si>
  <si>
    <t>Бусад түр зөрүүгийн бууруулах дүн</t>
  </si>
  <si>
    <t>ТҮР ЗӨРҮҮГЭЭР ЗОХИЦУУЛАГДСАН ДҮН (мөр 9+10-14)</t>
  </si>
  <si>
    <t>В   ТАЙЛАНТ ҮЕИЙН ТАТВАРЫН ЗАРДЛЫН ТООЦООЛОЛ</t>
  </si>
  <si>
    <t>Сайн дурын даатгалын хураамжийн хэтрэлт (Сайн дурын даатгалын зардлын нийт дүн - мөр20*15%)</t>
  </si>
  <si>
    <t>Шилжүүлэх алдагдлын дүн (Мэдээ ХМ-02(4) “Тайлангаар гарсан алдагдлыг шилжүүлэн тооцох мэдээ” мөр 17)</t>
  </si>
  <si>
    <t>Нийтлэг хувь хэмжээгээр татвар ногдуулах орлогын дүн (мөр 18+19-20)</t>
  </si>
  <si>
    <t>Ногдуулсан татвар (мөр 21 * хуулийн 20.1, 20.2.7-д заасан татварын хувь хэмжээ)</t>
  </si>
  <si>
    <t>Тусгай хувь хэмжээгээр төлбөл зохих татварын дүн (Маягт ТТ-02 “Тусгай хувь хэмжээгээр ногдуулах албан татвар тооцоолол”-ын мөр 51)</t>
  </si>
  <si>
    <t>Хөнгөлөгдөх татварын дүн (Маягт ТТ-02 “Нийтлэг хувь хэмжээгээр ногдуулах албан татварын тооцоолол”-ын мөр 30)</t>
  </si>
  <si>
    <t>Хуулийн дагуу бусдад суутгуулсан албан татварын дүн (Маягт ТТ-02 мөр 52)</t>
  </si>
  <si>
    <t>Төлбөл зохих албан татвараас хасагдах гадаад улсад ногдуулан төлсөн албан татвар (Маягт ТТ-02 мөр 53)</t>
  </si>
  <si>
    <t>НИЙТ ТӨЛБӨЛ ЗОХИХ ТАТВАР (мөр 22+23-24-25-26)</t>
  </si>
  <si>
    <r>
      <rPr>
        <b/>
        <sz val="10"/>
        <rFont val="Times New Roman"/>
        <family val="1"/>
      </rPr>
      <t>Д   ХОЙШЛОГДСОН ТАТВАРЫН ӨР ТӨЛБӨРИЙН ТООЦООЛОЛ</t>
    </r>
  </si>
  <si>
    <r>
      <rPr>
        <sz val="10"/>
        <rFont val="Times New Roman"/>
        <family val="1"/>
      </rPr>
      <t>Хойшлогдсон татварын өр төлбөрийн эхний үлдэгдэл</t>
    </r>
  </si>
  <si>
    <r>
      <rPr>
        <sz val="10"/>
        <rFont val="Times New Roman"/>
        <family val="1"/>
      </rPr>
      <t>Татварын хувь хэмжээний өөрчлөлтийн улмаас хойшлогдсон татварын өр төлбөрийн эхний үлдэгдлийг нэмэгдүүлэх (бууруулах) залруулга</t>
    </r>
  </si>
  <si>
    <r>
      <rPr>
        <sz val="10"/>
        <rFont val="Times New Roman"/>
        <family val="1"/>
      </rPr>
      <t>Хойшлогдсон татварын өр төлбөрийн эцсийн үлдэгдэл (Татвар ногдох түр зөрүүгийн дүн*Татварын дундаж хувь хэмжээ)</t>
    </r>
  </si>
  <si>
    <r>
      <rPr>
        <sz val="10"/>
        <rFont val="Times New Roman"/>
        <family val="1"/>
      </rPr>
      <t>Бусад дэлгэрэнгүй орлогод бүртгэсэн хойшлогдсон татварын өр төлбөрийн дүн (буцаалт)</t>
    </r>
  </si>
  <si>
    <r>
      <rPr>
        <b/>
        <sz val="10"/>
        <rFont val="Times New Roman"/>
        <family val="1"/>
      </rPr>
      <t>Татвар ногдуулах түр зөрүүтэй холбоотой тайлант хугацаанд хүлээн зөвшөөрөх хойшлогдсон татварын зардал, (орлого)  (мөр 31-32-30-29)</t>
    </r>
  </si>
  <si>
    <r>
      <rPr>
        <b/>
        <sz val="10"/>
        <rFont val="Times New Roman"/>
        <family val="1"/>
      </rPr>
      <t>Е   ХОЙШЛОГДСОН ТАТВАРЫН ХӨРӨНГИЙН ТООЦООЛОЛ</t>
    </r>
  </si>
  <si>
    <r>
      <rPr>
        <sz val="10"/>
        <rFont val="Times New Roman"/>
        <family val="1"/>
      </rPr>
      <t>Хойшлогдсон татварын хөрөнгийн эхний үлдэгдэл</t>
    </r>
  </si>
  <si>
    <r>
      <rPr>
        <sz val="10"/>
        <rFont val="Times New Roman"/>
        <family val="1"/>
      </rPr>
      <t>Татварын хувь хэмжээний өөрчлөлтийн улмаас хойшлогдсон татварын хөрөнгийн эхний үлдэгдлийг нэмэгдүүлэх (бууруулах) залруулга</t>
    </r>
  </si>
  <si>
    <r>
      <rPr>
        <sz val="10"/>
        <rFont val="Times New Roman"/>
        <family val="1"/>
      </rPr>
      <t>Хойшлогдсон татварын хөрөнгийн тооцоолсон эцсийн үлдэгдэл (Хасагдах түр зөрүүгийн дүн*Татварын дундаж хувь)</t>
    </r>
  </si>
  <si>
    <r>
      <rPr>
        <sz val="10"/>
        <rFont val="Times New Roman"/>
        <family val="1"/>
      </rPr>
      <t>Нөхөгдөх боломжгүй хойшлогдсон татварын хөрөнгийн дүн</t>
    </r>
  </si>
  <si>
    <r>
      <rPr>
        <sz val="10"/>
        <rFont val="Times New Roman"/>
        <family val="1"/>
      </rPr>
      <t>Татварын тайлангаарх өмнөх жилүүдийн алдагдлын эцсийн үлдэгдлээс тооцсон хойшлогдсон татварын хөрөнгийн дүн (Мөр 19 * Татварын дундаж хувь хэмжээ)</t>
    </r>
  </si>
  <si>
    <r>
      <rPr>
        <sz val="10"/>
        <rFont val="Times New Roman"/>
        <family val="1"/>
      </rPr>
      <t>Хойшлогдсон татварын хөрөнгийн эцсийн үлдэгдэл (мөр 36-37+38)</t>
    </r>
  </si>
  <si>
    <r>
      <rPr>
        <sz val="10"/>
        <rFont val="Times New Roman"/>
        <family val="1"/>
      </rPr>
      <t xml:space="preserve">Бусад дэлгэрэнгүй орлогод бүртгэсэн хойшлогдсон татварын хөрөнгийн дүн
</t>
    </r>
    <r>
      <rPr>
        <sz val="10"/>
        <rFont val="Times New Roman"/>
        <family val="1"/>
      </rPr>
      <t>(буцаалт)</t>
    </r>
  </si>
  <si>
    <r>
      <rPr>
        <b/>
        <sz val="10"/>
        <rFont val="Times New Roman"/>
        <family val="1"/>
      </rPr>
      <t>Хасагдах түр зөрүүтэй холбоотой тайлант хугацаанд хүлээн зөвшөөрөх хойшлогдсон татварын зардал, (орлого)   (мөр 34+35-39+40)</t>
    </r>
  </si>
  <si>
    <r>
      <rPr>
        <b/>
        <sz val="10"/>
        <rFont val="Times New Roman"/>
        <family val="1"/>
      </rPr>
      <t>Ё   ТАТВАРЫН ЗАРДЛЫН ТООЦООЛОЛ</t>
    </r>
  </si>
  <si>
    <r>
      <rPr>
        <b/>
        <sz val="10"/>
        <rFont val="Times New Roman"/>
        <family val="1"/>
      </rPr>
      <t xml:space="preserve">Орлогын дэлгэрэнгүй тайлан дахь татварын зардлын нийт дүн
</t>
    </r>
    <r>
      <rPr>
        <b/>
        <sz val="10"/>
        <rFont val="Times New Roman"/>
        <family val="1"/>
      </rPr>
      <t>(мөр 43+44+45)</t>
    </r>
  </si>
  <si>
    <r>
      <rPr>
        <sz val="10"/>
        <rFont val="Times New Roman"/>
        <family val="1"/>
      </rPr>
      <t>Үүнээс: Тайлант үеийн татварын зардал (мөр 28)</t>
    </r>
  </si>
  <si>
    <r>
      <rPr>
        <sz val="10"/>
        <rFont val="Times New Roman"/>
        <family val="1"/>
      </rPr>
      <t>Түр зөрүүтэй холбоотой хойшлогдсон татварын зардал (орлого) (мөр 33+41)</t>
    </r>
  </si>
  <si>
    <r>
      <rPr>
        <sz val="10"/>
        <rFont val="Times New Roman"/>
        <family val="1"/>
      </rPr>
      <t>Татварын хувь хэмжээний өөрчлөлтийн улмаас үүссэн хойшлогдсон татварын зардал (орлого) (мөр 30-35)</t>
    </r>
  </si>
  <si>
    <r>
      <rPr>
        <sz val="10"/>
        <rFont val="Times New Roman"/>
        <family val="1"/>
      </rPr>
      <t>Тайланг үнэн зөв гаргасан:</t>
    </r>
  </si>
  <si>
    <r>
      <rPr>
        <sz val="10"/>
        <rFont val="Times New Roman"/>
        <family val="1"/>
      </rPr>
      <t>Дарга /Захирал/:              . . . . . . . . . . . . . .</t>
    </r>
  </si>
  <si>
    <r>
      <rPr>
        <sz val="6"/>
        <rFont val="Calibri"/>
        <family val="2"/>
      </rPr>
      <t>тэмдэг</t>
    </r>
  </si>
  <si>
    <r>
      <rPr>
        <sz val="10"/>
        <rFont val="Times New Roman"/>
        <family val="1"/>
      </rPr>
      <t>Ерөнхий нягтлан бодогч: . . . . . . . . . . . . . .</t>
    </r>
  </si>
  <si>
    <r>
      <rPr>
        <sz val="10"/>
        <rFont val="Times New Roman"/>
        <family val="1"/>
      </rPr>
      <t>20  оны   сарын   өдөр</t>
    </r>
  </si>
  <si>
    <t>Татварын ерөнхий газрын даргын 2017 оны</t>
  </si>
  <si>
    <t xml:space="preserve"> ..... дугаар тушаалын 1 дүгээр хавсралт</t>
  </si>
  <si>
    <t xml:space="preserve">Харилцан хамаарал бүхий этгээдүүдийн хооронд хийгдсэн </t>
  </si>
  <si>
    <t>ажил, үйлчилгээ, барааны гүйлгээний тайлангийн маягт</t>
  </si>
  <si>
    <t>Маягт ХХМ- 01</t>
  </si>
  <si>
    <t>Засвар үйлчилгээ, угсралт</t>
  </si>
  <si>
    <t>6. Харилцан хамаарал бүхий этгээдүүдтэй хийсэн ажил гүйлгээний нэгтгэл</t>
  </si>
  <si>
    <t>Харилцан хамааралтай этгээдийн ТТД</t>
  </si>
  <si>
    <t>Харилцан хамааралтай этгээдийн нэр</t>
  </si>
  <si>
    <t>Харилцан хамааралтай этгээдийн төрөл</t>
  </si>
  <si>
    <t>Харилцан хамааралтай этгээдийн эзэмшиж буй хувьцааны эзлэх хувь</t>
  </si>
  <si>
    <t>Толгой эсхүл Удирдах газрын нэр</t>
  </si>
  <si>
    <t xml:space="preserve"> Толгой эсхүл удирдах газар байрлаж буй хаяг</t>
  </si>
  <si>
    <t>Харилцан хамааралтай этгээдийн ажилчдын тоо</t>
  </si>
  <si>
    <t>Худалдан авалтын нийт дүн /төгрөг/</t>
  </si>
  <si>
    <t>Борлуулалтын нийт дүн /төгрөг/</t>
  </si>
  <si>
    <t>7. Харилцан хамааралтай этгээдүүдтэй хийсэн ажил гүйлгээ</t>
  </si>
  <si>
    <t>Ажил гүйлгээний нэр, төрөл</t>
  </si>
  <si>
    <t xml:space="preserve">Худалдан авалтын дүн </t>
  </si>
  <si>
    <t>Борлуулалтын дүн</t>
  </si>
  <si>
    <t>Өмчлөх, ашиглах эрхтэй эсэх</t>
  </si>
  <si>
    <t>Бодит үнэ тооцсон арга</t>
  </si>
  <si>
    <t>Ашгийн хувь</t>
  </si>
  <si>
    <t xml:space="preserve">Харилцан хамааралтай этгээдийн ТТД </t>
  </si>
  <si>
    <t>Улсын код</t>
  </si>
  <si>
    <t>Харилцан хамааралтай этгээдийн хаяг</t>
  </si>
  <si>
    <t>Тоо ширхэг</t>
  </si>
  <si>
    <t>Нийт дүн /төгрөг</t>
  </si>
  <si>
    <t>Нийт дүн /төгрөг/</t>
  </si>
  <si>
    <r>
      <rPr>
        <sz val="11"/>
        <color theme="1"/>
        <rFont val="Times New Roman"/>
        <family val="1"/>
      </rPr>
      <t xml:space="preserve">    </t>
    </r>
    <r>
      <rPr>
        <b/>
        <sz val="11"/>
        <color theme="1"/>
        <rFont val="Times New Roman"/>
        <family val="1"/>
      </rPr>
      <t>8. Харилцан хамааралтай этгээдүүдтэй хийсэн зээлтэй холбоотой ажил гүйлгээ</t>
    </r>
  </si>
  <si>
    <t>Зээлийн төрөл</t>
  </si>
  <si>
    <t>Хүлээн авсан зээлийн дүн</t>
  </si>
  <si>
    <t>Олгосон зээлийн дүн</t>
  </si>
  <si>
    <t>Зээлийн хүүгийн төрөл</t>
  </si>
  <si>
    <t>Зээлийн үндсэн төлбөрийн хуваарь</t>
  </si>
  <si>
    <t>Зээлийн хүүг хуримтлуулсан эсэх</t>
  </si>
  <si>
    <t>Зээлийн хүүг хуримтлуулсан хугацаа</t>
  </si>
  <si>
    <t>9. Харилцан хамааралтай этгээдүүдтэй зардал хуваах, хувиарлах гэрээ/ зохицуулалтаар хийсэн ажил гүйлгээ</t>
  </si>
  <si>
    <t>Зардал хуваах, зохицуулалтад оролцогчдын нэрс</t>
  </si>
  <si>
    <t>Шууд, шууд бусаар оролцооны байдал</t>
  </si>
  <si>
    <t>Оролцогч этгээдийн хаяг, байршил</t>
  </si>
  <si>
    <t>Гэрээ, зохицуулалтын хэрэгжих хугацаа</t>
  </si>
  <si>
    <t>Зардал хуваах гэрээ, зохицуулалтын дагуу хөгжүүлж буй хөрөнгө, үйлчилгээ, эрхийн нэр төрөл</t>
  </si>
  <si>
    <t>Хуваарьлагдсан зардын дүн /төгрөг/</t>
  </si>
  <si>
    <t>Хүлээгдэж буй өгөөжийн дүн /төгрөг/</t>
  </si>
  <si>
    <t>10. Тухайн татварын жилд гарсан бүтэц зохион байгуулалтын өөрчлөлт</t>
  </si>
  <si>
    <t>Бүтэц зохион байгуулалт өөрчлөгдсөн ТТ нэр</t>
  </si>
  <si>
    <t>Бүтэц зохион байгуулалт өөрчлөгдсөн ТТ хаяг</t>
  </si>
  <si>
    <t>Бүтэц зохион байгуулалтын өөрчлөлт хийхээс өмнөх хөрөнгийн үнэлгээ /төгрөг/</t>
  </si>
  <si>
    <t>Бүтэц зохион байгуулалтын өөрчлөлт хийсний дараах хөрөнгийн үнэлгээ /төгрөг/</t>
  </si>
  <si>
    <t>Бүтэц зохион байгуулалт өөрчлөлт хийх болсон шалтгаан тайлбар</t>
  </si>
  <si>
    <r>
      <rPr>
        <sz val="8"/>
        <color theme="1"/>
        <rFont val="Times New Roman"/>
        <family val="1"/>
      </rPr>
      <t>Бүтэц зохион байгуулалт өөрчлөгдсөн этгээд</t>
    </r>
    <r>
      <rPr>
        <sz val="9"/>
        <color theme="1"/>
        <rFont val="Times New Roman"/>
        <family val="1"/>
      </rPr>
      <t> </t>
    </r>
  </si>
  <si>
    <t>Харилцан хамааралтай этгээд</t>
  </si>
  <si>
    <t>Бүтэц зохион байгуулалт өөрчлөгдсөн этгээд</t>
  </si>
  <si>
    <t>11. Монгол Улсын хуулийн этгээдийн хувьцааг шууд болон шууд бусаар эзэмшиж буй хувьцааны өөрчлөлт</t>
  </si>
  <si>
    <t> Монгол Улсын хуулийн этгээдийн ТТД</t>
  </si>
  <si>
    <t>Хувьцаа эзэмшигч этгээдийн нэр</t>
  </si>
  <si>
    <t>Хувьцаа эзэмшигч этгээдийн хаяг </t>
  </si>
  <si>
    <t>Улсын код </t>
  </si>
  <si>
    <t>Хувьцааны оны эхэнд байсан үнэлгээ тоо ширхэг</t>
  </si>
  <si>
    <t>Нэмэгдсэн дүн тоо ширхэг</t>
  </si>
  <si>
    <t xml:space="preserve">Хасагдсан дүн тоо ширхэг </t>
  </si>
  <si>
    <t>Хувьцааны оны эцэст байгаа үнэлгээ тоо ширхэг</t>
  </si>
  <si>
    <t>Хувьцааны тоо, хувь хэмжээнд өөрчлөлт орсон талаарх тайлбар</t>
  </si>
  <si>
    <t>12. Харилцан хамааралтай этгээдүүдийн шууд болон шууд бусаар эзэмшиж буй хувьцааны өөрчлөлт</t>
  </si>
  <si>
    <t>Харилцан хамааралтай этгээдийн хаяг </t>
  </si>
  <si>
    <t xml:space="preserve">Хувьцааны оны эцэст байгаа үнэлгээ </t>
  </si>
  <si>
    <t>  </t>
  </si>
  <si>
    <t xml:space="preserve">13. Харилцан хамааралтай этгээдүүдтэй хийгдсэн ажил, үйлчилгээ, бараанй гүйлгээний үнийг тодорхойлохдоо харьцуулалт </t>
  </si>
  <si>
    <t>хийсэн харилцан хамааралгүй этгээдүүдийн нэрсийг бичнэ үү.</t>
  </si>
  <si>
    <t>...........................................................................................................................................................................................................................</t>
  </si>
  <si>
    <t xml:space="preserve">Тайланг үнэн зөв гаргасан:                                              </t>
  </si>
  <si>
    <t>Тайланг хүлээн авсан:</t>
  </si>
  <si>
    <t xml:space="preserve">Дарга  /Захирал/: . . . . . . . . . . . . . . . . /                          /           </t>
  </si>
  <si>
    <t>Татварын улсын байцаагч: . . . . . . .. . . . . . . . .</t>
  </si>
  <si>
    <t>Тэмдэг</t>
  </si>
  <si>
    <t xml:space="preserve">Ерөнхий нягтлан бодогч: . . . . . . . . . . . . . . </t>
  </si>
  <si>
    <t>20 … оны … сарын … өдөр</t>
  </si>
  <si>
    <t>(оны эхнээс өссөн дүнгээр,  төгрөг, мөнгөөр)</t>
  </si>
  <si>
    <t>ҮҮНЭЭС:</t>
  </si>
  <si>
    <t>Түүхий-эд, үндсэн болон туслах материал, хагас боловсруулсан бүтээгдэхүүн, уур, ус, эрчим хүч, түлш, шатахуун, сэлбэг хэрэгсэл, сав, баглаа боодлын зэрэг бүх төрлийн материалын зардал</t>
  </si>
  <si>
    <t>Цалин, хөдөлмөрийн үндсэн ба нэмэгдэл хөлс/ нийгмийн болон ЭМД-ын шимтгэл, хувь хүний орлогын албан татвар ногдуулж төлсөн/</t>
  </si>
  <si>
    <t xml:space="preserve">Эрүүл мэнд, нийгмийн даатгалын шимтгэл </t>
  </si>
  <si>
    <t>Ажиллагчдад олгосон шагнал урамшуулал, байр, орон сууцны хөлсний болон унаа, хоол, түлшний үнийн хөнгөлөлт</t>
  </si>
  <si>
    <t>Үндсэн хөрөнгийн элэгдэл хорогдлын шимтгэл</t>
  </si>
  <si>
    <t>Урсгал засварын зардал (үл хөдлөх хөрөнгийн  хувьд үлдэгдэл өртгийн 2 хувь, бусад хөрөнгийн хувьд үлдэгдэл өртгийн 5 хувиас хэтрээгүй дүн)</t>
  </si>
  <si>
    <t>Үндсэн болон туслах үйлдвэрлэл, ажил үйлчилгээг явуулах, хөрөнгө худалдан авах зорилгоор авсан зээлийн хүүгийн зардал</t>
  </si>
  <si>
    <t>Гадаад валютийн ханшийн зөрүүгийн бодит алдагдал</t>
  </si>
  <si>
    <t>Түрээсийн төлбөр</t>
  </si>
  <si>
    <t>Санхүүгийн түрээсийн төлбөрийн хүү</t>
  </si>
  <si>
    <t>Мэргэжлийн сонин, сэтгүүлийн захиалга</t>
  </si>
  <si>
    <t>Албан журмын даатгалын хураамж</t>
  </si>
  <si>
    <t>Сайн дурын даатгалын хураамж / татвар ногдуулах орлогын 15 хувиас хэтрээгүй дүн/</t>
  </si>
  <si>
    <t>Хадгаламж зээлийн үйл ажиллагаа эрхэлдэг хоршооны зээлийн эрсдлийн санд, бусад үйл ажиллагаа эрхэлдэг хоршооны  болзошгүй алдагдлын нөөц санд  төвлөрүүлсэн хөрөнгө, / хэвийн зээлийн үлдэгдэлд  нөөц байгуулж, санд төвлөрүүлсэн хөрөнгө орохгүй/</t>
  </si>
  <si>
    <t>Банк, банк бус санхүүгийн байгууллагын зээл төлөгдөхөд учирч болзошгүй алдагдлаас хамгаалах санд төвлөрүүлсэн хөрөнгөд хэвийн зээлийн үлдэгдэлд байгуулсан сангийн хөрөнгө хамаарахгүй байх;</t>
  </si>
  <si>
    <t>Мэргэжлийн сургалт үйлдвэрлэлийн төвийн сурагчдын үйлдвэрлэл дээрх дадлага хийхтэй холбогдон гарсан зардал</t>
  </si>
  <si>
    <t>Албан томилолтын зардал / төрийн албан хаагчийн албан томилолтын зардлыг 2 дахин нэмэгдүүлснээс хэтрээгүй дүн/</t>
  </si>
  <si>
    <t>Үр бордоо, мал амьтны тэжээл, эм тарилга, ургамал хамгааллын арга хэмжээнд зарцуулсан зардал</t>
  </si>
  <si>
    <t>Бага үнэтэй түргэн элэгдэх зүйлийн зардал</t>
  </si>
  <si>
    <t>Хөдөлмөр хамгааллын зардал</t>
  </si>
  <si>
    <t>Холбоо, бичиг хэрэг, цэвэрлэгээ, харуул хамгаалалтын зардал</t>
  </si>
  <si>
    <t>Гамшгийн улмаас учирсан хохиролыг арилгахад гарсан зардал</t>
  </si>
  <si>
    <t xml:space="preserve">Бараа материалын хэвийн хорогдол/ Засгийн газрын тогтоолоор батлагдсан хэмжээнээс хэтрээгүй дүн, Засгийн газрын тогтоолоор хэмжээг нь батлаагүй бүтээгдэхүүн, бараа, материалд тооцсон хэвийн хорогдлын дүнг оруулахгүй/    </t>
  </si>
  <si>
    <t>Ашигт малтмалын тухай хуулийн 38.1.8, 39.1.9 -т заасны дагуу байгаль орчныг нөхөн сэргээх зорилгоор төвлөрүүлсэн мөнгөн хөрөнгө</t>
  </si>
  <si>
    <t>Мэргэжлийн сургалт-үйлдвэрлэлийн төвийн сургалтын орчныг бүрдүүлэх, дадлагын газрыг тоног төхөөрөмжөөр хангах, дадлагын байрыг засварласан зардал</t>
  </si>
  <si>
    <t>Мэргэжлийн сургалт-үйлдвэрлэлийн төвийн багш нарыг дадлагажуулсан зардал</t>
  </si>
  <si>
    <t xml:space="preserve">Өөрийн захиалгаар мэргэжилтэн бэлтгүүлэх зорилгоор мэргэжлийн боловсрол, сургалтын байгууллагад үзүүлсэн санхүүгийн дэмжлэг </t>
  </si>
  <si>
    <t>Мэргэжлийн боловсрол, сургалтыг дэмжих санд оруулсан хандив, хөрөнгө</t>
  </si>
  <si>
    <t>Борлуулсан хувьцаа худалдаж авсан үнэ, эсхүл тухайн хувьцаанд ногдох эзэмшигчийн өмчийн хэсэг</t>
  </si>
  <si>
    <t>Борлуулсан хөдлөх эд хөрөнгийн үлдэгдэл өртөг</t>
  </si>
  <si>
    <t>Үйлдвэрлэл, технологийн паркийн эрчим хүч үйлдвэрлэх, дамжуулах шугам сүлжээ, цэвэр усан хангамж, бохир усны шугам, цэвэрлэх байгууламж,  авто зам, төмөр зам, харилцаа холбооны дэд бүтэц бий болгоход оруулсан хөрөнгө</t>
  </si>
  <si>
    <t>Тусгай зориулалтын компани болон орон сууцны санхүүжилтийн компаниас хөрөнгөөр баталгаажсан үнэт цаас эзэмшигчид шилжүүлсэн үнэт цаасны төлбөр болон хүүгийн төлбөр</t>
  </si>
  <si>
    <t>Нийслэлийн агаарын бохирдлыг бууруулах зорилгоор өгсөн хандив</t>
  </si>
  <si>
    <t>Хөгжлийн бэрхшээлтэй Монгол Улсын иргэний үүсгэн байгуулсан төрийн бус байгууллагыг дэмжих зорилгоор өгсөн 10 сая хүртэлх төгрөгийн хандив;</t>
  </si>
  <si>
    <t xml:space="preserve">Төсөвт төлөхөөр тайлагнасан </t>
  </si>
  <si>
    <t>Ашигт малтмалын нөөц ашигласны төлбөр</t>
  </si>
  <si>
    <t>Ашигт малтмалаас бусад байгалийн баялаг ашигласны төлбөр</t>
  </si>
  <si>
    <t>Албан татвар ногдох орлогоос хасагдах нийт зардлын дүн</t>
  </si>
  <si>
    <t>Түрээслэгчийн түрээсийн хөрөнгийн үндсэн төлбөр</t>
  </si>
  <si>
    <t>Гэрээгээр хүлээсэн үүргээ биелүүлээгүйгээс бусдад төлсөн төлбөр, хүү, торгууль, анз;</t>
  </si>
  <si>
    <t>Ажиллагчид болон харилцагч байгууллага, хувь хүнд зориулсан амралт зугаалга, түүнтэй адилтгах бусад зардал</t>
  </si>
  <si>
    <t>Харилцан хамааралтай этгээдэд борлуулсан хөрөнгийн гарз</t>
  </si>
  <si>
    <t>Албан томилолтын зардал / төрийн албан хаагчийн албан томилолтын зардлыг 2 дахин нэмэгдүүлснээс хэтэрсэн дүн/</t>
  </si>
  <si>
    <t>Албан татвараас чөлөөлөгдөх орлого олохтой холбогдон гарсан зардал</t>
  </si>
  <si>
    <t>Сайн дурын даатгалын хураамж / татвар ногдуулах орлогын 15 хувиас хэтэрсэн дүн/</t>
  </si>
  <si>
    <t>Урсгал засварын зардал (үл хөдлөх хөрөнгийн  хувьд үлдэгдэл өртгийн 2 хувь, бусад хөрөнгийн хувьд үлдэгдэл өртгийн 5 хувиас хэтэрсэн дүн)</t>
  </si>
  <si>
    <t>Нийслэл хотын албан татвар, нэмэгдсэн өртгийн албан татвар суутган төлөгчийн төсөвт төлсөн нэмэгдсэн өртгийн албан татвар болон энэ хуулийн дагуу бусад этгээдийн олсон орлогоос суутган авсан татвар</t>
  </si>
  <si>
    <t>Бодит бус ханшийн алдагдал</t>
  </si>
  <si>
    <t>Гадаад валютын ханшийн зөрүүгийн бодит бус алдагдал</t>
  </si>
  <si>
    <t>Санхүүгийн түрээсийн төлбөр</t>
  </si>
  <si>
    <t>Барааны дахин үнэлгээний нэмэгдүүлсэн зөрүү</t>
  </si>
  <si>
    <t>Хувийн хэрэглээний зардал баримтаар нотлогдохгүй зардал</t>
  </si>
  <si>
    <t>Сайн дурын даатгалын хураамжийн хэтрэлт болон томилолтын зардлын хэтэрсэн дүн</t>
  </si>
  <si>
    <t xml:space="preserve"> АЛБАН ТАТВАР НОГДОХ ОРЛОГООС ХАСАГДАХГҮЙ НИЙТ ЗАРДЛЫН ДҮН</t>
  </si>
  <si>
    <t>Нийт зардал</t>
  </si>
  <si>
    <t>CIT-18,19,20 sum</t>
  </si>
  <si>
    <t>ББӨ CIT 18-р мөрийн дүнг хасагдах зардлын задаргаагаар задлах шаардлагатай. 
ТЭМ дээр нэмж өгнө.</t>
  </si>
  <si>
    <t>Гүйлгээний утга/Description</t>
  </si>
  <si>
    <t>Гүйлгээний дүн</t>
  </si>
  <si>
    <t>Борлуулалтын авлага</t>
  </si>
  <si>
    <t>БЦМГ</t>
  </si>
  <si>
    <t>Column5</t>
  </si>
  <si>
    <t>Column6</t>
  </si>
  <si>
    <t>Column11</t>
  </si>
  <si>
    <t>Column12</t>
  </si>
  <si>
    <t xml:space="preserve"> Албан татвар ногдох орлогоос хасагдах зардал</t>
  </si>
  <si>
    <t>Албан татвар ногдох орлогоос хасагдахгүй зардал</t>
  </si>
  <si>
    <t>Люкс транс ХХК</t>
  </si>
  <si>
    <t>Хуурай замын тээвэр</t>
  </si>
  <si>
    <t>Сүхбаатар дүүрэг, 7 хороо, Эрхүүгийн гудамж 7 тоот</t>
  </si>
  <si>
    <t xml:space="preserve">ГАНЧУЛУУН Хаан банк 5057861515 </t>
  </si>
  <si>
    <t>ОДСҮРЭН  Хаан банк 5090760253</t>
  </si>
  <si>
    <t xml:space="preserve">ЭРДЭНЭХУЯГ Хаан банк 5114057157 </t>
  </si>
  <si>
    <t>Бусад татварын өглөг</t>
  </si>
  <si>
    <t>Нийслэл хотын албан татвар</t>
  </si>
  <si>
    <t>Ш,Азура</t>
  </si>
  <si>
    <t>С.Одзаяа</t>
  </si>
  <si>
    <t>"АЗЕЙ" ХХК</t>
  </si>
  <si>
    <t>Хүүгийн орлого (Татвар суутгагдсан)</t>
  </si>
  <si>
    <t>Борлуулалт</t>
  </si>
  <si>
    <t>НӨАТ бүртгэв</t>
  </si>
  <si>
    <t>Харилцах дансны хүүгийн орлого бүртгэв</t>
  </si>
  <si>
    <t>Борлуулат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</si>
</sst>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1" formatCode="_(* #,##0_);_(* \(#,##0\);_(* &quot;-&quot;_);_(@_)"/>
    <numFmt numFmtId="43" formatCode="_(* #,##0.00_);_(* \(#,##0.00\);_(* &quot;-&quot;??_);_(@_)"/>
    <numFmt numFmtId="164" formatCode="yyyy\-mm\-dd"/>
    <numFmt numFmtId="165" formatCode="_(* #,##0.00_);[Red]_(* \(#,##0.00\);_(* &quot;-&quot;??_);_(@_)"/>
    <numFmt numFmtId="166" formatCode="[&gt;=0]#,##0.00;\(#,##0.00\)"/>
    <numFmt numFmtId="167" formatCode="_(* #,##0_);_(* \(#,##0\);_(* &quot;-&quot;??_);_(@_)"/>
    <numFmt numFmtId="168" formatCode="_(* #,##0_);[Red]_(* \(#,##0\);_(* &quot;-&quot;??_);_(@_)"/>
    <numFmt numFmtId="169" formatCode="_(* #,##0.0_);[Red]_(* \(#,##0.0\);_(* &quot;-&quot;??_);_(@_)"/>
    <numFmt numFmtId="170" formatCode="#,##0.0_);\(#,##0.0\)"/>
    <numFmt numFmtId="171" formatCode="yyyy/mm/dd;@"/>
    <numFmt numFmtId="172" formatCode="[$-450]yyyy\ &quot;оны&quot;\ mmmm\ d;@"/>
    <numFmt numFmtId="173" formatCode="###0;###0"/>
    <numFmt numFmtId="174" formatCode="yyyy\-mm\-dd;@"/>
  </numFmts>
  <fonts count="53" x14ac:knownFonts="1">
    <font>
      <sz val="11"/>
      <color theme="1"/>
      <name val="Times New Roman"/>
    </font>
    <font>
      <sz val="10"/>
      <color theme="1"/>
      <name val="Times New Roman"/>
      <family val="1"/>
    </font>
    <font>
      <b/>
      <sz val="10"/>
      <color theme="1"/>
      <name val="Times New Roman"/>
      <family val="1"/>
    </font>
    <font>
      <sz val="11"/>
      <name val="Times New Roman"/>
      <family val="1"/>
    </font>
    <font>
      <sz val="9"/>
      <color theme="1"/>
      <name val="Times New Roman"/>
      <family val="1"/>
    </font>
    <font>
      <sz val="10"/>
      <color rgb="FF333333"/>
      <name val="Times New Roman"/>
      <family val="1"/>
    </font>
    <font>
      <u/>
      <sz val="10"/>
      <color theme="1"/>
      <name val="Times New Roman"/>
      <family val="1"/>
    </font>
    <font>
      <b/>
      <sz val="20"/>
      <color theme="1"/>
      <name val="Times New Roman"/>
      <family val="1"/>
    </font>
    <font>
      <b/>
      <sz val="48"/>
      <color theme="0"/>
      <name val="Times New Roman"/>
      <family val="1"/>
    </font>
    <font>
      <b/>
      <sz val="14"/>
      <color theme="1"/>
      <name val="Times New Roman"/>
      <family val="1"/>
    </font>
    <font>
      <b/>
      <sz val="16"/>
      <color theme="1"/>
      <name val="Times New Roman"/>
      <family val="1"/>
    </font>
    <font>
      <b/>
      <sz val="10"/>
      <color rgb="FFFF0000"/>
      <name val="Times New Roman"/>
      <family val="1"/>
    </font>
    <font>
      <sz val="10"/>
      <color theme="0"/>
      <name val="Times New Roman"/>
      <family val="1"/>
    </font>
    <font>
      <sz val="10"/>
      <color rgb="FFFF0000"/>
      <name val="Times New Roman"/>
      <family val="1"/>
    </font>
    <font>
      <b/>
      <sz val="11"/>
      <color theme="1"/>
      <name val="Times New Roman"/>
      <family val="1"/>
    </font>
    <font>
      <b/>
      <u/>
      <sz val="11"/>
      <color theme="1"/>
      <name val="Times New Roman"/>
      <family val="1"/>
    </font>
    <font>
      <b/>
      <sz val="9"/>
      <color theme="1"/>
      <name val="Times New Roman"/>
      <family val="1"/>
    </font>
    <font>
      <sz val="11"/>
      <color rgb="FF000000"/>
      <name val="Times New Roman"/>
      <family val="1"/>
    </font>
    <font>
      <b/>
      <sz val="11"/>
      <color rgb="FFFF0000"/>
      <name val="Times New Roman"/>
      <family val="1"/>
    </font>
    <font>
      <sz val="10"/>
      <color rgb="FF000000"/>
      <name val="Times New Roman"/>
      <family val="1"/>
    </font>
    <font>
      <sz val="8"/>
      <color rgb="FF000000"/>
      <name val="Times New Roman"/>
      <family val="1"/>
    </font>
    <font>
      <b/>
      <sz val="12"/>
      <color rgb="FF000000"/>
      <name val="Times New Roman"/>
      <family val="1"/>
    </font>
    <font>
      <b/>
      <sz val="10"/>
      <color rgb="FF000000"/>
      <name val="Times New Roman"/>
      <family val="1"/>
    </font>
    <font>
      <sz val="8"/>
      <color theme="1"/>
      <name val="Times New Roman"/>
      <family val="1"/>
    </font>
    <font>
      <sz val="9"/>
      <color rgb="FFFF0000"/>
      <name val="Times New Roman"/>
      <family val="1"/>
    </font>
    <font>
      <b/>
      <sz val="9"/>
      <color rgb="FFFFFFFF"/>
      <name val="Times New Roman"/>
      <family val="1"/>
    </font>
    <font>
      <b/>
      <sz val="8"/>
      <color theme="1"/>
      <name val="Times New Roman"/>
      <family val="1"/>
    </font>
    <font>
      <b/>
      <sz val="18"/>
      <color theme="1"/>
      <name val="Times New Roman"/>
      <family val="1"/>
    </font>
    <font>
      <i/>
      <u/>
      <sz val="9"/>
      <color theme="1"/>
      <name val="Times New Roman"/>
      <family val="1"/>
    </font>
    <font>
      <i/>
      <sz val="9"/>
      <color theme="1"/>
      <name val="Times New Roman"/>
      <family val="1"/>
    </font>
    <font>
      <sz val="12"/>
      <color theme="1"/>
      <name val="Times New Roman"/>
      <family val="1"/>
    </font>
    <font>
      <sz val="16"/>
      <color theme="1"/>
      <name val="Times New Roman"/>
      <family val="1"/>
    </font>
    <font>
      <b/>
      <sz val="12"/>
      <color theme="1"/>
      <name val="Times New Roman"/>
      <family val="1"/>
    </font>
    <font>
      <sz val="14"/>
      <color theme="1"/>
      <name val="Times New Roman"/>
      <family val="1"/>
    </font>
    <font>
      <sz val="6"/>
      <color theme="1"/>
      <name val="Times New Roman"/>
      <family val="1"/>
    </font>
    <font>
      <sz val="11"/>
      <color theme="1"/>
      <name val="Times New Roman"/>
      <family val="1"/>
    </font>
    <font>
      <b/>
      <sz val="10"/>
      <name val="Times New Roman"/>
      <family val="1"/>
    </font>
    <font>
      <b/>
      <sz val="72"/>
      <color theme="1"/>
      <name val="Times New Roman"/>
      <family val="1"/>
    </font>
    <font>
      <sz val="11"/>
      <color theme="1"/>
      <name val="Times New Roman"/>
      <family val="1"/>
    </font>
    <font>
      <b/>
      <sz val="9"/>
      <name val="Times New Roman"/>
      <family val="1"/>
    </font>
    <font>
      <sz val="10"/>
      <name val="Times New Roman"/>
      <family val="1"/>
    </font>
    <font>
      <sz val="10"/>
      <color rgb="FF000000"/>
      <name val="Times New Roman"/>
      <family val="2"/>
    </font>
    <font>
      <sz val="8"/>
      <name val="Times New Roman"/>
      <family val="1"/>
    </font>
    <font>
      <sz val="10"/>
      <color rgb="FF000000"/>
      <name val="Times New Roman"/>
      <family val="1"/>
    </font>
    <font>
      <b/>
      <sz val="12"/>
      <name val="Times New Roman"/>
      <family val="1"/>
    </font>
    <font>
      <b/>
      <sz val="11"/>
      <name val="Times New Roman"/>
      <family val="1"/>
    </font>
    <font>
      <b/>
      <sz val="11"/>
      <color rgb="FF000000"/>
      <name val="Times New Roman"/>
      <family val="1"/>
    </font>
    <font>
      <b/>
      <sz val="10"/>
      <color rgb="FF000000"/>
      <name val="Times New Roman"/>
      <family val="2"/>
    </font>
    <font>
      <sz val="6"/>
      <name val="Calibri"/>
      <family val="2"/>
    </font>
    <font>
      <sz val="9"/>
      <color indexed="81"/>
      <name val="Tahoma"/>
      <family val="2"/>
    </font>
    <font>
      <b/>
      <sz val="9"/>
      <color indexed="81"/>
      <name val="Tahoma"/>
      <family val="2"/>
    </font>
    <font>
      <sz val="8"/>
      <name val="Times New Roman"/>
      <family val="1"/>
    </font>
    <font>
      <sz val="9"/>
      <name val="Times New Roman"/>
      <family val="1"/>
    </font>
  </fonts>
  <fills count="20">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rgb="FFF6B26B"/>
        <bgColor rgb="FFF6B26B"/>
      </patternFill>
    </fill>
    <fill>
      <patternFill patternType="solid">
        <fgColor rgb="FFECECEC"/>
        <bgColor rgb="FFECECEC"/>
      </patternFill>
    </fill>
    <fill>
      <patternFill patternType="solid">
        <fgColor rgb="FFDADADA"/>
        <bgColor rgb="FFDADADA"/>
      </patternFill>
    </fill>
    <fill>
      <patternFill patternType="solid">
        <fgColor rgb="FFFFFF00"/>
        <bgColor rgb="FFFFFF00"/>
      </patternFill>
    </fill>
    <fill>
      <patternFill patternType="solid">
        <fgColor rgb="FFE2EFD9"/>
        <bgColor rgb="FFE2EFD9"/>
      </patternFill>
    </fill>
    <fill>
      <patternFill patternType="solid">
        <fgColor rgb="FF92D050"/>
        <bgColor rgb="FF92D050"/>
      </patternFill>
    </fill>
    <fill>
      <patternFill patternType="solid">
        <fgColor rgb="FFBFBFBF"/>
        <bgColor rgb="FFBFBFBF"/>
      </patternFill>
    </fill>
    <fill>
      <patternFill patternType="solid">
        <fgColor theme="7" tint="0.39997558519241921"/>
        <bgColor indexed="64"/>
      </patternFill>
    </fill>
    <fill>
      <patternFill patternType="solid">
        <fgColor theme="9" tint="0.39997558519241921"/>
        <bgColor theme="0"/>
      </patternFill>
    </fill>
    <fill>
      <patternFill patternType="solid">
        <fgColor theme="9" tint="0.39997558519241921"/>
        <bgColor rgb="FFF6B26B"/>
      </patternFill>
    </fill>
    <fill>
      <patternFill patternType="solid">
        <fgColor theme="9" tint="0.39997558519241921"/>
        <bgColor rgb="FFFFFFFF"/>
      </patternFill>
    </fill>
    <fill>
      <patternFill patternType="solid">
        <fgColor theme="9" tint="0.79998168889431442"/>
        <bgColor rgb="FF993366"/>
      </patternFill>
    </fill>
    <fill>
      <patternFill patternType="solid">
        <fgColor theme="9" tint="0.59999389629810485"/>
        <bgColor indexed="64"/>
      </patternFill>
    </fill>
    <fill>
      <patternFill patternType="solid">
        <fgColor theme="0"/>
        <bgColor rgb="FFFFFFFF"/>
      </patternFill>
    </fill>
    <fill>
      <patternFill patternType="solid">
        <fgColor theme="0"/>
        <bgColor indexed="64"/>
      </patternFill>
    </fill>
    <fill>
      <patternFill patternType="solid">
        <fgColor theme="7" tint="0.79998168889431442"/>
        <bgColor indexed="64"/>
      </patternFill>
    </fill>
  </fills>
  <borders count="60">
    <border>
      <left/>
      <right/>
      <top/>
      <bottom/>
      <diagonal/>
    </border>
    <border>
      <left style="thin">
        <color rgb="FF000000"/>
      </left>
      <right style="thin">
        <color rgb="FF000000"/>
      </right>
      <top style="thin">
        <color rgb="FF000000"/>
      </top>
      <bottom style="thin">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diagonal/>
    </border>
    <border>
      <left style="double">
        <color rgb="FF000000"/>
      </left>
      <right style="double">
        <color rgb="FF000000"/>
      </right>
      <top/>
      <bottom style="double">
        <color rgb="FF000000"/>
      </bottom>
      <diagonal/>
    </border>
    <border>
      <left/>
      <right/>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thin">
        <color rgb="FF000000"/>
      </right>
      <top style="thin">
        <color rgb="FF000000"/>
      </top>
      <bottom style="thin">
        <color rgb="FF000000"/>
      </bottom>
      <diagonal/>
    </border>
    <border>
      <left style="thin">
        <color rgb="FF0000FF"/>
      </left>
      <right style="thin">
        <color rgb="FF0000FF"/>
      </right>
      <top style="thin">
        <color rgb="FF0000FF"/>
      </top>
      <bottom style="thin">
        <color rgb="FF0000FF"/>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medium">
        <color rgb="FF000000"/>
      </top>
      <bottom style="double">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double">
        <color rgb="FF000000"/>
      </bottom>
      <diagonal/>
    </border>
    <border>
      <left/>
      <right/>
      <top style="dotted">
        <color rgb="FF0000FF"/>
      </top>
      <bottom/>
      <diagonal/>
    </border>
    <border>
      <left style="thin">
        <color rgb="FF000000"/>
      </left>
      <right style="thin">
        <color rgb="FF000000"/>
      </right>
      <top style="thin">
        <color rgb="FF000000"/>
      </top>
      <bottom/>
      <diagonal/>
    </border>
    <border>
      <left/>
      <right/>
      <top/>
      <bottom style="dotted">
        <color rgb="FF0000FF"/>
      </bottom>
      <diagonal/>
    </border>
    <border>
      <left style="thin">
        <color rgb="FF000000"/>
      </left>
      <right style="thin">
        <color rgb="FF000000"/>
      </right>
      <top style="thin">
        <color rgb="FF9CC2E5"/>
      </top>
      <bottom style="thin">
        <color rgb="FF000000"/>
      </bottom>
      <diagonal/>
    </border>
    <border>
      <left style="thin">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FF"/>
      </bottom>
      <diagonal/>
    </border>
    <border>
      <left style="thin">
        <color rgb="FF0000FF"/>
      </left>
      <right/>
      <top style="thin">
        <color rgb="FF0000FF"/>
      </top>
      <bottom style="thin">
        <color rgb="FF0000FF"/>
      </bottom>
      <diagonal/>
    </border>
    <border>
      <left/>
      <right/>
      <top/>
      <bottom style="dotted">
        <color rgb="FF000000"/>
      </bottom>
      <diagonal/>
    </border>
    <border>
      <left/>
      <right/>
      <top style="dotted">
        <color rgb="FF0000FF"/>
      </top>
      <bottom style="thin">
        <color rgb="FF000000"/>
      </bottom>
      <diagonal/>
    </border>
    <border>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right/>
      <top/>
      <bottom style="medium">
        <color rgb="FF000000"/>
      </bottom>
      <diagonal/>
    </border>
    <border>
      <left/>
      <right/>
      <top/>
      <bottom style="hair">
        <color rgb="FF000000"/>
      </bottom>
      <diagonal/>
    </border>
    <border>
      <left style="dotted">
        <color rgb="FF000000"/>
      </left>
      <right style="dotted">
        <color rgb="FF000000"/>
      </right>
      <top style="dotted">
        <color rgb="FF000000"/>
      </top>
      <bottom style="dotted">
        <color rgb="FF000000"/>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style="thin">
        <color indexed="64"/>
      </right>
      <top style="thin">
        <color indexed="64"/>
      </top>
      <bottom/>
      <diagonal/>
    </border>
    <border>
      <left/>
      <right style="thin">
        <color rgb="FF000000"/>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style="thin">
        <color rgb="FF002060"/>
      </right>
      <top/>
      <bottom style="thin">
        <color rgb="FF002060"/>
      </bottom>
      <diagonal/>
    </border>
  </borders>
  <cellStyleXfs count="3">
    <xf numFmtId="0" fontId="0" fillId="0" borderId="0"/>
    <xf numFmtId="43" fontId="35" fillId="0" borderId="0" applyFont="0" applyFill="0" applyBorder="0" applyAlignment="0" applyProtection="0"/>
    <xf numFmtId="0" fontId="43" fillId="0" borderId="6"/>
  </cellStyleXfs>
  <cellXfs count="956">
    <xf numFmtId="0" fontId="0" fillId="0" borderId="0" xfId="0"/>
    <xf numFmtId="0" fontId="5" fillId="2" borderId="1" xfId="0" applyFont="1" applyFill="1" applyBorder="1"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1" fillId="0" borderId="0" xfId="0" applyFont="1"/>
    <xf numFmtId="0" fontId="1" fillId="0" borderId="0" xfId="0" applyFont="1" applyAlignment="1">
      <alignment horizontal="left"/>
    </xf>
    <xf numFmtId="0" fontId="2" fillId="0" borderId="0" xfId="0" applyFont="1"/>
    <xf numFmtId="43" fontId="1" fillId="0" borderId="0" xfId="0" applyNumberFormat="1" applyFont="1"/>
    <xf numFmtId="0" fontId="2" fillId="0" borderId="1" xfId="0" applyFont="1" applyBorder="1" applyAlignment="1">
      <alignment horizontal="center" vertical="center"/>
    </xf>
    <xf numFmtId="0" fontId="4" fillId="3" borderId="19" xfId="0" applyFont="1" applyFill="1" applyBorder="1" applyAlignment="1">
      <alignment horizontal="left"/>
    </xf>
    <xf numFmtId="0" fontId="16" fillId="3" borderId="1" xfId="0" applyFont="1" applyFill="1" applyBorder="1" applyAlignment="1">
      <alignment horizontal="center" vertical="center" wrapText="1"/>
    </xf>
    <xf numFmtId="0" fontId="4" fillId="3" borderId="1" xfId="0" applyFont="1" applyFill="1" applyBorder="1" applyAlignment="1">
      <alignment horizontal="center" vertical="center"/>
    </xf>
    <xf numFmtId="0" fontId="4" fillId="3" borderId="15" xfId="0" applyFont="1" applyFill="1" applyBorder="1"/>
    <xf numFmtId="0" fontId="4" fillId="3" borderId="12" xfId="0" applyFont="1" applyFill="1" applyBorder="1"/>
    <xf numFmtId="0" fontId="23" fillId="3"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15" xfId="0" applyFont="1" applyFill="1" applyBorder="1" applyAlignment="1">
      <alignment horizontal="center" vertical="center"/>
    </xf>
    <xf numFmtId="0" fontId="16" fillId="3" borderId="15" xfId="0" applyFont="1" applyFill="1" applyBorder="1" applyAlignment="1">
      <alignment horizontal="center" vertical="center" wrapText="1"/>
    </xf>
    <xf numFmtId="0" fontId="16" fillId="3" borderId="12" xfId="0" applyFont="1" applyFill="1" applyBorder="1" applyAlignment="1">
      <alignment horizontal="center" vertical="center" wrapText="1"/>
    </xf>
    <xf numFmtId="0" fontId="4" fillId="3" borderId="20" xfId="0" applyFont="1" applyFill="1" applyBorder="1" applyAlignment="1">
      <alignment horizontal="center" vertical="center"/>
    </xf>
    <xf numFmtId="0" fontId="4" fillId="3" borderId="14" xfId="0" applyFont="1" applyFill="1" applyBorder="1" applyAlignment="1">
      <alignment horizontal="center" vertical="center"/>
    </xf>
    <xf numFmtId="0" fontId="16" fillId="3" borderId="15" xfId="0" applyFont="1" applyFill="1" applyBorder="1" applyAlignment="1">
      <alignment horizontal="center"/>
    </xf>
    <xf numFmtId="0" fontId="16" fillId="3" borderId="12" xfId="0" applyFont="1" applyFill="1" applyBorder="1" applyAlignment="1">
      <alignment horizontal="center"/>
    </xf>
    <xf numFmtId="0" fontId="4" fillId="3" borderId="15" xfId="0" applyFont="1" applyFill="1" applyBorder="1" applyAlignment="1">
      <alignment horizontal="left"/>
    </xf>
    <xf numFmtId="0" fontId="4" fillId="3" borderId="12" xfId="0" applyFont="1" applyFill="1" applyBorder="1" applyAlignment="1">
      <alignment horizontal="left"/>
    </xf>
    <xf numFmtId="0" fontId="4" fillId="3" borderId="21" xfId="0" applyFont="1" applyFill="1" applyBorder="1" applyAlignment="1">
      <alignment horizontal="left"/>
    </xf>
    <xf numFmtId="0" fontId="16" fillId="3" borderId="1" xfId="0" applyFont="1" applyFill="1" applyBorder="1" applyAlignment="1">
      <alignment horizontal="center"/>
    </xf>
    <xf numFmtId="0" fontId="4" fillId="3" borderId="15" xfId="0" applyFont="1" applyFill="1" applyBorder="1" applyAlignment="1">
      <alignment horizontal="center" vertical="center"/>
    </xf>
    <xf numFmtId="3" fontId="4" fillId="3" borderId="15" xfId="0" applyNumberFormat="1" applyFont="1" applyFill="1" applyBorder="1" applyAlignment="1">
      <alignment horizontal="center"/>
    </xf>
    <xf numFmtId="0" fontId="4" fillId="3" borderId="12" xfId="0" applyFont="1" applyFill="1" applyBorder="1" applyAlignment="1">
      <alignment horizontal="center"/>
    </xf>
    <xf numFmtId="0" fontId="16" fillId="3" borderId="20" xfId="0" applyFont="1" applyFill="1" applyBorder="1" applyAlignment="1">
      <alignment horizontal="center" vertical="center"/>
    </xf>
    <xf numFmtId="0" fontId="16" fillId="3" borderId="14" xfId="0" applyFont="1" applyFill="1" applyBorder="1" applyAlignment="1">
      <alignment horizontal="center" vertical="center"/>
    </xf>
    <xf numFmtId="0" fontId="4" fillId="3" borderId="1" xfId="0" applyFont="1" applyFill="1" applyBorder="1" applyAlignment="1">
      <alignment horizontal="center" vertical="center" wrapText="1"/>
    </xf>
    <xf numFmtId="3" fontId="4" fillId="3" borderId="1" xfId="0" applyNumberFormat="1" applyFont="1" applyFill="1" applyBorder="1" applyAlignment="1">
      <alignment horizontal="center" vertical="center" wrapText="1"/>
    </xf>
    <xf numFmtId="3" fontId="4" fillId="3" borderId="15" xfId="0" applyNumberFormat="1" applyFont="1" applyFill="1" applyBorder="1" applyAlignment="1">
      <alignment horizontal="center" vertical="center" wrapText="1"/>
    </xf>
    <xf numFmtId="0" fontId="4" fillId="3" borderId="1" xfId="0" applyFont="1" applyFill="1" applyBorder="1" applyAlignment="1">
      <alignment wrapText="1"/>
    </xf>
    <xf numFmtId="43" fontId="4" fillId="3" borderId="1" xfId="0" applyNumberFormat="1" applyFont="1" applyFill="1" applyBorder="1"/>
    <xf numFmtId="43" fontId="4" fillId="3" borderId="1" xfId="0" applyNumberFormat="1" applyFont="1" applyFill="1" applyBorder="1" applyAlignment="1">
      <alignment horizontal="center"/>
    </xf>
    <xf numFmtId="43" fontId="4" fillId="3" borderId="15" xfId="0" applyNumberFormat="1" applyFont="1" applyFill="1" applyBorder="1"/>
    <xf numFmtId="0" fontId="4" fillId="3" borderId="1" xfId="0" applyFont="1" applyFill="1" applyBorder="1"/>
    <xf numFmtId="0" fontId="27" fillId="3" borderId="20" xfId="0" applyFont="1" applyFill="1" applyBorder="1" applyAlignment="1">
      <alignment horizontal="center" vertical="center"/>
    </xf>
    <xf numFmtId="0" fontId="4" fillId="3" borderId="1" xfId="0" applyFont="1" applyFill="1" applyBorder="1" applyAlignment="1">
      <alignment horizontal="left" vertical="center"/>
    </xf>
    <xf numFmtId="0" fontId="4" fillId="3" borderId="1" xfId="0" applyFont="1" applyFill="1" applyBorder="1" applyAlignment="1">
      <alignment horizontal="left" vertical="center" wrapText="1"/>
    </xf>
    <xf numFmtId="0" fontId="4" fillId="3" borderId="1" xfId="0" applyFont="1" applyFill="1" applyBorder="1" applyAlignment="1">
      <alignment horizontal="center"/>
    </xf>
    <xf numFmtId="0" fontId="23" fillId="3" borderId="15" xfId="0" applyFont="1" applyFill="1" applyBorder="1" applyAlignment="1">
      <alignment horizontal="center" vertical="center" wrapText="1"/>
    </xf>
    <xf numFmtId="0" fontId="23" fillId="3" borderId="12" xfId="0" applyFont="1" applyFill="1" applyBorder="1" applyAlignment="1">
      <alignment horizontal="center" vertical="center" wrapText="1"/>
    </xf>
    <xf numFmtId="0" fontId="23" fillId="3" borderId="1" xfId="0" applyFont="1" applyFill="1" applyBorder="1" applyAlignment="1">
      <alignment horizontal="center" vertical="center" wrapText="1"/>
    </xf>
    <xf numFmtId="0" fontId="16" fillId="3" borderId="15" xfId="0" applyFont="1" applyFill="1" applyBorder="1" applyAlignment="1">
      <alignment wrapText="1"/>
    </xf>
    <xf numFmtId="43" fontId="23" fillId="3" borderId="1" xfId="0" applyNumberFormat="1" applyFont="1" applyFill="1" applyBorder="1"/>
    <xf numFmtId="43" fontId="4" fillId="0" borderId="13" xfId="0" applyNumberFormat="1" applyFont="1" applyBorder="1"/>
    <xf numFmtId="43" fontId="23" fillId="0" borderId="1" xfId="0" applyNumberFormat="1" applyFont="1" applyBorder="1"/>
    <xf numFmtId="0" fontId="28" fillId="3" borderId="15" xfId="0" applyFont="1" applyFill="1" applyBorder="1"/>
    <xf numFmtId="0" fontId="4" fillId="3" borderId="15" xfId="0" applyFont="1" applyFill="1" applyBorder="1" applyAlignment="1">
      <alignment wrapText="1"/>
    </xf>
    <xf numFmtId="0" fontId="23" fillId="3" borderId="15" xfId="0" applyFont="1" applyFill="1" applyBorder="1" applyAlignment="1">
      <alignment wrapText="1"/>
    </xf>
    <xf numFmtId="43" fontId="4" fillId="0" borderId="22" xfId="0" applyNumberFormat="1" applyFont="1" applyBorder="1" applyAlignment="1">
      <alignment horizontal="center"/>
    </xf>
    <xf numFmtId="0" fontId="16" fillId="3" borderId="1" xfId="0" applyFont="1" applyFill="1" applyBorder="1" applyAlignment="1">
      <alignment wrapText="1"/>
    </xf>
    <xf numFmtId="3" fontId="23" fillId="3" borderId="1" xfId="0" applyNumberFormat="1" applyFont="1" applyFill="1" applyBorder="1"/>
    <xf numFmtId="0" fontId="1" fillId="0" borderId="1" xfId="0" applyFont="1" applyBorder="1" applyAlignment="1">
      <alignment horizontal="center" vertical="center"/>
    </xf>
    <xf numFmtId="0" fontId="29" fillId="3" borderId="15" xfId="0" applyFont="1" applyFill="1" applyBorder="1"/>
    <xf numFmtId="0" fontId="1" fillId="0" borderId="23" xfId="0" applyFont="1" applyBorder="1" applyAlignment="1">
      <alignment horizontal="center" vertical="center"/>
    </xf>
    <xf numFmtId="0" fontId="30" fillId="3" borderId="1" xfId="0" applyFont="1" applyFill="1" applyBorder="1" applyAlignment="1">
      <alignment horizontal="center" vertical="center" wrapText="1"/>
    </xf>
    <xf numFmtId="0" fontId="4" fillId="3" borderId="1" xfId="0" applyFont="1" applyFill="1" applyBorder="1" applyAlignment="1">
      <alignment vertical="center" wrapText="1"/>
    </xf>
    <xf numFmtId="43" fontId="23" fillId="3" borderId="1" xfId="0" applyNumberFormat="1" applyFont="1" applyFill="1" applyBorder="1" applyAlignment="1">
      <alignment horizontal="center"/>
    </xf>
    <xf numFmtId="0" fontId="4" fillId="3" borderId="1" xfId="0" applyFont="1" applyFill="1" applyBorder="1" applyAlignment="1">
      <alignment horizontal="center" wrapText="1"/>
    </xf>
    <xf numFmtId="0" fontId="16" fillId="3" borderId="15" xfId="0" applyFont="1" applyFill="1" applyBorder="1" applyAlignment="1">
      <alignment horizontal="left"/>
    </xf>
    <xf numFmtId="0" fontId="16" fillId="3" borderId="12" xfId="0" applyFont="1" applyFill="1" applyBorder="1" applyAlignment="1">
      <alignment horizontal="left"/>
    </xf>
    <xf numFmtId="3" fontId="23" fillId="3" borderId="1" xfId="0" applyNumberFormat="1" applyFont="1" applyFill="1" applyBorder="1" applyAlignment="1">
      <alignment horizontal="center"/>
    </xf>
    <xf numFmtId="43" fontId="23" fillId="0" borderId="1" xfId="0" applyNumberFormat="1" applyFont="1" applyBorder="1" applyAlignment="1">
      <alignment horizontal="center"/>
    </xf>
    <xf numFmtId="43" fontId="23" fillId="3" borderId="1" xfId="0" applyNumberFormat="1" applyFont="1" applyFill="1" applyBorder="1" applyAlignment="1">
      <alignment horizontal="center" vertical="center"/>
    </xf>
    <xf numFmtId="0" fontId="4" fillId="3" borderId="15" xfId="0" applyFont="1" applyFill="1" applyBorder="1" applyAlignment="1">
      <alignment horizontal="center"/>
    </xf>
    <xf numFmtId="43" fontId="4" fillId="3" borderId="1" xfId="0" applyNumberFormat="1" applyFont="1" applyFill="1" applyBorder="1" applyAlignment="1">
      <alignment horizontal="left"/>
    </xf>
    <xf numFmtId="43" fontId="4" fillId="3" borderId="15" xfId="0" applyNumberFormat="1" applyFont="1" applyFill="1" applyBorder="1" applyAlignment="1">
      <alignment horizontal="center"/>
    </xf>
    <xf numFmtId="43" fontId="4" fillId="3" borderId="12" xfId="0" applyNumberFormat="1" applyFont="1" applyFill="1" applyBorder="1" applyAlignment="1">
      <alignment horizontal="center"/>
    </xf>
    <xf numFmtId="0" fontId="4" fillId="3" borderId="20" xfId="0" applyFont="1" applyFill="1" applyBorder="1" applyAlignment="1">
      <alignment horizontal="center" vertical="center" wrapText="1"/>
    </xf>
    <xf numFmtId="0" fontId="4" fillId="3" borderId="20" xfId="0" applyFont="1" applyFill="1" applyBorder="1" applyAlignment="1">
      <alignment vertical="center" wrapText="1"/>
    </xf>
    <xf numFmtId="0" fontId="4" fillId="3" borderId="12" xfId="0" applyFont="1" applyFill="1" applyBorder="1" applyAlignment="1">
      <alignment horizontal="left" wrapText="1"/>
    </xf>
    <xf numFmtId="0" fontId="16" fillId="3" borderId="1" xfId="0" applyFont="1" applyFill="1" applyBorder="1"/>
    <xf numFmtId="0" fontId="16" fillId="3" borderId="20" xfId="0" applyFont="1" applyFill="1" applyBorder="1" applyAlignment="1">
      <alignment horizontal="center"/>
    </xf>
    <xf numFmtId="0" fontId="4" fillId="3" borderId="15" xfId="0" applyFont="1" applyFill="1" applyBorder="1" applyAlignment="1">
      <alignment vertical="center"/>
    </xf>
    <xf numFmtId="0" fontId="4" fillId="3" borderId="12" xfId="0" applyFont="1" applyFill="1" applyBorder="1" applyAlignment="1">
      <alignment vertical="center"/>
    </xf>
    <xf numFmtId="43" fontId="4" fillId="0" borderId="1" xfId="0" applyNumberFormat="1" applyFont="1" applyBorder="1"/>
    <xf numFmtId="43" fontId="4" fillId="0" borderId="1" xfId="0" applyNumberFormat="1" applyFont="1" applyBorder="1" applyAlignment="1">
      <alignment horizontal="center"/>
    </xf>
    <xf numFmtId="0" fontId="4" fillId="0" borderId="1" xfId="0" applyFont="1" applyBorder="1" applyAlignment="1">
      <alignment horizontal="center"/>
    </xf>
    <xf numFmtId="43" fontId="23" fillId="3" borderId="26" xfId="0" applyNumberFormat="1" applyFont="1" applyFill="1" applyBorder="1" applyAlignment="1">
      <alignment horizontal="center" vertical="center"/>
    </xf>
    <xf numFmtId="43" fontId="16" fillId="3" borderId="1" xfId="0" applyNumberFormat="1" applyFont="1" applyFill="1" applyBorder="1" applyAlignment="1">
      <alignment horizontal="center" vertical="center"/>
    </xf>
    <xf numFmtId="0" fontId="16" fillId="3" borderId="26" xfId="0" applyFont="1" applyFill="1" applyBorder="1"/>
    <xf numFmtId="0" fontId="4" fillId="3" borderId="27" xfId="0" applyFont="1" applyFill="1" applyBorder="1"/>
    <xf numFmtId="0" fontId="4" fillId="3" borderId="15" xfId="0" applyFont="1" applyFill="1" applyBorder="1" applyAlignment="1">
      <alignment horizontal="left" vertical="center"/>
    </xf>
    <xf numFmtId="0" fontId="4" fillId="3" borderId="12" xfId="0" applyFont="1" applyFill="1" applyBorder="1" applyAlignment="1">
      <alignment horizontal="left" vertical="center"/>
    </xf>
    <xf numFmtId="0" fontId="4" fillId="0" borderId="1" xfId="0" applyFont="1" applyBorder="1" applyAlignment="1">
      <alignment horizontal="center" vertical="center" wrapText="1"/>
    </xf>
    <xf numFmtId="0" fontId="16" fillId="0" borderId="31" xfId="0" applyFont="1" applyBorder="1" applyAlignment="1">
      <alignment horizontal="left" vertical="top"/>
    </xf>
    <xf numFmtId="0" fontId="16" fillId="0" borderId="1" xfId="0" applyFont="1" applyBorder="1" applyAlignment="1">
      <alignment horizontal="left" vertical="top"/>
    </xf>
    <xf numFmtId="0" fontId="4" fillId="3" borderId="1" xfId="0" applyFont="1" applyFill="1" applyBorder="1" applyAlignment="1">
      <alignment horizontal="left"/>
    </xf>
    <xf numFmtId="0" fontId="1" fillId="0" borderId="1" xfId="0" applyFont="1" applyBorder="1"/>
    <xf numFmtId="0" fontId="4" fillId="0" borderId="31" xfId="0" applyFont="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left" wrapText="1"/>
    </xf>
    <xf numFmtId="0" fontId="4" fillId="0" borderId="1" xfId="0" applyFont="1" applyBorder="1" applyAlignment="1">
      <alignment horizontal="left" vertical="top" wrapText="1"/>
    </xf>
    <xf numFmtId="0" fontId="16" fillId="0" borderId="1" xfId="0" applyFont="1" applyBorder="1" applyAlignment="1">
      <alignment horizontal="left" vertical="top" wrapText="1"/>
    </xf>
    <xf numFmtId="0" fontId="16" fillId="0" borderId="32" xfId="0" applyFont="1" applyBorder="1" applyAlignment="1">
      <alignment horizontal="left" vertical="top"/>
    </xf>
    <xf numFmtId="0" fontId="4" fillId="0" borderId="0" xfId="0" applyFont="1" applyAlignment="1">
      <alignment vertical="top"/>
    </xf>
    <xf numFmtId="0" fontId="1" fillId="3" borderId="1" xfId="0" applyFont="1" applyFill="1" applyBorder="1"/>
    <xf numFmtId="167" fontId="1" fillId="3" borderId="1" xfId="0" applyNumberFormat="1" applyFont="1" applyFill="1" applyBorder="1"/>
    <xf numFmtId="43" fontId="1" fillId="3" borderId="1" xfId="0" applyNumberFormat="1" applyFont="1" applyFill="1" applyBorder="1"/>
    <xf numFmtId="0" fontId="1" fillId="2" borderId="1" xfId="0" applyFont="1" applyFill="1" applyBorder="1"/>
    <xf numFmtId="0" fontId="0" fillId="2" borderId="35" xfId="0" applyFill="1" applyBorder="1"/>
    <xf numFmtId="0" fontId="1" fillId="2" borderId="1" xfId="0" applyFont="1" applyFill="1" applyBorder="1" applyAlignment="1">
      <alignment vertical="center" wrapText="1"/>
    </xf>
    <xf numFmtId="0" fontId="0" fillId="2" borderId="1" xfId="0" applyFill="1" applyBorder="1"/>
    <xf numFmtId="0" fontId="23" fillId="2" borderId="1" xfId="0" applyFont="1" applyFill="1" applyBorder="1" applyAlignment="1">
      <alignment horizontal="center" vertical="center"/>
    </xf>
    <xf numFmtId="0" fontId="23" fillId="2" borderId="20" xfId="0" applyFont="1" applyFill="1" applyBorder="1" applyAlignment="1">
      <alignment horizontal="center" vertical="center" wrapText="1"/>
    </xf>
    <xf numFmtId="0" fontId="23" fillId="2" borderId="1" xfId="0" applyFont="1" applyFill="1" applyBorder="1" applyAlignment="1">
      <alignment vertical="center"/>
    </xf>
    <xf numFmtId="0" fontId="23" fillId="2" borderId="1" xfId="0" applyFont="1" applyFill="1" applyBorder="1" applyAlignment="1">
      <alignment horizontal="center" vertical="center" wrapText="1"/>
    </xf>
    <xf numFmtId="0" fontId="1" fillId="2" borderId="1" xfId="0" applyFont="1" applyFill="1" applyBorder="1" applyAlignment="1">
      <alignment vertical="center"/>
    </xf>
    <xf numFmtId="0" fontId="23" fillId="2" borderId="1" xfId="0" applyFont="1" applyFill="1" applyBorder="1" applyAlignment="1">
      <alignment vertical="center" wrapText="1"/>
    </xf>
    <xf numFmtId="0" fontId="4" fillId="2" borderId="1"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1" xfId="0" applyFont="1" applyFill="1" applyBorder="1" applyAlignment="1">
      <alignment horizontal="center" vertical="center"/>
    </xf>
    <xf numFmtId="0" fontId="4" fillId="2" borderId="1" xfId="0" applyFont="1" applyFill="1" applyBorder="1" applyAlignment="1">
      <alignment horizontal="left" vertical="center" wrapText="1"/>
    </xf>
    <xf numFmtId="0" fontId="4" fillId="2" borderId="1" xfId="0" applyFont="1" applyFill="1" applyBorder="1" applyAlignment="1">
      <alignment vertical="center"/>
    </xf>
    <xf numFmtId="0" fontId="38" fillId="0" borderId="0" xfId="0" applyFont="1"/>
    <xf numFmtId="0" fontId="0" fillId="0" borderId="0" xfId="0" applyProtection="1">
      <protection locked="0"/>
    </xf>
    <xf numFmtId="0" fontId="14" fillId="0" borderId="0" xfId="0" applyFont="1"/>
    <xf numFmtId="43" fontId="2" fillId="2" borderId="1" xfId="0" applyNumberFormat="1" applyFont="1" applyFill="1" applyBorder="1" applyAlignment="1">
      <alignment horizontal="center" vertical="center" wrapText="1"/>
    </xf>
    <xf numFmtId="43" fontId="1" fillId="0" borderId="0" xfId="1" applyFont="1"/>
    <xf numFmtId="43" fontId="1" fillId="3" borderId="1" xfId="1" applyFont="1" applyFill="1" applyBorder="1"/>
    <xf numFmtId="43" fontId="0" fillId="0" borderId="0" xfId="1" applyFont="1" applyAlignment="1"/>
    <xf numFmtId="0" fontId="43" fillId="0" borderId="6" xfId="2" applyAlignment="1">
      <alignment horizontal="left" vertical="top"/>
    </xf>
    <xf numFmtId="0" fontId="43" fillId="0" borderId="6" xfId="2" applyAlignment="1">
      <alignment horizontal="left" vertical="center"/>
    </xf>
    <xf numFmtId="0" fontId="44" fillId="0" borderId="6" xfId="2" applyFont="1" applyAlignment="1">
      <alignment horizontal="center" vertical="center"/>
    </xf>
    <xf numFmtId="0" fontId="17" fillId="0" borderId="6" xfId="2" applyFont="1" applyAlignment="1">
      <alignment horizontal="left" vertical="center"/>
    </xf>
    <xf numFmtId="173" fontId="46" fillId="0" borderId="1" xfId="2" applyNumberFormat="1" applyFont="1" applyBorder="1" applyAlignment="1">
      <alignment horizontal="center" vertical="center" wrapText="1"/>
    </xf>
    <xf numFmtId="0" fontId="17" fillId="0" borderId="1" xfId="2" applyFont="1" applyBorder="1" applyAlignment="1">
      <alignment horizontal="left" vertical="center" wrapText="1"/>
    </xf>
    <xf numFmtId="0" fontId="17" fillId="0" borderId="1" xfId="2" applyFont="1" applyBorder="1" applyAlignment="1">
      <alignment horizontal="center" vertical="center" wrapText="1"/>
    </xf>
    <xf numFmtId="0" fontId="3" fillId="0" borderId="1" xfId="2" applyFont="1" applyBorder="1" applyAlignment="1">
      <alignment horizontal="left" vertical="center" wrapText="1"/>
    </xf>
    <xf numFmtId="0" fontId="43" fillId="0" borderId="1" xfId="2" applyBorder="1" applyAlignment="1">
      <alignment horizontal="left" vertical="center" wrapText="1"/>
    </xf>
    <xf numFmtId="0" fontId="43" fillId="0" borderId="15" xfId="2" applyBorder="1" applyAlignment="1">
      <alignment horizontal="left" vertical="center" wrapText="1"/>
    </xf>
    <xf numFmtId="0" fontId="43" fillId="0" borderId="6" xfId="2" applyAlignment="1">
      <alignment horizontal="left" vertical="center" wrapText="1"/>
    </xf>
    <xf numFmtId="0" fontId="43" fillId="0" borderId="6" xfId="2" applyAlignment="1">
      <alignment horizontal="center" vertical="center"/>
    </xf>
    <xf numFmtId="173" fontId="41" fillId="0" borderId="1" xfId="2" applyNumberFormat="1" applyFont="1" applyBorder="1" applyAlignment="1">
      <alignment horizontal="center" vertical="center" wrapText="1"/>
    </xf>
    <xf numFmtId="173" fontId="17" fillId="0" borderId="1" xfId="2" applyNumberFormat="1" applyFont="1" applyBorder="1" applyAlignment="1">
      <alignment horizontal="center" vertical="center" wrapText="1"/>
    </xf>
    <xf numFmtId="173" fontId="47" fillId="0" borderId="1" xfId="2" applyNumberFormat="1" applyFont="1" applyBorder="1" applyAlignment="1">
      <alignment horizontal="center" vertical="center" wrapText="1"/>
    </xf>
    <xf numFmtId="173" fontId="41" fillId="0" borderId="6" xfId="2" applyNumberFormat="1" applyFont="1" applyAlignment="1">
      <alignment horizontal="center" vertical="center" wrapText="1"/>
    </xf>
    <xf numFmtId="0" fontId="20" fillId="0" borderId="6" xfId="2" applyFont="1" applyAlignment="1">
      <alignment horizontal="center" vertical="center"/>
    </xf>
    <xf numFmtId="0" fontId="45" fillId="0" borderId="1" xfId="2" applyFont="1" applyBorder="1" applyAlignment="1">
      <alignment horizontal="center" vertical="center" wrapText="1"/>
    </xf>
    <xf numFmtId="43" fontId="43" fillId="0" borderId="6" xfId="2" applyNumberFormat="1" applyAlignment="1">
      <alignment horizontal="center" vertical="center"/>
    </xf>
    <xf numFmtId="43" fontId="22" fillId="0" borderId="1" xfId="2" applyNumberFormat="1" applyFont="1" applyBorder="1" applyAlignment="1">
      <alignment horizontal="center" vertical="center" wrapText="1"/>
    </xf>
    <xf numFmtId="43" fontId="20" fillId="0" borderId="6" xfId="2" applyNumberFormat="1" applyFont="1" applyAlignment="1">
      <alignment horizontal="center" vertical="center"/>
    </xf>
    <xf numFmtId="43" fontId="22" fillId="0" borderId="6" xfId="2" applyNumberFormat="1" applyFont="1" applyAlignment="1">
      <alignment horizontal="center" vertical="center"/>
    </xf>
    <xf numFmtId="43" fontId="43" fillId="0" borderId="1" xfId="2" applyNumberFormat="1" applyBorder="1" applyAlignment="1">
      <alignment horizontal="center" vertical="center" wrapText="1"/>
    </xf>
    <xf numFmtId="43" fontId="43" fillId="0" borderId="6" xfId="2" applyNumberFormat="1" applyAlignment="1">
      <alignment horizontal="center" vertical="center" wrapText="1"/>
    </xf>
    <xf numFmtId="0" fontId="48" fillId="0" borderId="6" xfId="2" applyFont="1" applyAlignment="1">
      <alignment horizontal="left" vertical="center"/>
    </xf>
    <xf numFmtId="173" fontId="22" fillId="0" borderId="1" xfId="2" applyNumberFormat="1" applyFont="1" applyBorder="1" applyAlignment="1">
      <alignment horizontal="center" vertical="center" wrapText="1"/>
    </xf>
    <xf numFmtId="173" fontId="47" fillId="0" borderId="6" xfId="2" applyNumberFormat="1" applyFont="1" applyAlignment="1">
      <alignment horizontal="center" vertical="center" wrapText="1"/>
    </xf>
    <xf numFmtId="43" fontId="22" fillId="0" borderId="6" xfId="2" applyNumberFormat="1" applyFont="1" applyAlignment="1">
      <alignment horizontal="center" vertical="center" wrapText="1"/>
    </xf>
    <xf numFmtId="0" fontId="36" fillId="0" borderId="6" xfId="2" applyFont="1" applyAlignment="1">
      <alignment horizontal="left" vertical="center"/>
    </xf>
    <xf numFmtId="0" fontId="35" fillId="0" borderId="0" xfId="0" applyFont="1"/>
    <xf numFmtId="173" fontId="41" fillId="0" borderId="15" xfId="2" applyNumberFormat="1" applyFont="1" applyBorder="1" applyAlignment="1">
      <alignment horizontal="center" vertical="center" wrapText="1"/>
    </xf>
    <xf numFmtId="173" fontId="41" fillId="0" borderId="12" xfId="2" applyNumberFormat="1" applyFont="1" applyBorder="1" applyAlignment="1">
      <alignment horizontal="center" vertical="center" wrapText="1"/>
    </xf>
    <xf numFmtId="0" fontId="35" fillId="0" borderId="42" xfId="0" applyFont="1" applyBorder="1"/>
    <xf numFmtId="173" fontId="41" fillId="0" borderId="41" xfId="2" applyNumberFormat="1" applyFont="1" applyBorder="1" applyAlignment="1">
      <alignment horizontal="center" vertical="center" wrapText="1"/>
    </xf>
    <xf numFmtId="0" fontId="35" fillId="0" borderId="43" xfId="0" applyFont="1" applyBorder="1"/>
    <xf numFmtId="173" fontId="41" fillId="0" borderId="37" xfId="2" applyNumberFormat="1" applyFont="1" applyBorder="1" applyAlignment="1">
      <alignment horizontal="center" vertical="center" wrapText="1"/>
    </xf>
    <xf numFmtId="43" fontId="43" fillId="0" borderId="14" xfId="2" applyNumberFormat="1" applyBorder="1" applyAlignment="1">
      <alignment horizontal="center" vertical="center" wrapText="1"/>
    </xf>
    <xf numFmtId="0" fontId="36" fillId="0" borderId="42" xfId="2" applyFont="1" applyBorder="1" applyAlignment="1">
      <alignment horizontal="left" vertical="center"/>
    </xf>
    <xf numFmtId="0" fontId="22" fillId="0" borderId="42" xfId="2" applyFont="1" applyBorder="1" applyAlignment="1">
      <alignment horizontal="left" vertical="center"/>
    </xf>
    <xf numFmtId="0" fontId="22" fillId="0" borderId="42" xfId="2" applyFont="1" applyBorder="1" applyAlignment="1">
      <alignment horizontal="center" vertical="center"/>
    </xf>
    <xf numFmtId="43" fontId="22" fillId="0" borderId="42" xfId="2" applyNumberFormat="1" applyFont="1" applyBorder="1" applyAlignment="1">
      <alignment horizontal="center" vertical="center"/>
    </xf>
    <xf numFmtId="0" fontId="22" fillId="0" borderId="6" xfId="2" applyFont="1" applyAlignment="1">
      <alignment horizontal="left" vertical="top"/>
    </xf>
    <xf numFmtId="0" fontId="14" fillId="0" borderId="42" xfId="0" applyFont="1" applyBorder="1"/>
    <xf numFmtId="173" fontId="22" fillId="0" borderId="12" xfId="2" applyNumberFormat="1" applyFont="1" applyBorder="1" applyAlignment="1">
      <alignment horizontal="center" vertical="center" wrapText="1"/>
    </xf>
    <xf numFmtId="0" fontId="35" fillId="0" borderId="42" xfId="0" applyFont="1" applyBorder="1" applyAlignment="1">
      <alignment wrapText="1"/>
    </xf>
    <xf numFmtId="0" fontId="1" fillId="2" borderId="6" xfId="0" applyFont="1" applyFill="1" applyBorder="1" applyProtection="1">
      <protection locked="0"/>
    </xf>
    <xf numFmtId="43" fontId="1" fillId="2" borderId="6" xfId="0" applyNumberFormat="1" applyFont="1" applyFill="1" applyBorder="1" applyProtection="1">
      <protection locked="0"/>
    </xf>
    <xf numFmtId="0" fontId="2" fillId="12" borderId="2" xfId="0" applyFont="1" applyFill="1" applyBorder="1"/>
    <xf numFmtId="0" fontId="46" fillId="13" borderId="0" xfId="0" applyFont="1" applyFill="1" applyAlignment="1">
      <alignment horizontal="left"/>
    </xf>
    <xf numFmtId="0" fontId="46" fillId="14" borderId="2" xfId="0" applyFont="1" applyFill="1" applyBorder="1" applyAlignment="1">
      <alignment horizontal="left"/>
    </xf>
    <xf numFmtId="0" fontId="23" fillId="2" borderId="39" xfId="0" applyFont="1" applyFill="1" applyBorder="1" applyAlignment="1">
      <alignment horizontal="center" vertical="center" wrapText="1"/>
    </xf>
    <xf numFmtId="0" fontId="35" fillId="0" borderId="0" xfId="0" applyFont="1" applyAlignment="1">
      <alignment horizontal="center"/>
    </xf>
    <xf numFmtId="0" fontId="1" fillId="0" borderId="6" xfId="0" applyFont="1" applyBorder="1" applyAlignment="1">
      <alignment horizontal="center"/>
    </xf>
    <xf numFmtId="0" fontId="2" fillId="2" borderId="6" xfId="0" applyFont="1" applyFill="1" applyBorder="1"/>
    <xf numFmtId="0" fontId="1" fillId="2" borderId="6" xfId="0" applyFont="1" applyFill="1" applyBorder="1"/>
    <xf numFmtId="0" fontId="1" fillId="0" borderId="6" xfId="0" applyFont="1" applyBorder="1"/>
    <xf numFmtId="0" fontId="17" fillId="0" borderId="0" xfId="0" applyFont="1" applyAlignment="1">
      <alignment horizontal="left"/>
    </xf>
    <xf numFmtId="0" fontId="1" fillId="12" borderId="2" xfId="0" applyFont="1" applyFill="1" applyBorder="1" applyAlignment="1">
      <alignment horizontal="center"/>
    </xf>
    <xf numFmtId="0" fontId="1" fillId="2" borderId="2" xfId="0" applyFont="1" applyFill="1" applyBorder="1" applyAlignment="1">
      <alignment horizontal="center"/>
    </xf>
    <xf numFmtId="0" fontId="1" fillId="2" borderId="2" xfId="0" applyFont="1" applyFill="1" applyBorder="1"/>
    <xf numFmtId="0" fontId="17" fillId="4" borderId="0" xfId="0" applyFont="1" applyFill="1" applyAlignment="1">
      <alignment horizontal="left"/>
    </xf>
    <xf numFmtId="0" fontId="17" fillId="3" borderId="2" xfId="0" applyFont="1" applyFill="1" applyBorder="1" applyAlignment="1">
      <alignment horizontal="left"/>
    </xf>
    <xf numFmtId="164" fontId="17" fillId="3" borderId="2" xfId="0" applyNumberFormat="1" applyFont="1" applyFill="1" applyBorder="1" applyAlignment="1">
      <alignment horizontal="left"/>
    </xf>
    <xf numFmtId="0" fontId="35" fillId="0" borderId="2" xfId="0" applyFont="1" applyBorder="1" applyAlignment="1">
      <alignment horizontal="center"/>
    </xf>
    <xf numFmtId="0" fontId="35" fillId="0" borderId="2" xfId="0" applyFont="1" applyBorder="1"/>
    <xf numFmtId="0" fontId="35" fillId="4" borderId="0" xfId="0" applyFont="1" applyFill="1" applyAlignment="1">
      <alignment horizontal="left"/>
    </xf>
    <xf numFmtId="0" fontId="35" fillId="0" borderId="2" xfId="0" applyFont="1" applyBorder="1" applyAlignment="1">
      <alignment horizontal="left"/>
    </xf>
    <xf numFmtId="0" fontId="35" fillId="0" borderId="2" xfId="0" applyFont="1" applyBorder="1" applyAlignment="1">
      <alignment horizontal="right"/>
    </xf>
    <xf numFmtId="9" fontId="35" fillId="4" borderId="0" xfId="0" applyNumberFormat="1" applyFont="1" applyFill="1" applyAlignment="1">
      <alignment horizontal="left"/>
    </xf>
    <xf numFmtId="9" fontId="35" fillId="0" borderId="2" xfId="0" applyNumberFormat="1" applyFont="1" applyBorder="1" applyAlignment="1">
      <alignment horizontal="left"/>
    </xf>
    <xf numFmtId="0" fontId="35" fillId="4" borderId="0" xfId="0" applyFont="1" applyFill="1"/>
    <xf numFmtId="0" fontId="1" fillId="2" borderId="6" xfId="0" applyFont="1" applyFill="1" applyBorder="1" applyAlignment="1">
      <alignment vertical="center" wrapText="1"/>
    </xf>
    <xf numFmtId="0" fontId="1" fillId="2" borderId="6" xfId="0" applyFont="1" applyFill="1" applyBorder="1" applyAlignment="1">
      <alignment horizontal="right" vertical="center" wrapText="1"/>
    </xf>
    <xf numFmtId="0" fontId="2" fillId="2" borderId="6" xfId="0" applyFont="1" applyFill="1" applyBorder="1" applyAlignment="1">
      <alignment horizontal="left"/>
    </xf>
    <xf numFmtId="0" fontId="1" fillId="2" borderId="6" xfId="0" applyFont="1" applyFill="1" applyBorder="1" applyAlignment="1">
      <alignment horizontal="center"/>
    </xf>
    <xf numFmtId="0" fontId="6" fillId="2" borderId="6" xfId="0" applyFont="1" applyFill="1" applyBorder="1"/>
    <xf numFmtId="0" fontId="1" fillId="2" borderId="6" xfId="0" applyFont="1" applyFill="1" applyBorder="1" applyAlignment="1">
      <alignment horizontal="left" vertical="center"/>
    </xf>
    <xf numFmtId="0" fontId="1" fillId="2" borderId="6" xfId="0" applyFont="1" applyFill="1" applyBorder="1" applyAlignment="1">
      <alignment horizontal="center" vertical="center"/>
    </xf>
    <xf numFmtId="0" fontId="7" fillId="2" borderId="6" xfId="0" applyFont="1" applyFill="1" applyBorder="1"/>
    <xf numFmtId="0" fontId="4" fillId="3" borderId="6" xfId="0" applyFont="1" applyFill="1" applyBorder="1"/>
    <xf numFmtId="0" fontId="16" fillId="3" borderId="36" xfId="0" applyFont="1" applyFill="1" applyBorder="1" applyAlignment="1">
      <alignment horizontal="center" vertical="center"/>
    </xf>
    <xf numFmtId="0" fontId="16" fillId="3" borderId="36" xfId="0" applyFont="1" applyFill="1" applyBorder="1"/>
    <xf numFmtId="4" fontId="4" fillId="3" borderId="6" xfId="0" applyNumberFormat="1" applyFont="1" applyFill="1" applyBorder="1"/>
    <xf numFmtId="0" fontId="23" fillId="3" borderId="6" xfId="0" applyFont="1" applyFill="1" applyBorder="1"/>
    <xf numFmtId="4" fontId="23" fillId="3" borderId="6" xfId="0" applyNumberFormat="1" applyFont="1" applyFill="1" applyBorder="1"/>
    <xf numFmtId="164" fontId="23" fillId="3" borderId="6" xfId="0" applyNumberFormat="1" applyFont="1" applyFill="1" applyBorder="1"/>
    <xf numFmtId="0" fontId="23" fillId="3" borderId="6" xfId="0" applyFont="1" applyFill="1" applyBorder="1" applyAlignment="1">
      <alignment horizontal="center" vertical="center"/>
    </xf>
    <xf numFmtId="0" fontId="23" fillId="3" borderId="6" xfId="0" applyFont="1" applyFill="1" applyBorder="1" applyAlignment="1">
      <alignment horizontal="center"/>
    </xf>
    <xf numFmtId="0" fontId="16" fillId="3" borderId="6"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6" xfId="0" applyFont="1" applyFill="1" applyBorder="1" applyAlignment="1">
      <alignment horizontal="right"/>
    </xf>
    <xf numFmtId="0" fontId="4" fillId="3" borderId="36" xfId="0" applyFont="1" applyFill="1" applyBorder="1" applyAlignment="1">
      <alignment horizontal="center"/>
    </xf>
    <xf numFmtId="0" fontId="24" fillId="2" borderId="6" xfId="0" applyFont="1" applyFill="1" applyBorder="1"/>
    <xf numFmtId="0" fontId="39" fillId="15" borderId="6" xfId="0" applyFont="1" applyFill="1" applyBorder="1" applyAlignment="1">
      <alignment horizontal="left"/>
    </xf>
    <xf numFmtId="0" fontId="39" fillId="15" borderId="6" xfId="0" applyFont="1" applyFill="1" applyBorder="1" applyAlignment="1">
      <alignment horizontal="center"/>
    </xf>
    <xf numFmtId="0" fontId="4" fillId="3" borderId="28" xfId="0" applyFont="1" applyFill="1" applyBorder="1" applyAlignment="1">
      <alignment horizontal="center"/>
    </xf>
    <xf numFmtId="0" fontId="4" fillId="3" borderId="6" xfId="0" applyFont="1" applyFill="1" applyBorder="1" applyAlignment="1">
      <alignment horizontal="left"/>
    </xf>
    <xf numFmtId="0" fontId="4" fillId="3" borderId="6" xfId="0" applyFont="1" applyFill="1" applyBorder="1" applyAlignment="1">
      <alignment horizontal="center"/>
    </xf>
    <xf numFmtId="0" fontId="4" fillId="3" borderId="30" xfId="0" applyFont="1" applyFill="1" applyBorder="1"/>
    <xf numFmtId="3" fontId="23" fillId="3" borderId="6" xfId="0" applyNumberFormat="1" applyFont="1" applyFill="1" applyBorder="1"/>
    <xf numFmtId="0" fontId="16" fillId="3" borderId="30" xfId="0" applyFont="1" applyFill="1" applyBorder="1" applyAlignment="1">
      <alignment horizontal="center" vertical="center"/>
    </xf>
    <xf numFmtId="0" fontId="16" fillId="3" borderId="30" xfId="0" applyFont="1" applyFill="1" applyBorder="1" applyAlignment="1">
      <alignment horizontal="center"/>
    </xf>
    <xf numFmtId="0" fontId="4" fillId="3" borderId="30" xfId="0" applyFont="1" applyFill="1" applyBorder="1" applyAlignment="1">
      <alignment horizontal="left"/>
    </xf>
    <xf numFmtId="0" fontId="16" fillId="3" borderId="6" xfId="0" applyFont="1" applyFill="1" applyBorder="1" applyAlignment="1">
      <alignment horizontal="center"/>
    </xf>
    <xf numFmtId="0" fontId="4" fillId="3" borderId="29" xfId="0" applyFont="1" applyFill="1" applyBorder="1" applyAlignment="1">
      <alignment horizontal="left"/>
    </xf>
    <xf numFmtId="0" fontId="25" fillId="2" borderId="6" xfId="0" applyFont="1" applyFill="1" applyBorder="1" applyAlignment="1">
      <alignment horizontal="center" vertical="center"/>
    </xf>
    <xf numFmtId="0" fontId="25" fillId="2" borderId="6" xfId="0" applyFont="1" applyFill="1" applyBorder="1" applyAlignment="1">
      <alignment horizontal="center"/>
    </xf>
    <xf numFmtId="0" fontId="4" fillId="2" borderId="6" xfId="0" applyFont="1" applyFill="1" applyBorder="1"/>
    <xf numFmtId="0" fontId="25" fillId="2" borderId="6" xfId="0" applyFont="1" applyFill="1" applyBorder="1" applyAlignment="1">
      <alignment horizontal="center" vertical="center" wrapText="1"/>
    </xf>
    <xf numFmtId="0" fontId="25" fillId="2" borderId="6" xfId="0" applyFont="1" applyFill="1" applyBorder="1" applyAlignment="1">
      <alignment horizontal="center" wrapText="1"/>
    </xf>
    <xf numFmtId="0" fontId="26" fillId="3" borderId="39" xfId="0" applyFont="1" applyFill="1" applyBorder="1" applyAlignment="1">
      <alignment horizontal="center" vertical="center"/>
    </xf>
    <xf numFmtId="0" fontId="26" fillId="3" borderId="25" xfId="0" applyFont="1" applyFill="1" applyBorder="1" applyAlignment="1">
      <alignment horizontal="center" vertical="center"/>
    </xf>
    <xf numFmtId="0" fontId="16" fillId="3" borderId="6" xfId="0" applyFont="1" applyFill="1" applyBorder="1"/>
    <xf numFmtId="0" fontId="4" fillId="3" borderId="23" xfId="0" applyFont="1" applyFill="1" applyBorder="1" applyAlignment="1">
      <alignment horizontal="center" vertical="center"/>
    </xf>
    <xf numFmtId="0" fontId="16" fillId="3" borderId="41" xfId="0" applyFont="1" applyFill="1" applyBorder="1"/>
    <xf numFmtId="0" fontId="4" fillId="3" borderId="39" xfId="0" applyFont="1" applyFill="1" applyBorder="1" applyAlignment="1">
      <alignment horizontal="center" vertical="center"/>
    </xf>
    <xf numFmtId="0" fontId="4" fillId="3" borderId="39" xfId="0" applyFont="1" applyFill="1" applyBorder="1"/>
    <xf numFmtId="0" fontId="1" fillId="0" borderId="14" xfId="0" applyFont="1" applyBorder="1" applyAlignment="1">
      <alignment horizontal="center" vertical="center"/>
    </xf>
    <xf numFmtId="0" fontId="4" fillId="3" borderId="41" xfId="0" applyFont="1" applyFill="1" applyBorder="1"/>
    <xf numFmtId="0" fontId="1" fillId="0" borderId="20" xfId="0" applyFont="1" applyBorder="1" applyAlignment="1">
      <alignment horizontal="center" vertical="center"/>
    </xf>
    <xf numFmtId="0" fontId="1" fillId="0" borderId="25" xfId="0" applyFont="1" applyBorder="1" applyAlignment="1">
      <alignment horizontal="center" vertical="center"/>
    </xf>
    <xf numFmtId="0" fontId="1" fillId="0" borderId="38" xfId="0" applyFont="1" applyBorder="1" applyAlignment="1">
      <alignment horizontal="center" vertical="center"/>
    </xf>
    <xf numFmtId="0" fontId="1" fillId="0" borderId="37" xfId="0" applyFont="1" applyBorder="1" applyAlignment="1">
      <alignment horizontal="center" vertical="center"/>
    </xf>
    <xf numFmtId="0" fontId="4" fillId="3" borderId="24" xfId="0" applyFont="1" applyFill="1" applyBorder="1" applyAlignment="1">
      <alignment horizontal="center" vertical="center"/>
    </xf>
    <xf numFmtId="0" fontId="4" fillId="3" borderId="24" xfId="0" applyFont="1" applyFill="1" applyBorder="1" applyAlignment="1">
      <alignment horizontal="left"/>
    </xf>
    <xf numFmtId="3" fontId="23" fillId="3" borderId="24" xfId="0" applyNumberFormat="1" applyFont="1" applyFill="1" applyBorder="1" applyAlignment="1">
      <alignment horizontal="center"/>
    </xf>
    <xf numFmtId="3" fontId="23" fillId="3" borderId="6" xfId="0" applyNumberFormat="1" applyFont="1" applyFill="1" applyBorder="1" applyAlignment="1">
      <alignment horizontal="center"/>
    </xf>
    <xf numFmtId="0" fontId="4" fillId="3" borderId="36" xfId="0" applyFont="1" applyFill="1" applyBorder="1" applyAlignment="1">
      <alignment horizontal="center" vertical="center"/>
    </xf>
    <xf numFmtId="0" fontId="4" fillId="2" borderId="6" xfId="0" applyFont="1" applyFill="1" applyBorder="1" applyAlignment="1">
      <alignment horizontal="center"/>
    </xf>
    <xf numFmtId="0" fontId="16" fillId="3" borderId="30" xfId="0" applyFont="1" applyFill="1" applyBorder="1" applyAlignment="1">
      <alignment horizontal="left"/>
    </xf>
    <xf numFmtId="0" fontId="16" fillId="3" borderId="39" xfId="0" applyFont="1" applyFill="1" applyBorder="1" applyAlignment="1">
      <alignment horizontal="center" vertical="center" wrapText="1"/>
    </xf>
    <xf numFmtId="0" fontId="16" fillId="3" borderId="24" xfId="0" applyFont="1" applyFill="1" applyBorder="1" applyAlignment="1">
      <alignment horizontal="center" vertical="center" wrapText="1"/>
    </xf>
    <xf numFmtId="0" fontId="16" fillId="3" borderId="25" xfId="0" applyFont="1" applyFill="1" applyBorder="1" applyAlignment="1">
      <alignment horizontal="center" vertical="center" wrapText="1"/>
    </xf>
    <xf numFmtId="0" fontId="16" fillId="3" borderId="41" xfId="0" applyFont="1" applyFill="1" applyBorder="1" applyAlignment="1">
      <alignment horizontal="center" vertical="center" wrapText="1"/>
    </xf>
    <xf numFmtId="0" fontId="16" fillId="3" borderId="36" xfId="0" applyFont="1" applyFill="1" applyBorder="1" applyAlignment="1">
      <alignment horizontal="center" vertical="center" wrapText="1"/>
    </xf>
    <xf numFmtId="0" fontId="16" fillId="3" borderId="37" xfId="0" applyFont="1" applyFill="1" applyBorder="1" applyAlignment="1">
      <alignment horizontal="center" vertical="center" wrapText="1"/>
    </xf>
    <xf numFmtId="0" fontId="4" fillId="3" borderId="25" xfId="0" applyFont="1" applyFill="1" applyBorder="1" applyAlignment="1">
      <alignment horizontal="center"/>
    </xf>
    <xf numFmtId="0" fontId="4" fillId="2" borderId="6" xfId="0" applyFont="1" applyFill="1" applyBorder="1" applyAlignment="1">
      <alignment horizontal="left"/>
    </xf>
    <xf numFmtId="3" fontId="23" fillId="3" borderId="6" xfId="0" applyNumberFormat="1" applyFont="1" applyFill="1" applyBorder="1" applyAlignment="1">
      <alignment horizontal="center" vertical="center"/>
    </xf>
    <xf numFmtId="43" fontId="4" fillId="3" borderId="25" xfId="0" applyNumberFormat="1" applyFont="1" applyFill="1" applyBorder="1" applyAlignment="1">
      <alignment horizontal="center"/>
    </xf>
    <xf numFmtId="0" fontId="16" fillId="2" borderId="6" xfId="0" applyFont="1" applyFill="1" applyBorder="1" applyAlignment="1">
      <alignment horizontal="center"/>
    </xf>
    <xf numFmtId="0" fontId="4" fillId="3" borderId="6" xfId="0" applyFont="1" applyFill="1" applyBorder="1" applyAlignment="1">
      <alignment vertical="center" wrapText="1"/>
    </xf>
    <xf numFmtId="0" fontId="4" fillId="3" borderId="39" xfId="0" applyFont="1" applyFill="1" applyBorder="1" applyAlignment="1">
      <alignment vertical="center"/>
    </xf>
    <xf numFmtId="0" fontId="4" fillId="3" borderId="41" xfId="0" applyFont="1" applyFill="1" applyBorder="1" applyAlignment="1">
      <alignment vertical="center"/>
    </xf>
    <xf numFmtId="0" fontId="4" fillId="3" borderId="40" xfId="0" applyFont="1" applyFill="1" applyBorder="1" applyAlignment="1">
      <alignment horizontal="center" vertical="center"/>
    </xf>
    <xf numFmtId="0" fontId="4" fillId="3" borderId="41" xfId="0" applyFont="1" applyFill="1" applyBorder="1" applyAlignment="1">
      <alignment horizontal="center" vertical="center"/>
    </xf>
    <xf numFmtId="0" fontId="4" fillId="3" borderId="24" xfId="0" applyFont="1" applyFill="1" applyBorder="1" applyAlignment="1">
      <alignment horizontal="left" wrapText="1"/>
    </xf>
    <xf numFmtId="0" fontId="4" fillId="3" borderId="30" xfId="0" applyFont="1" applyFill="1" applyBorder="1" applyAlignment="1">
      <alignment horizontal="left" wrapText="1"/>
    </xf>
    <xf numFmtId="3" fontId="16" fillId="3" borderId="6" xfId="0" applyNumberFormat="1" applyFont="1" applyFill="1" applyBorder="1" applyAlignment="1">
      <alignment horizontal="center"/>
    </xf>
    <xf numFmtId="0" fontId="25" fillId="3" borderId="6" xfId="0" applyFont="1" applyFill="1" applyBorder="1" applyAlignment="1">
      <alignment horizontal="center" vertical="center"/>
    </xf>
    <xf numFmtId="0" fontId="25" fillId="3" borderId="6" xfId="0" applyFont="1" applyFill="1" applyBorder="1" applyAlignment="1">
      <alignment horizontal="left"/>
    </xf>
    <xf numFmtId="0" fontId="4" fillId="3" borderId="36" xfId="0" applyFont="1" applyFill="1" applyBorder="1"/>
    <xf numFmtId="0" fontId="4" fillId="3" borderId="30" xfId="0" applyFont="1" applyFill="1" applyBorder="1" applyAlignment="1">
      <alignment vertical="center"/>
    </xf>
    <xf numFmtId="0" fontId="4" fillId="3" borderId="30" xfId="0" applyFont="1" applyFill="1" applyBorder="1" applyAlignment="1">
      <alignment horizontal="left" vertical="center"/>
    </xf>
    <xf numFmtId="0" fontId="23" fillId="3" borderId="6" xfId="0" applyFont="1" applyFill="1" applyBorder="1" applyAlignment="1">
      <alignment horizontal="left"/>
    </xf>
    <xf numFmtId="3" fontId="4" fillId="3" borderId="6" xfId="0" applyNumberFormat="1" applyFont="1" applyFill="1" applyBorder="1" applyAlignment="1">
      <alignment horizontal="left"/>
    </xf>
    <xf numFmtId="0" fontId="4" fillId="0" borderId="15" xfId="0" applyFont="1" applyBorder="1" applyAlignment="1">
      <alignment horizontal="center" vertical="center"/>
    </xf>
    <xf numFmtId="0" fontId="0" fillId="2" borderId="6" xfId="0" applyFill="1" applyBorder="1"/>
    <xf numFmtId="0" fontId="0" fillId="2" borderId="6" xfId="0" applyFill="1" applyBorder="1" applyAlignment="1">
      <alignment vertical="center"/>
    </xf>
    <xf numFmtId="0" fontId="14" fillId="2" borderId="33" xfId="0" applyFont="1" applyFill="1" applyBorder="1"/>
    <xf numFmtId="0" fontId="0" fillId="2" borderId="33" xfId="0" applyFill="1" applyBorder="1"/>
    <xf numFmtId="4" fontId="1" fillId="2" borderId="6" xfId="0" applyNumberFormat="1" applyFont="1" applyFill="1" applyBorder="1" applyProtection="1">
      <protection locked="0"/>
    </xf>
    <xf numFmtId="0" fontId="36" fillId="0" borderId="1" xfId="2" applyFont="1" applyBorder="1" applyAlignment="1">
      <alignment horizontal="center" vertical="center" wrapText="1"/>
    </xf>
    <xf numFmtId="43" fontId="36" fillId="0" borderId="1" xfId="2" applyNumberFormat="1" applyFont="1" applyBorder="1" applyAlignment="1">
      <alignment horizontal="center" vertical="center" wrapText="1"/>
    </xf>
    <xf numFmtId="0" fontId="40" fillId="0" borderId="1" xfId="2" applyFont="1" applyBorder="1" applyAlignment="1">
      <alignment horizontal="left" vertical="center" wrapText="1"/>
    </xf>
    <xf numFmtId="0" fontId="10" fillId="2" borderId="6" xfId="0" applyFont="1" applyFill="1" applyBorder="1"/>
    <xf numFmtId="0" fontId="23" fillId="2" borderId="6" xfId="0" applyFont="1" applyFill="1" applyBorder="1" applyAlignment="1">
      <alignment horizontal="left"/>
    </xf>
    <xf numFmtId="0" fontId="14" fillId="2" borderId="6" xfId="0" applyFont="1" applyFill="1" applyBorder="1" applyAlignment="1">
      <alignment horizontal="left" vertical="center"/>
    </xf>
    <xf numFmtId="165" fontId="0" fillId="2" borderId="6" xfId="0" applyNumberFormat="1" applyFill="1" applyBorder="1"/>
    <xf numFmtId="170" fontId="0" fillId="2" borderId="6" xfId="0" applyNumberFormat="1" applyFill="1" applyBorder="1"/>
    <xf numFmtId="0" fontId="16" fillId="2" borderId="6" xfId="0" applyFont="1" applyFill="1" applyBorder="1" applyAlignment="1">
      <alignment vertical="center"/>
    </xf>
    <xf numFmtId="0" fontId="0" fillId="2" borderId="6" xfId="0" applyFill="1" applyBorder="1" applyAlignment="1">
      <alignment horizontal="left" vertical="center" wrapText="1"/>
    </xf>
    <xf numFmtId="0" fontId="14" fillId="2" borderId="6" xfId="0" applyFont="1" applyFill="1" applyBorder="1"/>
    <xf numFmtId="0" fontId="14" fillId="2" borderId="6" xfId="0" applyFont="1" applyFill="1" applyBorder="1" applyAlignment="1">
      <alignment vertical="center"/>
    </xf>
    <xf numFmtId="0" fontId="4" fillId="2" borderId="6" xfId="0" applyFont="1" applyFill="1" applyBorder="1" applyAlignment="1">
      <alignment vertical="center"/>
    </xf>
    <xf numFmtId="0" fontId="0" fillId="2" borderId="6" xfId="0" applyFill="1" applyBorder="1" applyAlignment="1">
      <alignment horizontal="left" vertical="center"/>
    </xf>
    <xf numFmtId="0" fontId="16" fillId="2" borderId="6" xfId="0" applyFont="1" applyFill="1" applyBorder="1" applyAlignment="1">
      <alignment horizontal="left" vertical="center"/>
    </xf>
    <xf numFmtId="0" fontId="34" fillId="2" borderId="6" xfId="0" applyFont="1" applyFill="1" applyBorder="1" applyAlignment="1">
      <alignment horizontal="left" vertical="center"/>
    </xf>
    <xf numFmtId="43" fontId="1" fillId="2" borderId="6" xfId="0" applyNumberFormat="1" applyFont="1" applyFill="1" applyBorder="1" applyAlignment="1" applyProtection="1">
      <alignment horizontal="center" vertical="center"/>
      <protection locked="0"/>
    </xf>
    <xf numFmtId="43" fontId="2" fillId="2" borderId="6" xfId="0" applyNumberFormat="1" applyFont="1" applyFill="1" applyBorder="1" applyProtection="1">
      <protection locked="0"/>
    </xf>
    <xf numFmtId="43" fontId="0" fillId="2" borderId="6" xfId="0" applyNumberFormat="1" applyFill="1" applyBorder="1" applyProtection="1">
      <protection locked="0"/>
    </xf>
    <xf numFmtId="0" fontId="1" fillId="3" borderId="12" xfId="0" applyFont="1" applyFill="1" applyBorder="1" applyAlignment="1">
      <alignment horizontal="center" vertical="center" wrapText="1"/>
    </xf>
    <xf numFmtId="167" fontId="1" fillId="3" borderId="15" xfId="0" applyNumberFormat="1" applyFont="1" applyFill="1" applyBorder="1"/>
    <xf numFmtId="0" fontId="2" fillId="2" borderId="1" xfId="0" applyFont="1" applyFill="1" applyBorder="1" applyAlignment="1">
      <alignment horizontal="center" vertical="center" wrapText="1"/>
    </xf>
    <xf numFmtId="43" fontId="2" fillId="2" borderId="14" xfId="0" applyNumberFormat="1" applyFont="1" applyFill="1" applyBorder="1" applyAlignment="1">
      <alignment horizontal="center" vertical="center" wrapText="1"/>
    </xf>
    <xf numFmtId="0" fontId="1" fillId="3" borderId="1" xfId="0" applyFont="1" applyFill="1" applyBorder="1" applyAlignment="1">
      <alignment horizontal="center"/>
    </xf>
    <xf numFmtId="0" fontId="12" fillId="17" borderId="37" xfId="0" applyFont="1" applyFill="1" applyBorder="1" applyAlignment="1">
      <alignment horizontal="center" vertical="center" wrapText="1"/>
    </xf>
    <xf numFmtId="0" fontId="12" fillId="17" borderId="14" xfId="0" applyFont="1" applyFill="1" applyBorder="1"/>
    <xf numFmtId="167" fontId="12" fillId="17" borderId="14" xfId="0" applyNumberFormat="1" applyFont="1" applyFill="1" applyBorder="1"/>
    <xf numFmtId="43" fontId="12" fillId="17" borderId="14" xfId="1" applyFont="1" applyFill="1" applyBorder="1"/>
    <xf numFmtId="43" fontId="12" fillId="17" borderId="14" xfId="0" applyNumberFormat="1" applyFont="1" applyFill="1" applyBorder="1"/>
    <xf numFmtId="167" fontId="12" fillId="17" borderId="41" xfId="0" applyNumberFormat="1" applyFont="1" applyFill="1" applyBorder="1"/>
    <xf numFmtId="0" fontId="2" fillId="3" borderId="25" xfId="0" applyFont="1" applyFill="1" applyBorder="1" applyAlignment="1">
      <alignment horizontal="center" vertical="center" wrapText="1"/>
    </xf>
    <xf numFmtId="0" fontId="2" fillId="3" borderId="20" xfId="0" applyFont="1" applyFill="1" applyBorder="1" applyAlignment="1">
      <alignment horizontal="center"/>
    </xf>
    <xf numFmtId="0" fontId="2" fillId="3" borderId="20" xfId="0" applyFont="1" applyFill="1" applyBorder="1"/>
    <xf numFmtId="43" fontId="2" fillId="3" borderId="20" xfId="0" applyNumberFormat="1" applyFont="1" applyFill="1" applyBorder="1"/>
    <xf numFmtId="0" fontId="0" fillId="0" borderId="0" xfId="0" applyProtection="1">
      <protection hidden="1"/>
    </xf>
    <xf numFmtId="43" fontId="1" fillId="0" borderId="0" xfId="0" applyNumberFormat="1" applyFont="1" applyProtection="1">
      <protection hidden="1"/>
    </xf>
    <xf numFmtId="43" fontId="2" fillId="5" borderId="11" xfId="0" applyNumberFormat="1" applyFont="1" applyFill="1" applyBorder="1" applyAlignment="1" applyProtection="1">
      <alignment horizontal="center" vertical="center"/>
      <protection hidden="1"/>
    </xf>
    <xf numFmtId="43" fontId="12" fillId="2" borderId="41" xfId="0" applyNumberFormat="1" applyFont="1" applyFill="1" applyBorder="1" applyAlignment="1" applyProtection="1">
      <alignment horizontal="center"/>
      <protection hidden="1"/>
    </xf>
    <xf numFmtId="43" fontId="12" fillId="2" borderId="14" xfId="0" applyNumberFormat="1" applyFont="1" applyFill="1" applyBorder="1" applyProtection="1">
      <protection hidden="1"/>
    </xf>
    <xf numFmtId="43" fontId="12" fillId="2" borderId="1" xfId="0" applyNumberFormat="1" applyFont="1" applyFill="1" applyBorder="1" applyProtection="1">
      <protection hidden="1"/>
    </xf>
    <xf numFmtId="43" fontId="12" fillId="2" borderId="15" xfId="0" applyNumberFormat="1" applyFont="1" applyFill="1" applyBorder="1" applyProtection="1">
      <protection hidden="1"/>
    </xf>
    <xf numFmtId="0" fontId="1" fillId="0" borderId="12" xfId="0" applyFont="1" applyBorder="1" applyAlignment="1" applyProtection="1">
      <alignment horizontal="center" vertical="center"/>
      <protection locked="0" hidden="1"/>
    </xf>
    <xf numFmtId="0" fontId="1" fillId="0" borderId="1" xfId="0" applyFont="1" applyBorder="1" applyProtection="1">
      <protection locked="0" hidden="1"/>
    </xf>
    <xf numFmtId="43" fontId="1" fillId="0" borderId="13" xfId="0" applyNumberFormat="1" applyFont="1" applyBorder="1" applyProtection="1">
      <protection locked="0" hidden="1"/>
    </xf>
    <xf numFmtId="40" fontId="13" fillId="0" borderId="13" xfId="0" applyNumberFormat="1" applyFont="1" applyBorder="1" applyProtection="1">
      <protection hidden="1"/>
    </xf>
    <xf numFmtId="43" fontId="1" fillId="0" borderId="14" xfId="0" applyNumberFormat="1" applyFont="1" applyBorder="1" applyAlignment="1" applyProtection="1">
      <alignment horizontal="center"/>
      <protection hidden="1"/>
    </xf>
    <xf numFmtId="43" fontId="1" fillId="0" borderId="41" xfId="0" applyNumberFormat="1" applyFont="1" applyBorder="1" applyAlignment="1" applyProtection="1">
      <alignment horizontal="center"/>
      <protection hidden="1"/>
    </xf>
    <xf numFmtId="43" fontId="1" fillId="0" borderId="14" xfId="0" applyNumberFormat="1" applyFont="1" applyBorder="1" applyProtection="1">
      <protection hidden="1"/>
    </xf>
    <xf numFmtId="43" fontId="1" fillId="0" borderId="41" xfId="0" applyNumberFormat="1" applyFont="1" applyBorder="1" applyProtection="1">
      <protection hidden="1"/>
    </xf>
    <xf numFmtId="43" fontId="1" fillId="0" borderId="1" xfId="0" applyNumberFormat="1" applyFont="1" applyBorder="1" applyProtection="1">
      <protection hidden="1"/>
    </xf>
    <xf numFmtId="43" fontId="1" fillId="0" borderId="13" xfId="0" applyNumberFormat="1" applyFont="1" applyBorder="1" applyProtection="1">
      <protection hidden="1"/>
    </xf>
    <xf numFmtId="43" fontId="2" fillId="0" borderId="41" xfId="0" applyNumberFormat="1" applyFont="1" applyBorder="1" applyAlignment="1" applyProtection="1">
      <alignment horizontal="center"/>
      <protection hidden="1"/>
    </xf>
    <xf numFmtId="0" fontId="0" fillId="0" borderId="0" xfId="0" applyAlignment="1" applyProtection="1">
      <alignment vertical="center"/>
      <protection hidden="1"/>
    </xf>
    <xf numFmtId="0" fontId="40" fillId="16" borderId="12" xfId="0" applyFont="1" applyFill="1" applyBorder="1" applyAlignment="1" applyProtection="1">
      <alignment horizontal="center" vertical="center"/>
      <protection locked="0" hidden="1"/>
    </xf>
    <xf numFmtId="0" fontId="40" fillId="16" borderId="1" xfId="0" applyFont="1" applyFill="1" applyBorder="1" applyProtection="1">
      <protection locked="0" hidden="1"/>
    </xf>
    <xf numFmtId="43" fontId="40" fillId="16" borderId="13" xfId="0" applyNumberFormat="1" applyFont="1" applyFill="1" applyBorder="1" applyProtection="1">
      <protection hidden="1"/>
    </xf>
    <xf numFmtId="43" fontId="40" fillId="16" borderId="13" xfId="0" applyNumberFormat="1" applyFont="1" applyFill="1" applyBorder="1" applyProtection="1">
      <protection locked="0" hidden="1"/>
    </xf>
    <xf numFmtId="43" fontId="40" fillId="16" borderId="41" xfId="0" applyNumberFormat="1" applyFont="1" applyFill="1" applyBorder="1" applyAlignment="1" applyProtection="1">
      <alignment horizontal="center"/>
      <protection hidden="1"/>
    </xf>
    <xf numFmtId="43" fontId="40" fillId="16" borderId="14" xfId="0" applyNumberFormat="1" applyFont="1" applyFill="1" applyBorder="1" applyProtection="1">
      <protection hidden="1"/>
    </xf>
    <xf numFmtId="43" fontId="40" fillId="16" borderId="1" xfId="0" applyNumberFormat="1" applyFont="1" applyFill="1" applyBorder="1" applyProtection="1">
      <protection hidden="1"/>
    </xf>
    <xf numFmtId="43" fontId="40" fillId="16" borderId="14" xfId="0" applyNumberFormat="1" applyFont="1" applyFill="1" applyBorder="1" applyAlignment="1" applyProtection="1">
      <alignment horizontal="center"/>
      <protection hidden="1"/>
    </xf>
    <xf numFmtId="43" fontId="40" fillId="16" borderId="15" xfId="0" applyNumberFormat="1" applyFont="1" applyFill="1" applyBorder="1" applyAlignment="1" applyProtection="1">
      <alignment horizontal="center"/>
      <protection hidden="1"/>
    </xf>
    <xf numFmtId="43" fontId="1" fillId="0" borderId="15" xfId="0" applyNumberFormat="1" applyFont="1" applyBorder="1" applyAlignment="1" applyProtection="1">
      <alignment horizontal="center"/>
      <protection hidden="1"/>
    </xf>
    <xf numFmtId="0" fontId="2" fillId="0" borderId="1" xfId="0" applyFont="1" applyBorder="1" applyAlignment="1" applyProtection="1">
      <alignment horizontal="center" vertical="center"/>
      <protection hidden="1"/>
    </xf>
    <xf numFmtId="43" fontId="2" fillId="6" borderId="12" xfId="0" applyNumberFormat="1" applyFont="1"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0" borderId="0" xfId="0" applyNumberFormat="1" applyProtection="1">
      <protection hidden="1"/>
    </xf>
    <xf numFmtId="165" fontId="0" fillId="0" borderId="0" xfId="0" applyNumberFormat="1" applyProtection="1">
      <protection locked="0" hidden="1"/>
    </xf>
    <xf numFmtId="0" fontId="0" fillId="0" borderId="0" xfId="0" applyProtection="1">
      <protection locked="0" hidden="1"/>
    </xf>
    <xf numFmtId="165" fontId="0" fillId="0" borderId="0" xfId="0" applyNumberFormat="1" applyAlignment="1" applyProtection="1">
      <alignment horizontal="right"/>
      <protection hidden="1"/>
    </xf>
    <xf numFmtId="165" fontId="0" fillId="0" borderId="0" xfId="0" applyNumberFormat="1" applyAlignment="1" applyProtection="1">
      <alignment horizontal="left"/>
      <protection hidden="1"/>
    </xf>
    <xf numFmtId="165" fontId="15" fillId="0" borderId="0" xfId="0" applyNumberFormat="1" applyFont="1" applyAlignment="1" applyProtection="1">
      <alignment horizontal="left" vertical="center"/>
      <protection hidden="1"/>
    </xf>
    <xf numFmtId="165" fontId="14" fillId="0" borderId="0" xfId="0" applyNumberFormat="1" applyFont="1" applyAlignment="1" applyProtection="1">
      <alignment vertical="center"/>
      <protection hidden="1"/>
    </xf>
    <xf numFmtId="165" fontId="14" fillId="0" borderId="0" xfId="0" applyNumberFormat="1" applyFont="1" applyAlignment="1" applyProtection="1">
      <alignment horizontal="center" wrapText="1"/>
      <protection hidden="1"/>
    </xf>
    <xf numFmtId="164" fontId="15" fillId="0" borderId="0" xfId="0" applyNumberFormat="1" applyFont="1" applyAlignment="1" applyProtection="1">
      <alignment horizontal="right"/>
      <protection hidden="1"/>
    </xf>
    <xf numFmtId="165" fontId="14" fillId="0" borderId="0" xfId="0" applyNumberFormat="1" applyFont="1" applyProtection="1">
      <protection hidden="1"/>
    </xf>
    <xf numFmtId="165" fontId="14" fillId="0" borderId="0" xfId="0" applyNumberFormat="1" applyFont="1" applyProtection="1">
      <protection locked="0" hidden="1"/>
    </xf>
    <xf numFmtId="165" fontId="14" fillId="0" borderId="1" xfId="0" applyNumberFormat="1" applyFont="1" applyBorder="1" applyAlignment="1" applyProtection="1">
      <alignment horizontal="center" wrapText="1"/>
      <protection hidden="1"/>
    </xf>
    <xf numFmtId="165" fontId="14" fillId="0" borderId="1" xfId="0" applyNumberFormat="1" applyFont="1" applyBorder="1" applyAlignment="1" applyProtection="1">
      <alignment wrapText="1"/>
      <protection hidden="1"/>
    </xf>
    <xf numFmtId="165" fontId="14" fillId="0" borderId="1" xfId="0" applyNumberFormat="1" applyFont="1" applyBorder="1" applyProtection="1">
      <protection hidden="1"/>
    </xf>
    <xf numFmtId="165" fontId="0" fillId="0" borderId="1" xfId="0" applyNumberFormat="1" applyBorder="1" applyAlignment="1" applyProtection="1">
      <alignment horizontal="center" wrapText="1"/>
      <protection hidden="1"/>
    </xf>
    <xf numFmtId="165" fontId="0" fillId="0" borderId="1" xfId="0" applyNumberFormat="1" applyBorder="1" applyAlignment="1" applyProtection="1">
      <alignment wrapText="1"/>
      <protection hidden="1"/>
    </xf>
    <xf numFmtId="165" fontId="0" fillId="0" borderId="1" xfId="0" applyNumberFormat="1" applyBorder="1" applyProtection="1">
      <protection hidden="1"/>
    </xf>
    <xf numFmtId="165" fontId="0" fillId="0" borderId="1" xfId="0" applyNumberFormat="1" applyBorder="1" applyAlignment="1" applyProtection="1">
      <alignment horizontal="center" vertical="center" wrapText="1"/>
      <protection hidden="1"/>
    </xf>
    <xf numFmtId="165" fontId="0" fillId="0" borderId="1" xfId="0" applyNumberFormat="1" applyBorder="1" applyAlignment="1" applyProtection="1">
      <alignment vertical="center" wrapText="1"/>
      <protection hidden="1"/>
    </xf>
    <xf numFmtId="165" fontId="14" fillId="0" borderId="11" xfId="0" applyNumberFormat="1" applyFont="1" applyBorder="1" applyProtection="1">
      <protection hidden="1"/>
    </xf>
    <xf numFmtId="165" fontId="14" fillId="0" borderId="14" xfId="0" applyNumberFormat="1" applyFont="1" applyBorder="1" applyProtection="1">
      <protection hidden="1"/>
    </xf>
    <xf numFmtId="165" fontId="14" fillId="0" borderId="16" xfId="0" applyNumberFormat="1" applyFont="1" applyBorder="1" applyProtection="1">
      <protection hidden="1"/>
    </xf>
    <xf numFmtId="165" fontId="14" fillId="0" borderId="1" xfId="0" applyNumberFormat="1" applyFont="1" applyBorder="1" applyAlignment="1" applyProtection="1">
      <alignment horizontal="center"/>
      <protection hidden="1"/>
    </xf>
    <xf numFmtId="165" fontId="14" fillId="0" borderId="20" xfId="0" applyNumberFormat="1" applyFont="1" applyBorder="1" applyProtection="1">
      <protection hidden="1"/>
    </xf>
    <xf numFmtId="165" fontId="14" fillId="0" borderId="1" xfId="0" applyNumberFormat="1" applyFont="1" applyBorder="1" applyAlignment="1" applyProtection="1">
      <alignment horizontal="center" vertical="center" wrapText="1"/>
      <protection hidden="1"/>
    </xf>
    <xf numFmtId="165" fontId="14" fillId="0" borderId="1" xfId="0" applyNumberFormat="1" applyFont="1" applyBorder="1" applyAlignment="1" applyProtection="1">
      <alignment vertical="center" wrapText="1"/>
      <protection hidden="1"/>
    </xf>
    <xf numFmtId="165" fontId="14" fillId="0" borderId="16" xfId="0" applyNumberFormat="1" applyFont="1" applyBorder="1" applyAlignment="1" applyProtection="1">
      <alignment horizontal="left" vertical="center"/>
      <protection hidden="1"/>
    </xf>
    <xf numFmtId="165" fontId="0" fillId="0" borderId="0" xfId="0" applyNumberFormat="1" applyAlignment="1" applyProtection="1">
      <alignment horizontal="left" vertical="center"/>
      <protection hidden="1"/>
    </xf>
    <xf numFmtId="165" fontId="0" fillId="0" borderId="0" xfId="0" applyNumberFormat="1" applyAlignment="1" applyProtection="1">
      <alignment horizontal="left" vertical="center"/>
      <protection locked="0" hidden="1"/>
    </xf>
    <xf numFmtId="165" fontId="14" fillId="0" borderId="0" xfId="0" applyNumberFormat="1" applyFont="1" applyAlignment="1" applyProtection="1">
      <alignment horizontal="center" vertical="center" wrapText="1"/>
      <protection hidden="1"/>
    </xf>
    <xf numFmtId="165" fontId="14" fillId="0" borderId="0" xfId="0" applyNumberFormat="1" applyFont="1" applyAlignment="1" applyProtection="1">
      <alignment vertical="center" wrapText="1"/>
      <protection hidden="1"/>
    </xf>
    <xf numFmtId="165" fontId="14" fillId="0" borderId="0" xfId="0" applyNumberFormat="1" applyFont="1" applyAlignment="1" applyProtection="1">
      <alignment horizontal="left" vertical="center"/>
      <protection hidden="1"/>
    </xf>
    <xf numFmtId="43" fontId="0" fillId="0" borderId="0" xfId="0" applyNumberFormat="1" applyAlignment="1" applyProtection="1">
      <alignment horizontal="right" vertical="top"/>
      <protection hidden="1"/>
    </xf>
    <xf numFmtId="43" fontId="0" fillId="0" borderId="0" xfId="0" applyNumberFormat="1" applyAlignment="1" applyProtection="1">
      <alignment horizontal="right"/>
      <protection hidden="1"/>
    </xf>
    <xf numFmtId="165" fontId="0" fillId="0" borderId="0" xfId="0" applyNumberFormat="1" applyAlignment="1" applyProtection="1">
      <alignment horizontal="center"/>
      <protection locked="0" hidden="1"/>
    </xf>
    <xf numFmtId="0" fontId="18" fillId="0" borderId="0" xfId="0" applyFont="1" applyAlignment="1" applyProtection="1">
      <alignment horizontal="right"/>
      <protection locked="0" hidden="1"/>
    </xf>
    <xf numFmtId="43" fontId="0" fillId="0" borderId="0" xfId="0" applyNumberFormat="1" applyProtection="1">
      <protection locked="0" hidden="1"/>
    </xf>
    <xf numFmtId="166" fontId="15" fillId="0" borderId="0" xfId="0" applyNumberFormat="1" applyFont="1" applyAlignment="1" applyProtection="1">
      <alignment vertical="center"/>
      <protection hidden="1"/>
    </xf>
    <xf numFmtId="166" fontId="14" fillId="0" borderId="0" xfId="0" applyNumberFormat="1" applyFont="1" applyAlignment="1" applyProtection="1">
      <alignment vertical="center"/>
      <protection hidden="1"/>
    </xf>
    <xf numFmtId="43" fontId="0" fillId="0" borderId="0" xfId="0" applyNumberFormat="1" applyAlignment="1" applyProtection="1">
      <alignment vertical="center"/>
      <protection hidden="1"/>
    </xf>
    <xf numFmtId="43" fontId="0" fillId="0" borderId="0" xfId="0" applyNumberFormat="1" applyProtection="1">
      <protection hidden="1"/>
    </xf>
    <xf numFmtId="0" fontId="14" fillId="0" borderId="0" xfId="0" applyFont="1" applyProtection="1">
      <protection locked="0" hidden="1"/>
    </xf>
    <xf numFmtId="165" fontId="14" fillId="0" borderId="1" xfId="0" applyNumberFormat="1" applyFont="1" applyBorder="1" applyAlignment="1" applyProtection="1">
      <alignment horizontal="center" vertical="center" wrapText="1"/>
      <protection locked="0" hidden="1"/>
    </xf>
    <xf numFmtId="0" fontId="14" fillId="0" borderId="1" xfId="0" applyFont="1" applyBorder="1" applyAlignment="1" applyProtection="1">
      <alignment horizontal="center"/>
      <protection locked="0" hidden="1"/>
    </xf>
    <xf numFmtId="0" fontId="14" fillId="0" borderId="1" xfId="0" applyFont="1" applyBorder="1" applyAlignment="1" applyProtection="1">
      <alignment wrapText="1"/>
      <protection locked="0" hidden="1"/>
    </xf>
    <xf numFmtId="43" fontId="0" fillId="0" borderId="1" xfId="0" applyNumberFormat="1" applyBorder="1" applyAlignment="1" applyProtection="1">
      <alignment wrapText="1"/>
      <protection locked="0" hidden="1"/>
    </xf>
    <xf numFmtId="0" fontId="0" fillId="0" borderId="1" xfId="0" applyBorder="1" applyAlignment="1" applyProtection="1">
      <alignment horizontal="center"/>
      <protection locked="0" hidden="1"/>
    </xf>
    <xf numFmtId="0" fontId="0" fillId="0" borderId="1" xfId="0" applyBorder="1" applyAlignment="1" applyProtection="1">
      <alignment wrapText="1"/>
      <protection locked="0" hidden="1"/>
    </xf>
    <xf numFmtId="43" fontId="35" fillId="0" borderId="1" xfId="0" applyNumberFormat="1" applyFont="1" applyBorder="1" applyAlignment="1" applyProtection="1">
      <alignment wrapText="1"/>
      <protection locked="0" hidden="1"/>
    </xf>
    <xf numFmtId="0" fontId="0" fillId="0" borderId="1" xfId="0" applyBorder="1" applyAlignment="1" applyProtection="1">
      <alignment vertical="center" wrapText="1"/>
      <protection locked="0" hidden="1"/>
    </xf>
    <xf numFmtId="0" fontId="14" fillId="0" borderId="0" xfId="0" applyFont="1" applyAlignment="1" applyProtection="1">
      <alignment vertical="center"/>
      <protection locked="0" hidden="1"/>
    </xf>
    <xf numFmtId="165" fontId="14" fillId="0" borderId="1" xfId="0" applyNumberFormat="1" applyFont="1" applyBorder="1" applyProtection="1">
      <protection locked="0" hidden="1"/>
    </xf>
    <xf numFmtId="165" fontId="0" fillId="0" borderId="1" xfId="0" applyNumberFormat="1" applyBorder="1" applyProtection="1">
      <protection locked="0" hidden="1"/>
    </xf>
    <xf numFmtId="0" fontId="14" fillId="0" borderId="1" xfId="0" applyFont="1" applyBorder="1" applyAlignment="1" applyProtection="1">
      <alignment horizontal="center" vertical="center"/>
      <protection locked="0" hidden="1"/>
    </xf>
    <xf numFmtId="43" fontId="14" fillId="0" borderId="1" xfId="0" applyNumberFormat="1" applyFont="1" applyBorder="1" applyAlignment="1" applyProtection="1">
      <alignment horizontal="left" wrapText="1"/>
      <protection locked="0" hidden="1"/>
    </xf>
    <xf numFmtId="165" fontId="14" fillId="0" borderId="11" xfId="0" applyNumberFormat="1" applyFont="1" applyBorder="1" applyProtection="1">
      <protection locked="0" hidden="1"/>
    </xf>
    <xf numFmtId="43" fontId="0" fillId="0" borderId="17" xfId="0" applyNumberFormat="1" applyBorder="1" applyAlignment="1" applyProtection="1">
      <alignment horizontal="left" wrapText="1"/>
      <protection locked="0" hidden="1"/>
    </xf>
    <xf numFmtId="165" fontId="0" fillId="0" borderId="17" xfId="0" applyNumberFormat="1" applyBorder="1" applyProtection="1">
      <protection hidden="1"/>
    </xf>
    <xf numFmtId="43" fontId="14" fillId="0" borderId="17" xfId="0" applyNumberFormat="1" applyFont="1" applyBorder="1" applyAlignment="1" applyProtection="1">
      <alignment wrapText="1"/>
      <protection locked="0" hidden="1"/>
    </xf>
    <xf numFmtId="165" fontId="14" fillId="0" borderId="17" xfId="0" applyNumberFormat="1" applyFont="1" applyBorder="1" applyProtection="1">
      <protection hidden="1"/>
    </xf>
    <xf numFmtId="165" fontId="14" fillId="0" borderId="17" xfId="0" applyNumberFormat="1" applyFont="1" applyBorder="1" applyProtection="1">
      <protection locked="0" hidden="1"/>
    </xf>
    <xf numFmtId="43" fontId="14" fillId="0" borderId="18" xfId="0" applyNumberFormat="1" applyFont="1" applyBorder="1" applyAlignment="1" applyProtection="1">
      <alignment vertical="center" wrapText="1"/>
      <protection locked="0" hidden="1"/>
    </xf>
    <xf numFmtId="165" fontId="0" fillId="0" borderId="18" xfId="0" applyNumberFormat="1" applyBorder="1" applyProtection="1">
      <protection hidden="1"/>
    </xf>
    <xf numFmtId="49" fontId="0" fillId="0" borderId="0" xfId="0" applyNumberFormat="1" applyAlignment="1" applyProtection="1">
      <alignment horizontal="left" vertical="center"/>
      <protection locked="0" hidden="1"/>
    </xf>
    <xf numFmtId="49" fontId="0" fillId="0" borderId="0" xfId="0" applyNumberFormat="1" applyAlignment="1" applyProtection="1">
      <alignment vertical="center"/>
      <protection locked="0" hidden="1"/>
    </xf>
    <xf numFmtId="43" fontId="0" fillId="0" borderId="0" xfId="0" applyNumberFormat="1" applyAlignment="1" applyProtection="1">
      <alignment horizontal="left" vertical="center"/>
      <protection locked="0" hidden="1"/>
    </xf>
    <xf numFmtId="49" fontId="0" fillId="0" borderId="0" xfId="0" applyNumberFormat="1" applyAlignment="1" applyProtection="1">
      <alignment horizontal="left" vertical="center"/>
      <protection hidden="1"/>
    </xf>
    <xf numFmtId="49" fontId="14" fillId="0" borderId="0" xfId="0" applyNumberFormat="1" applyFont="1" applyAlignment="1" applyProtection="1">
      <alignment horizontal="left" vertical="center"/>
      <protection hidden="1"/>
    </xf>
    <xf numFmtId="43" fontId="0" fillId="0" borderId="0" xfId="0" applyNumberFormat="1" applyAlignment="1" applyProtection="1">
      <alignment horizontal="left" vertical="top"/>
      <protection hidden="1"/>
    </xf>
    <xf numFmtId="0" fontId="17" fillId="0" borderId="0" xfId="0" applyFont="1" applyProtection="1">
      <protection hidden="1"/>
    </xf>
    <xf numFmtId="0" fontId="17" fillId="0" borderId="0" xfId="0" applyFont="1" applyAlignment="1" applyProtection="1">
      <alignment vertical="center"/>
      <protection locked="0" hidden="1"/>
    </xf>
    <xf numFmtId="0" fontId="0" fillId="0" borderId="0" xfId="0" applyAlignment="1" applyProtection="1">
      <alignment horizontal="center" vertical="center"/>
      <protection hidden="1"/>
    </xf>
    <xf numFmtId="0" fontId="14" fillId="0" borderId="0" xfId="0" applyFont="1" applyProtection="1">
      <protection hidden="1"/>
    </xf>
    <xf numFmtId="0" fontId="14" fillId="0" borderId="0" xfId="0" applyFont="1" applyAlignment="1" applyProtection="1">
      <alignment horizontal="center" vertical="center"/>
      <protection hidden="1"/>
    </xf>
    <xf numFmtId="164" fontId="14" fillId="0" borderId="36" xfId="0" applyNumberFormat="1" applyFont="1" applyBorder="1" applyAlignment="1" applyProtection="1">
      <alignment horizontal="right"/>
      <protection hidden="1"/>
    </xf>
    <xf numFmtId="167" fontId="0" fillId="0" borderId="0" xfId="0" applyNumberFormat="1" applyAlignment="1" applyProtection="1">
      <alignment horizontal="right"/>
      <protection hidden="1"/>
    </xf>
    <xf numFmtId="0" fontId="14" fillId="0" borderId="1" xfId="0" applyFont="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0" fontId="0" fillId="0" borderId="0" xfId="0" applyAlignment="1" applyProtection="1">
      <alignment horizontal="center" vertical="center"/>
      <protection locked="0" hidden="1"/>
    </xf>
    <xf numFmtId="0" fontId="14" fillId="0" borderId="1" xfId="0" applyFont="1" applyBorder="1" applyAlignment="1" applyProtection="1">
      <alignment vertical="center" wrapText="1"/>
      <protection hidden="1"/>
    </xf>
    <xf numFmtId="165" fontId="14" fillId="0" borderId="1" xfId="0" applyNumberFormat="1" applyFont="1" applyBorder="1" applyAlignment="1" applyProtection="1">
      <alignment vertical="center"/>
      <protection hidden="1"/>
    </xf>
    <xf numFmtId="165" fontId="14" fillId="0" borderId="1" xfId="0" applyNumberFormat="1" applyFont="1" applyBorder="1" applyAlignment="1" applyProtection="1">
      <alignment horizontal="center" vertical="center"/>
      <protection hidden="1"/>
    </xf>
    <xf numFmtId="43" fontId="14" fillId="0" borderId="0" xfId="0" applyNumberFormat="1" applyFont="1" applyAlignment="1" applyProtection="1">
      <alignment vertical="center"/>
      <protection locked="0" hidden="1"/>
    </xf>
    <xf numFmtId="0" fontId="0" fillId="0" borderId="1" xfId="0" applyBorder="1" applyAlignment="1" applyProtection="1">
      <alignment horizontal="center" vertical="center"/>
      <protection hidden="1"/>
    </xf>
    <xf numFmtId="0" fontId="0" fillId="0" borderId="1" xfId="0" applyBorder="1" applyAlignment="1" applyProtection="1">
      <alignment vertical="center" wrapText="1"/>
      <protection hidden="1"/>
    </xf>
    <xf numFmtId="0" fontId="0" fillId="0" borderId="1" xfId="0" applyBorder="1" applyAlignment="1" applyProtection="1">
      <alignment vertical="center"/>
      <protection hidden="1"/>
    </xf>
    <xf numFmtId="165" fontId="0" fillId="0" borderId="1" xfId="0" applyNumberFormat="1" applyBorder="1" applyAlignment="1" applyProtection="1">
      <alignment vertical="center"/>
      <protection hidden="1"/>
    </xf>
    <xf numFmtId="165" fontId="0" fillId="0" borderId="1" xfId="0" applyNumberFormat="1" applyBorder="1" applyAlignment="1" applyProtection="1">
      <alignment horizontal="center" vertical="center"/>
      <protection hidden="1"/>
    </xf>
    <xf numFmtId="0" fontId="35" fillId="0" borderId="1" xfId="0" applyFont="1" applyBorder="1" applyAlignment="1" applyProtection="1">
      <alignment vertical="center" wrapText="1"/>
      <protection hidden="1"/>
    </xf>
    <xf numFmtId="43" fontId="0" fillId="0" borderId="0" xfId="0" applyNumberFormat="1" applyAlignment="1" applyProtection="1">
      <alignment vertical="center"/>
      <protection locked="0" hidden="1"/>
    </xf>
    <xf numFmtId="0" fontId="14" fillId="0" borderId="0" xfId="0" applyFont="1" applyAlignment="1" applyProtection="1">
      <alignment vertical="center"/>
      <protection hidden="1"/>
    </xf>
    <xf numFmtId="43" fontId="14" fillId="0" borderId="0" xfId="0" applyNumberFormat="1" applyFont="1" applyProtection="1">
      <protection hidden="1"/>
    </xf>
    <xf numFmtId="167" fontId="14" fillId="0" borderId="0" xfId="0" applyNumberFormat="1" applyFont="1" applyProtection="1">
      <protection hidden="1"/>
    </xf>
    <xf numFmtId="43" fontId="0" fillId="0" borderId="0" xfId="0" applyNumberFormat="1" applyAlignment="1" applyProtection="1">
      <alignment horizontal="left"/>
      <protection hidden="1"/>
    </xf>
    <xf numFmtId="0" fontId="18" fillId="0" borderId="0" xfId="0" applyFont="1" applyProtection="1">
      <protection hidden="1"/>
    </xf>
    <xf numFmtId="0" fontId="0" fillId="0" borderId="0" xfId="0" applyAlignment="1" applyProtection="1">
      <alignment vertical="center"/>
      <protection locked="0" hidden="1"/>
    </xf>
    <xf numFmtId="165" fontId="0" fillId="0" borderId="0" xfId="0" applyNumberFormat="1" applyAlignment="1" applyProtection="1">
      <alignment vertical="center"/>
      <protection locked="0" hidden="1"/>
    </xf>
    <xf numFmtId="165" fontId="14" fillId="0" borderId="0" xfId="0" applyNumberFormat="1" applyFont="1" applyAlignment="1" applyProtection="1">
      <alignment horizontal="center"/>
      <protection locked="0" hidden="1"/>
    </xf>
    <xf numFmtId="165" fontId="15" fillId="0" borderId="0" xfId="0" applyNumberFormat="1" applyFont="1" applyAlignment="1" applyProtection="1">
      <alignment vertical="center"/>
      <protection locked="0" hidden="1"/>
    </xf>
    <xf numFmtId="165" fontId="1" fillId="0" borderId="0" xfId="0" applyNumberFormat="1" applyFont="1" applyAlignment="1" applyProtection="1">
      <alignment horizontal="left" vertical="center"/>
      <protection locked="0" hidden="1"/>
    </xf>
    <xf numFmtId="165" fontId="0" fillId="0" borderId="0" xfId="0" applyNumberFormat="1" applyAlignment="1" applyProtection="1">
      <alignment horizontal="right" vertical="center"/>
      <protection hidden="1"/>
    </xf>
    <xf numFmtId="165" fontId="16" fillId="0" borderId="1" xfId="0" applyNumberFormat="1" applyFont="1" applyBorder="1" applyAlignment="1" applyProtection="1">
      <alignment horizontal="center" vertical="center" wrapText="1"/>
      <protection locked="0" hidden="1"/>
    </xf>
    <xf numFmtId="165" fontId="14" fillId="0" borderId="1" xfId="0" applyNumberFormat="1" applyFont="1" applyBorder="1" applyAlignment="1" applyProtection="1">
      <alignment horizontal="center" vertical="center"/>
      <protection locked="0" hidden="1"/>
    </xf>
    <xf numFmtId="168" fontId="14" fillId="0" borderId="1" xfId="0" applyNumberFormat="1" applyFont="1" applyBorder="1" applyAlignment="1" applyProtection="1">
      <alignment horizontal="right" vertical="center"/>
      <protection locked="0" hidden="1"/>
    </xf>
    <xf numFmtId="165" fontId="14" fillId="0" borderId="1" xfId="0" applyNumberFormat="1" applyFont="1" applyBorder="1" applyAlignment="1" applyProtection="1">
      <alignment vertical="center" wrapText="1"/>
      <protection locked="0" hidden="1"/>
    </xf>
    <xf numFmtId="165" fontId="14" fillId="0" borderId="1" xfId="0" applyNumberFormat="1" applyFont="1" applyBorder="1" applyAlignment="1" applyProtection="1">
      <alignment vertical="center"/>
      <protection locked="0" hidden="1"/>
    </xf>
    <xf numFmtId="169" fontId="14" fillId="0" borderId="1" xfId="0" applyNumberFormat="1" applyFont="1" applyBorder="1" applyAlignment="1" applyProtection="1">
      <alignment horizontal="right" vertical="center"/>
      <protection locked="0" hidden="1"/>
    </xf>
    <xf numFmtId="165" fontId="0" fillId="0" borderId="1" xfId="0" applyNumberFormat="1" applyBorder="1" applyAlignment="1" applyProtection="1">
      <alignment horizontal="right" vertical="center"/>
      <protection locked="0" hidden="1"/>
    </xf>
    <xf numFmtId="165" fontId="0" fillId="0" borderId="1" xfId="0" applyNumberFormat="1" applyBorder="1" applyAlignment="1" applyProtection="1">
      <alignment vertical="center" wrapText="1"/>
      <protection locked="0" hidden="1"/>
    </xf>
    <xf numFmtId="165" fontId="0" fillId="0" borderId="1" xfId="0" applyNumberFormat="1" applyBorder="1" applyAlignment="1" applyProtection="1">
      <alignment vertical="center"/>
      <protection locked="0" hidden="1"/>
    </xf>
    <xf numFmtId="165" fontId="0" fillId="0" borderId="1" xfId="0" applyNumberFormat="1" applyBorder="1" applyAlignment="1" applyProtection="1">
      <alignment horizontal="left" vertical="center" wrapText="1"/>
      <protection locked="0" hidden="1"/>
    </xf>
    <xf numFmtId="39" fontId="14" fillId="0" borderId="1" xfId="0" applyNumberFormat="1" applyFont="1" applyBorder="1" applyAlignment="1" applyProtection="1">
      <alignment vertical="center"/>
      <protection locked="0" hidden="1"/>
    </xf>
    <xf numFmtId="39" fontId="14" fillId="0" borderId="1" xfId="0" applyNumberFormat="1" applyFont="1" applyBorder="1" applyAlignment="1" applyProtection="1">
      <alignment vertical="center"/>
      <protection hidden="1"/>
    </xf>
    <xf numFmtId="165" fontId="14" fillId="0" borderId="0" xfId="0" applyNumberFormat="1" applyFont="1" applyAlignment="1" applyProtection="1">
      <alignment horizontal="left" vertical="center"/>
      <protection locked="0" hidden="1"/>
    </xf>
    <xf numFmtId="165" fontId="14" fillId="0" borderId="0" xfId="0" applyNumberFormat="1" applyFont="1" applyAlignment="1" applyProtection="1">
      <alignment vertical="center" wrapText="1"/>
      <protection locked="0" hidden="1"/>
    </xf>
    <xf numFmtId="165" fontId="14" fillId="0" borderId="0" xfId="0" applyNumberFormat="1" applyFont="1" applyAlignment="1" applyProtection="1">
      <alignment vertical="center"/>
      <protection locked="0" hidden="1"/>
    </xf>
    <xf numFmtId="43" fontId="0" fillId="0" borderId="0" xfId="0" applyNumberFormat="1" applyAlignment="1" applyProtection="1">
      <alignment horizontal="right"/>
      <protection locked="0" hidden="1"/>
    </xf>
    <xf numFmtId="0" fontId="14" fillId="0" borderId="0" xfId="0" applyFont="1" applyAlignment="1" applyProtection="1">
      <alignment horizontal="right"/>
      <protection locked="0" hidden="1"/>
    </xf>
    <xf numFmtId="165" fontId="18" fillId="0" borderId="0" xfId="0" applyNumberFormat="1" applyFont="1" applyAlignment="1" applyProtection="1">
      <alignment horizontal="right"/>
      <protection locked="0" hidden="1"/>
    </xf>
    <xf numFmtId="165" fontId="0" fillId="7" borderId="6" xfId="0" applyNumberFormat="1" applyFill="1" applyBorder="1" applyProtection="1">
      <protection hidden="1"/>
    </xf>
    <xf numFmtId="0" fontId="19" fillId="0" borderId="0" xfId="0" applyFont="1" applyProtection="1">
      <protection locked="0" hidden="1"/>
    </xf>
    <xf numFmtId="43" fontId="19" fillId="0" borderId="0" xfId="1" applyFont="1" applyProtection="1">
      <protection hidden="1"/>
    </xf>
    <xf numFmtId="43" fontId="20" fillId="0" borderId="0" xfId="1" applyFont="1" applyAlignment="1" applyProtection="1">
      <alignment horizontal="right"/>
      <protection hidden="1"/>
    </xf>
    <xf numFmtId="0" fontId="19" fillId="8" borderId="6" xfId="0" applyFont="1" applyFill="1" applyBorder="1" applyProtection="1">
      <protection hidden="1"/>
    </xf>
    <xf numFmtId="0" fontId="21" fillId="0" borderId="0" xfId="0" applyFont="1" applyProtection="1">
      <protection locked="0" hidden="1"/>
    </xf>
    <xf numFmtId="43" fontId="21" fillId="0" borderId="0" xfId="1" applyFont="1" applyProtection="1">
      <protection hidden="1"/>
    </xf>
    <xf numFmtId="43" fontId="19" fillId="0" borderId="0" xfId="1" applyFont="1" applyAlignment="1" applyProtection="1">
      <alignment horizontal="right"/>
      <protection hidden="1"/>
    </xf>
    <xf numFmtId="171" fontId="19" fillId="0" borderId="0" xfId="1" applyNumberFormat="1" applyFont="1" applyProtection="1">
      <protection hidden="1"/>
    </xf>
    <xf numFmtId="0" fontId="0" fillId="16" borderId="53" xfId="0" applyFill="1" applyBorder="1" applyAlignment="1" applyProtection="1">
      <alignment horizontal="center"/>
      <protection locked="0" hidden="1"/>
    </xf>
    <xf numFmtId="43" fontId="0" fillId="16" borderId="56" xfId="1" applyFont="1" applyFill="1" applyBorder="1" applyAlignment="1" applyProtection="1">
      <alignment horizontal="center"/>
      <protection hidden="1"/>
    </xf>
    <xf numFmtId="0" fontId="36" fillId="16" borderId="0" xfId="0" applyFont="1" applyFill="1" applyAlignment="1" applyProtection="1">
      <alignment horizontal="center" vertical="center"/>
      <protection locked="0" hidden="1"/>
    </xf>
    <xf numFmtId="43" fontId="36" fillId="16" borderId="54" xfId="1" applyFont="1" applyFill="1" applyBorder="1" applyAlignment="1" applyProtection="1">
      <alignment horizontal="center" vertical="center"/>
      <protection hidden="1"/>
    </xf>
    <xf numFmtId="43" fontId="36" fillId="16" borderId="55" xfId="1" applyFont="1" applyFill="1" applyBorder="1" applyAlignment="1" applyProtection="1">
      <alignment horizontal="center" vertical="center"/>
      <protection hidden="1"/>
    </xf>
    <xf numFmtId="43" fontId="36" fillId="16" borderId="57" xfId="1" applyFont="1" applyFill="1" applyBorder="1" applyAlignment="1" applyProtection="1">
      <alignment horizontal="center" vertical="center"/>
      <protection hidden="1"/>
    </xf>
    <xf numFmtId="43" fontId="0" fillId="0" borderId="0" xfId="1" applyFont="1" applyProtection="1">
      <protection hidden="1"/>
    </xf>
    <xf numFmtId="0" fontId="1" fillId="0" borderId="48" xfId="0" applyFont="1" applyBorder="1" applyProtection="1">
      <protection locked="0" hidden="1"/>
    </xf>
    <xf numFmtId="43" fontId="22" fillId="0" borderId="48" xfId="1" applyFont="1" applyBorder="1" applyProtection="1">
      <protection hidden="1"/>
    </xf>
    <xf numFmtId="43" fontId="2" fillId="2" borderId="1" xfId="0" applyNumberFormat="1" applyFont="1" applyFill="1" applyBorder="1" applyAlignment="1" applyProtection="1">
      <alignment horizontal="center" vertical="center" wrapText="1"/>
      <protection locked="0"/>
    </xf>
    <xf numFmtId="0" fontId="0" fillId="2" borderId="6" xfId="0" applyFill="1" applyBorder="1" applyProtection="1">
      <protection hidden="1"/>
    </xf>
    <xf numFmtId="0" fontId="0" fillId="2" borderId="6" xfId="0" applyFill="1" applyBorder="1" applyAlignment="1" applyProtection="1">
      <alignment vertical="center"/>
      <protection hidden="1"/>
    </xf>
    <xf numFmtId="43" fontId="0" fillId="2" borderId="6" xfId="0" applyNumberFormat="1" applyFill="1" applyBorder="1" applyAlignment="1" applyProtection="1">
      <alignment horizontal="right" vertical="center"/>
      <protection hidden="1"/>
    </xf>
    <xf numFmtId="0" fontId="1" fillId="2" borderId="6" xfId="0" applyFont="1" applyFill="1" applyBorder="1" applyProtection="1">
      <protection locked="0" hidden="1"/>
    </xf>
    <xf numFmtId="0" fontId="14" fillId="2" borderId="33" xfId="0" applyFont="1" applyFill="1" applyBorder="1" applyProtection="1">
      <protection hidden="1"/>
    </xf>
    <xf numFmtId="0" fontId="14" fillId="2" borderId="33" xfId="0" applyFont="1" applyFill="1" applyBorder="1" applyAlignment="1" applyProtection="1">
      <alignment horizontal="center"/>
      <protection hidden="1"/>
    </xf>
    <xf numFmtId="0" fontId="14" fillId="2" borderId="33" xfId="0" applyFont="1" applyFill="1" applyBorder="1" applyAlignment="1" applyProtection="1">
      <alignment horizontal="left"/>
      <protection hidden="1"/>
    </xf>
    <xf numFmtId="0" fontId="0" fillId="2" borderId="33" xfId="0" applyFill="1" applyBorder="1" applyProtection="1">
      <protection hidden="1"/>
    </xf>
    <xf numFmtId="0" fontId="27" fillId="2" borderId="33" xfId="0" applyFont="1" applyFill="1" applyBorder="1" applyAlignment="1" applyProtection="1">
      <alignment horizontal="center"/>
      <protection hidden="1"/>
    </xf>
    <xf numFmtId="0" fontId="14" fillId="2" borderId="33" xfId="0" applyFont="1" applyFill="1" applyBorder="1" applyAlignment="1" applyProtection="1">
      <alignment horizontal="center" vertical="center"/>
      <protection hidden="1"/>
    </xf>
    <xf numFmtId="43" fontId="14" fillId="2" borderId="33" xfId="0" applyNumberFormat="1" applyFont="1" applyFill="1" applyBorder="1" applyAlignment="1" applyProtection="1">
      <alignment horizontal="right" vertical="center"/>
      <protection hidden="1"/>
    </xf>
    <xf numFmtId="0" fontId="14" fillId="2" borderId="6" xfId="0" applyFont="1" applyFill="1" applyBorder="1" applyAlignment="1" applyProtection="1">
      <alignment horizontal="center"/>
      <protection hidden="1"/>
    </xf>
    <xf numFmtId="0" fontId="14" fillId="2" borderId="6" xfId="0" applyFont="1" applyFill="1" applyBorder="1" applyAlignment="1" applyProtection="1">
      <alignment horizontal="left"/>
      <protection hidden="1"/>
    </xf>
    <xf numFmtId="0" fontId="14" fillId="2" borderId="6" xfId="0" applyFont="1" applyFill="1" applyBorder="1" applyAlignment="1" applyProtection="1">
      <alignment horizontal="center" vertical="center"/>
      <protection hidden="1"/>
    </xf>
    <xf numFmtId="43" fontId="14" fillId="2" borderId="6" xfId="0" applyNumberFormat="1" applyFont="1" applyFill="1" applyBorder="1" applyAlignment="1" applyProtection="1">
      <alignment horizontal="right" vertical="center"/>
      <protection hidden="1"/>
    </xf>
    <xf numFmtId="0" fontId="14" fillId="2" borderId="41" xfId="0" applyFont="1" applyFill="1" applyBorder="1" applyProtection="1">
      <protection hidden="1"/>
    </xf>
    <xf numFmtId="0" fontId="14" fillId="2" borderId="14" xfId="0" applyFont="1" applyFill="1" applyBorder="1" applyProtection="1">
      <protection hidden="1"/>
    </xf>
    <xf numFmtId="165" fontId="14" fillId="2" borderId="34" xfId="0" applyNumberFormat="1" applyFont="1" applyFill="1" applyBorder="1" applyProtection="1">
      <protection hidden="1"/>
    </xf>
    <xf numFmtId="0" fontId="0" fillId="2" borderId="34" xfId="0" applyFill="1" applyBorder="1" applyProtection="1">
      <protection hidden="1"/>
    </xf>
    <xf numFmtId="43" fontId="0" fillId="2" borderId="34" xfId="0" applyNumberFormat="1" applyFill="1" applyBorder="1" applyProtection="1">
      <protection hidden="1"/>
    </xf>
    <xf numFmtId="0" fontId="0" fillId="2" borderId="35" xfId="0" applyFill="1" applyBorder="1" applyProtection="1">
      <protection hidden="1"/>
    </xf>
    <xf numFmtId="0" fontId="0" fillId="2" borderId="6" xfId="0" applyFill="1" applyBorder="1" applyAlignment="1" applyProtection="1">
      <alignment horizontal="center"/>
      <protection hidden="1"/>
    </xf>
    <xf numFmtId="43" fontId="0" fillId="2" borderId="6" xfId="0" applyNumberFormat="1" applyFill="1" applyBorder="1" applyProtection="1">
      <protection hidden="1"/>
    </xf>
    <xf numFmtId="0" fontId="32" fillId="2" borderId="6" xfId="0" applyFont="1" applyFill="1" applyBorder="1" applyProtection="1">
      <protection hidden="1"/>
    </xf>
    <xf numFmtId="0" fontId="23" fillId="2" borderId="6" xfId="0" applyFont="1" applyFill="1" applyBorder="1" applyProtection="1">
      <protection hidden="1"/>
    </xf>
    <xf numFmtId="0" fontId="23" fillId="2" borderId="6" xfId="0" applyFont="1" applyFill="1" applyBorder="1" applyAlignment="1" applyProtection="1">
      <alignment vertical="center"/>
      <protection hidden="1"/>
    </xf>
    <xf numFmtId="170" fontId="23" fillId="2" borderId="6" xfId="0" applyNumberFormat="1" applyFont="1" applyFill="1" applyBorder="1" applyAlignment="1" applyProtection="1">
      <alignment horizontal="center" vertical="center" wrapText="1"/>
      <protection hidden="1"/>
    </xf>
    <xf numFmtId="43" fontId="23" fillId="2" borderId="6" xfId="0" applyNumberFormat="1" applyFont="1" applyFill="1" applyBorder="1" applyAlignment="1" applyProtection="1">
      <alignment horizontal="center" vertical="center" wrapText="1"/>
      <protection hidden="1"/>
    </xf>
    <xf numFmtId="0" fontId="2" fillId="2" borderId="15" xfId="0" applyFont="1" applyFill="1" applyBorder="1" applyAlignment="1" applyProtection="1">
      <alignment horizontal="center" vertical="center" wrapText="1"/>
      <protection hidden="1"/>
    </xf>
    <xf numFmtId="43" fontId="2" fillId="2" borderId="42" xfId="0" applyNumberFormat="1" applyFont="1" applyFill="1" applyBorder="1" applyAlignment="1" applyProtection="1">
      <alignment horizontal="center" vertical="center" wrapText="1"/>
      <protection hidden="1"/>
    </xf>
    <xf numFmtId="43" fontId="1" fillId="2" borderId="6" xfId="0" applyNumberFormat="1" applyFont="1" applyFill="1" applyBorder="1" applyProtection="1">
      <protection locked="0" hidden="1"/>
    </xf>
    <xf numFmtId="0" fontId="1" fillId="2" borderId="30" xfId="0" applyFont="1" applyFill="1" applyBorder="1" applyAlignment="1" applyProtection="1">
      <alignment horizontal="center" vertical="center"/>
      <protection hidden="1"/>
    </xf>
    <xf numFmtId="43" fontId="2" fillId="2" borderId="14" xfId="0" applyNumberFormat="1" applyFont="1" applyFill="1" applyBorder="1" applyAlignment="1" applyProtection="1">
      <alignment horizontal="right" vertical="center"/>
      <protection hidden="1"/>
    </xf>
    <xf numFmtId="39" fontId="1" fillId="2" borderId="6" xfId="0" applyNumberFormat="1" applyFont="1" applyFill="1" applyBorder="1" applyProtection="1">
      <protection locked="0" hidden="1"/>
    </xf>
    <xf numFmtId="43" fontId="1" fillId="2" borderId="1" xfId="0" applyNumberFormat="1" applyFont="1" applyFill="1" applyBorder="1" applyAlignment="1" applyProtection="1">
      <alignment horizontal="right" vertical="center"/>
      <protection hidden="1"/>
    </xf>
    <xf numFmtId="43" fontId="1" fillId="0" borderId="1" xfId="0" applyNumberFormat="1" applyFont="1" applyBorder="1" applyAlignment="1" applyProtection="1">
      <alignment horizontal="right" vertical="center"/>
      <protection hidden="1"/>
    </xf>
    <xf numFmtId="170" fontId="1" fillId="2" borderId="6" xfId="0" applyNumberFormat="1" applyFont="1" applyFill="1" applyBorder="1" applyProtection="1">
      <protection locked="0" hidden="1"/>
    </xf>
    <xf numFmtId="4" fontId="1" fillId="2" borderId="6" xfId="0" applyNumberFormat="1" applyFont="1" applyFill="1" applyBorder="1" applyProtection="1">
      <protection locked="0" hidden="1"/>
    </xf>
    <xf numFmtId="43" fontId="1" fillId="0" borderId="20" xfId="0" applyNumberFormat="1" applyFont="1" applyBorder="1" applyAlignment="1" applyProtection="1">
      <alignment horizontal="right" vertical="center"/>
      <protection hidden="1"/>
    </xf>
    <xf numFmtId="0" fontId="2" fillId="2" borderId="30" xfId="0" applyFont="1" applyFill="1" applyBorder="1" applyAlignment="1" applyProtection="1">
      <alignment horizontal="center" vertical="center"/>
      <protection hidden="1"/>
    </xf>
    <xf numFmtId="43" fontId="14" fillId="0" borderId="42" xfId="0" applyNumberFormat="1" applyFont="1" applyBorder="1" applyProtection="1">
      <protection locked="0" hidden="1"/>
    </xf>
    <xf numFmtId="39" fontId="2" fillId="2" borderId="6" xfId="0" applyNumberFormat="1" applyFont="1" applyFill="1" applyBorder="1" applyProtection="1">
      <protection locked="0" hidden="1"/>
    </xf>
    <xf numFmtId="43" fontId="2" fillId="0" borderId="14" xfId="0" applyNumberFormat="1" applyFont="1" applyBorder="1" applyAlignment="1" applyProtection="1">
      <alignment horizontal="right" vertical="center"/>
      <protection hidden="1"/>
    </xf>
    <xf numFmtId="43" fontId="2" fillId="2" borderId="1" xfId="0" applyNumberFormat="1" applyFont="1" applyFill="1" applyBorder="1" applyAlignment="1" applyProtection="1">
      <alignment horizontal="right" vertical="center"/>
      <protection hidden="1"/>
    </xf>
    <xf numFmtId="0" fontId="14" fillId="0" borderId="42" xfId="0" applyFont="1" applyBorder="1" applyAlignment="1" applyProtection="1">
      <alignment horizontal="center" vertical="center"/>
      <protection locked="0" hidden="1"/>
    </xf>
    <xf numFmtId="43" fontId="2" fillId="2" borderId="6" xfId="0" applyNumberFormat="1" applyFont="1" applyFill="1" applyBorder="1" applyAlignment="1" applyProtection="1">
      <alignment horizontal="right" vertical="center"/>
      <protection locked="0" hidden="1"/>
    </xf>
    <xf numFmtId="0" fontId="2" fillId="2" borderId="6" xfId="0" applyFont="1" applyFill="1" applyBorder="1" applyProtection="1">
      <protection hidden="1"/>
    </xf>
    <xf numFmtId="0" fontId="2" fillId="2" borderId="6" xfId="0" applyFont="1" applyFill="1" applyBorder="1" applyAlignment="1" applyProtection="1">
      <alignment horizontal="center" vertical="center"/>
      <protection hidden="1"/>
    </xf>
    <xf numFmtId="43" fontId="2" fillId="2" borderId="6" xfId="0" applyNumberFormat="1" applyFont="1" applyFill="1" applyBorder="1" applyAlignment="1" applyProtection="1">
      <alignment horizontal="right" vertical="center"/>
      <protection hidden="1"/>
    </xf>
    <xf numFmtId="0" fontId="9" fillId="2" borderId="6" xfId="0" applyFont="1" applyFill="1" applyBorder="1" applyProtection="1">
      <protection hidden="1"/>
    </xf>
    <xf numFmtId="0" fontId="33" fillId="2" borderId="6" xfId="0" applyFont="1" applyFill="1" applyBorder="1" applyAlignment="1" applyProtection="1">
      <alignment horizontal="center" vertical="center"/>
      <protection hidden="1"/>
    </xf>
    <xf numFmtId="43" fontId="33" fillId="2" borderId="6" xfId="0" applyNumberFormat="1" applyFont="1" applyFill="1" applyBorder="1" applyAlignment="1" applyProtection="1">
      <alignment horizontal="right" vertical="center"/>
      <protection hidden="1"/>
    </xf>
    <xf numFmtId="0" fontId="33" fillId="2" borderId="6" xfId="0" applyFont="1" applyFill="1" applyBorder="1" applyProtection="1">
      <protection locked="0" hidden="1"/>
    </xf>
    <xf numFmtId="0" fontId="1" fillId="2" borderId="15" xfId="0" applyFont="1" applyFill="1" applyBorder="1" applyAlignment="1" applyProtection="1">
      <alignment vertical="center"/>
      <protection hidden="1"/>
    </xf>
    <xf numFmtId="0" fontId="3" fillId="0" borderId="24" xfId="0" applyFont="1" applyBorder="1" applyProtection="1">
      <protection hidden="1"/>
    </xf>
    <xf numFmtId="0" fontId="1" fillId="2" borderId="39" xfId="0" applyFont="1" applyFill="1" applyBorder="1" applyAlignment="1" applyProtection="1">
      <alignment vertical="center" wrapText="1"/>
      <protection hidden="1"/>
    </xf>
    <xf numFmtId="0" fontId="3" fillId="0" borderId="25" xfId="0" applyFont="1" applyBorder="1" applyProtection="1">
      <protection hidden="1"/>
    </xf>
    <xf numFmtId="0" fontId="1" fillId="2" borderId="15" xfId="0" applyFont="1" applyFill="1" applyBorder="1" applyAlignment="1" applyProtection="1">
      <alignment horizontal="center" vertical="center"/>
      <protection hidden="1"/>
    </xf>
    <xf numFmtId="0" fontId="1" fillId="2" borderId="39" xfId="0" applyFont="1" applyFill="1" applyBorder="1" applyAlignment="1" applyProtection="1">
      <alignment horizontal="left" vertical="center" wrapText="1"/>
      <protection hidden="1"/>
    </xf>
    <xf numFmtId="0" fontId="1" fillId="2" borderId="40" xfId="0" applyFont="1" applyFill="1" applyBorder="1" applyAlignment="1" applyProtection="1">
      <alignment horizontal="left" vertical="center" wrapText="1"/>
      <protection hidden="1"/>
    </xf>
    <xf numFmtId="0" fontId="1" fillId="2" borderId="41" xfId="0" applyFont="1" applyFill="1" applyBorder="1" applyAlignment="1" applyProtection="1">
      <alignment horizontal="left" vertical="center" wrapText="1"/>
      <protection hidden="1"/>
    </xf>
    <xf numFmtId="0" fontId="1" fillId="2" borderId="6" xfId="0" applyFont="1" applyFill="1" applyBorder="1" applyAlignment="1" applyProtection="1">
      <alignment horizontal="center" vertical="center"/>
      <protection hidden="1"/>
    </xf>
    <xf numFmtId="43" fontId="1" fillId="2" borderId="6" xfId="0" applyNumberFormat="1" applyFont="1" applyFill="1" applyBorder="1" applyAlignment="1" applyProtection="1">
      <alignment horizontal="right" vertical="center"/>
      <protection hidden="1"/>
    </xf>
    <xf numFmtId="43" fontId="1" fillId="2" borderId="1" xfId="0" applyNumberFormat="1" applyFont="1" applyFill="1" applyBorder="1" applyAlignment="1" applyProtection="1">
      <alignment horizontal="left" vertical="center" wrapText="1"/>
      <protection hidden="1"/>
    </xf>
    <xf numFmtId="0" fontId="0" fillId="0" borderId="0" xfId="0" applyAlignment="1" applyProtection="1">
      <alignment horizontal="left" wrapText="1"/>
      <protection locked="0" hidden="1"/>
    </xf>
    <xf numFmtId="0" fontId="2" fillId="2" borderId="6" xfId="0" applyFont="1" applyFill="1" applyBorder="1" applyAlignment="1" applyProtection="1">
      <alignment vertical="center"/>
      <protection locked="0" hidden="1"/>
    </xf>
    <xf numFmtId="0" fontId="1" fillId="2" borderId="6" xfId="0" applyFont="1" applyFill="1" applyBorder="1" applyAlignment="1" applyProtection="1">
      <alignment vertical="center"/>
      <protection locked="0" hidden="1"/>
    </xf>
    <xf numFmtId="0" fontId="32" fillId="2" borderId="6" xfId="0" applyFont="1" applyFill="1" applyBorder="1" applyProtection="1">
      <protection locked="0" hidden="1"/>
    </xf>
    <xf numFmtId="0" fontId="9" fillId="2" borderId="6" xfId="0" applyFont="1" applyFill="1" applyBorder="1" applyAlignment="1" applyProtection="1">
      <alignment wrapText="1"/>
      <protection locked="0" hidden="1"/>
    </xf>
    <xf numFmtId="43" fontId="0" fillId="2" borderId="6" xfId="0" applyNumberFormat="1" applyFill="1" applyBorder="1" applyAlignment="1" applyProtection="1">
      <alignment horizontal="center" vertical="center"/>
      <protection locked="0" hidden="1"/>
    </xf>
    <xf numFmtId="170" fontId="0" fillId="2" borderId="6" xfId="0" applyNumberFormat="1" applyFill="1" applyBorder="1" applyAlignment="1" applyProtection="1">
      <alignment horizontal="center" vertical="center"/>
      <protection locked="0" hidden="1"/>
    </xf>
    <xf numFmtId="0" fontId="19" fillId="0" borderId="1" xfId="0" applyFont="1" applyBorder="1" applyAlignment="1" applyProtection="1">
      <alignment horizontal="center"/>
      <protection locked="0" hidden="1"/>
    </xf>
    <xf numFmtId="43" fontId="1" fillId="2" borderId="1" xfId="1" applyFont="1" applyFill="1" applyBorder="1" applyAlignment="1" applyProtection="1">
      <alignment horizontal="right" vertical="center"/>
      <protection locked="0" hidden="1"/>
    </xf>
    <xf numFmtId="43" fontId="1" fillId="10" borderId="1" xfId="1" applyFont="1" applyFill="1" applyBorder="1" applyAlignment="1" applyProtection="1">
      <alignment vertical="center"/>
      <protection locked="0" hidden="1"/>
    </xf>
    <xf numFmtId="43" fontId="1" fillId="10" borderId="1" xfId="1" applyFont="1" applyFill="1" applyBorder="1" applyAlignment="1" applyProtection="1">
      <alignment horizontal="right" vertical="center"/>
      <protection locked="0" hidden="1"/>
    </xf>
    <xf numFmtId="43" fontId="1" fillId="2" borderId="1" xfId="1" applyFont="1" applyFill="1" applyBorder="1" applyAlignment="1" applyProtection="1">
      <alignment vertical="center"/>
      <protection locked="0" hidden="1"/>
    </xf>
    <xf numFmtId="43" fontId="1" fillId="2" borderId="1" xfId="0" applyNumberFormat="1" applyFont="1" applyFill="1" applyBorder="1" applyAlignment="1" applyProtection="1">
      <alignment horizontal="right" vertical="center"/>
      <protection locked="0" hidden="1"/>
    </xf>
    <xf numFmtId="170" fontId="1" fillId="10" borderId="1" xfId="0" applyNumberFormat="1" applyFont="1" applyFill="1" applyBorder="1" applyAlignment="1" applyProtection="1">
      <alignment vertical="center"/>
      <protection locked="0" hidden="1"/>
    </xf>
    <xf numFmtId="43" fontId="1" fillId="10" borderId="1" xfId="0" applyNumberFormat="1" applyFont="1" applyFill="1" applyBorder="1" applyAlignment="1" applyProtection="1">
      <alignment horizontal="right" vertical="center"/>
      <protection locked="0" hidden="1"/>
    </xf>
    <xf numFmtId="170" fontId="1" fillId="2" borderId="1" xfId="0" applyNumberFormat="1" applyFont="1" applyFill="1" applyBorder="1" applyAlignment="1" applyProtection="1">
      <alignment vertical="center"/>
      <protection locked="0" hidden="1"/>
    </xf>
    <xf numFmtId="43" fontId="1" fillId="2" borderId="6" xfId="0" applyNumberFormat="1" applyFont="1" applyFill="1" applyBorder="1" applyAlignment="1" applyProtection="1">
      <alignment horizontal="right" vertical="center"/>
      <protection locked="0" hidden="1"/>
    </xf>
    <xf numFmtId="0" fontId="1" fillId="2" borderId="6" xfId="0" applyFont="1" applyFill="1" applyBorder="1" applyProtection="1">
      <protection hidden="1"/>
    </xf>
    <xf numFmtId="0" fontId="1" fillId="2" borderId="6" xfId="0" applyFont="1" applyFill="1" applyBorder="1" applyAlignment="1" applyProtection="1">
      <alignment vertical="center"/>
      <protection hidden="1"/>
    </xf>
    <xf numFmtId="0" fontId="2" fillId="2" borderId="15" xfId="0" applyFont="1" applyFill="1" applyBorder="1" applyAlignment="1" applyProtection="1">
      <alignment horizontal="center" vertical="center" wrapText="1"/>
      <protection locked="0"/>
    </xf>
    <xf numFmtId="0" fontId="1" fillId="2" borderId="30" xfId="0" applyFont="1" applyFill="1" applyBorder="1" applyAlignment="1" applyProtection="1">
      <alignment horizontal="center" vertical="center"/>
      <protection locked="0"/>
    </xf>
    <xf numFmtId="0" fontId="1" fillId="2" borderId="30" xfId="0" applyFont="1" applyFill="1" applyBorder="1" applyAlignment="1" applyProtection="1">
      <alignment vertical="center"/>
      <protection locked="0"/>
    </xf>
    <xf numFmtId="0" fontId="1" fillId="2" borderId="12" xfId="0" applyFont="1" applyFill="1" applyBorder="1" applyAlignment="1" applyProtection="1">
      <alignment vertical="center"/>
      <protection locked="0"/>
    </xf>
    <xf numFmtId="0" fontId="2" fillId="2" borderId="30" xfId="0" applyFont="1" applyFill="1" applyBorder="1" applyAlignment="1" applyProtection="1">
      <alignment horizontal="center" vertical="center"/>
      <protection locked="0"/>
    </xf>
    <xf numFmtId="0" fontId="2" fillId="2" borderId="6" xfId="0" applyFont="1" applyFill="1" applyBorder="1" applyAlignment="1" applyProtection="1">
      <alignment horizontal="center" vertical="center" wrapText="1"/>
      <protection locked="0"/>
    </xf>
    <xf numFmtId="0" fontId="22" fillId="0" borderId="0" xfId="0" applyFont="1" applyAlignment="1" applyProtection="1">
      <alignment horizontal="center" vertical="center" wrapText="1"/>
      <protection locked="0"/>
    </xf>
    <xf numFmtId="0" fontId="2" fillId="2" borderId="6" xfId="0" applyFont="1" applyFill="1" applyBorder="1" applyAlignment="1" applyProtection="1">
      <alignment horizontal="center" vertical="center"/>
      <protection locked="0"/>
    </xf>
    <xf numFmtId="0" fontId="9" fillId="2" borderId="6" xfId="0" applyFont="1" applyFill="1" applyBorder="1" applyProtection="1">
      <protection locked="0"/>
    </xf>
    <xf numFmtId="0" fontId="23" fillId="2" borderId="6" xfId="0" applyFont="1" applyFill="1" applyBorder="1" applyProtection="1">
      <protection locked="0"/>
    </xf>
    <xf numFmtId="43" fontId="19" fillId="0" borderId="36" xfId="0" applyNumberFormat="1" applyFont="1" applyBorder="1" applyAlignment="1" applyProtection="1">
      <alignment vertical="top"/>
      <protection locked="0"/>
    </xf>
    <xf numFmtId="0" fontId="3" fillId="0" borderId="15" xfId="0" applyFont="1" applyBorder="1" applyAlignment="1" applyProtection="1">
      <alignment horizontal="left"/>
      <protection locked="0"/>
    </xf>
    <xf numFmtId="0" fontId="3" fillId="0" borderId="30" xfId="0" applyFont="1" applyBorder="1" applyAlignment="1" applyProtection="1">
      <alignment horizontal="left"/>
      <protection locked="0"/>
    </xf>
    <xf numFmtId="0" fontId="3" fillId="0" borderId="12" xfId="0" applyFont="1" applyBorder="1" applyAlignment="1" applyProtection="1">
      <alignment horizontal="left"/>
      <protection locked="0"/>
    </xf>
    <xf numFmtId="0" fontId="1" fillId="2" borderId="30" xfId="0" applyFont="1" applyFill="1" applyBorder="1" applyAlignment="1" applyProtection="1">
      <alignment horizontal="center" vertical="center" wrapText="1"/>
      <protection locked="0"/>
    </xf>
    <xf numFmtId="0" fontId="3" fillId="0" borderId="41" xfId="0" applyFont="1" applyBorder="1" applyProtection="1">
      <protection locked="0"/>
    </xf>
    <xf numFmtId="0" fontId="3" fillId="0" borderId="37" xfId="0" applyFont="1" applyBorder="1" applyProtection="1">
      <protection locked="0"/>
    </xf>
    <xf numFmtId="0" fontId="0" fillId="2" borderId="6" xfId="0" applyFill="1" applyBorder="1" applyProtection="1">
      <protection locked="0"/>
    </xf>
    <xf numFmtId="4" fontId="0" fillId="2" borderId="6" xfId="0" applyNumberFormat="1" applyFill="1" applyBorder="1" applyProtection="1">
      <protection locked="0"/>
    </xf>
    <xf numFmtId="0" fontId="0" fillId="2" borderId="15" xfId="0" applyFill="1" applyBorder="1" applyProtection="1">
      <protection locked="0"/>
    </xf>
    <xf numFmtId="0" fontId="0" fillId="2" borderId="30" xfId="0" applyFill="1" applyBorder="1" applyProtection="1">
      <protection locked="0"/>
    </xf>
    <xf numFmtId="0" fontId="1" fillId="2" borderId="49" xfId="0" applyFont="1" applyFill="1" applyBorder="1" applyProtection="1">
      <protection locked="0"/>
    </xf>
    <xf numFmtId="0" fontId="0" fillId="2" borderId="1" xfId="0" applyFill="1" applyBorder="1" applyProtection="1">
      <protection locked="0"/>
    </xf>
    <xf numFmtId="43" fontId="2" fillId="2" borderId="1" xfId="0" applyNumberFormat="1" applyFont="1" applyFill="1" applyBorder="1" applyAlignment="1" applyProtection="1">
      <alignment horizontal="right"/>
      <protection locked="0"/>
    </xf>
    <xf numFmtId="0" fontId="18" fillId="2" borderId="6" xfId="0" applyFont="1" applyFill="1" applyBorder="1" applyProtection="1">
      <protection locked="0"/>
    </xf>
    <xf numFmtId="0" fontId="3" fillId="0" borderId="6" xfId="0" applyFont="1" applyBorder="1" applyProtection="1">
      <protection locked="0"/>
    </xf>
    <xf numFmtId="43" fontId="0" fillId="2" borderId="6" xfId="0" applyNumberFormat="1" applyFill="1" applyBorder="1" applyAlignment="1" applyProtection="1">
      <alignment horizontal="right"/>
      <protection locked="0"/>
    </xf>
    <xf numFmtId="43" fontId="2" fillId="2" borderId="1" xfId="0" applyNumberFormat="1" applyFont="1" applyFill="1" applyBorder="1" applyProtection="1">
      <protection hidden="1"/>
    </xf>
    <xf numFmtId="43" fontId="2" fillId="2" borderId="1" xfId="0" applyNumberFormat="1" applyFont="1" applyFill="1" applyBorder="1" applyAlignment="1" applyProtection="1">
      <alignment vertical="center"/>
      <protection hidden="1"/>
    </xf>
    <xf numFmtId="0" fontId="1" fillId="0" borderId="0" xfId="0" applyFont="1" applyAlignment="1" applyProtection="1">
      <alignment horizontal="center"/>
      <protection locked="0" hidden="1"/>
    </xf>
    <xf numFmtId="0" fontId="1" fillId="0" borderId="0" xfId="0" applyFont="1" applyAlignment="1" applyProtection="1">
      <alignment horizontal="center" vertical="center"/>
      <protection locked="0" hidden="1"/>
    </xf>
    <xf numFmtId="0" fontId="2" fillId="0" borderId="0" xfId="0" applyFont="1" applyProtection="1">
      <protection locked="0" hidden="1"/>
    </xf>
    <xf numFmtId="0" fontId="1" fillId="0" borderId="0" xfId="0" applyFont="1" applyProtection="1">
      <protection locked="0" hidden="1"/>
    </xf>
    <xf numFmtId="43" fontId="1" fillId="0" borderId="0" xfId="0" applyNumberFormat="1" applyFont="1" applyProtection="1">
      <protection locked="0" hidden="1"/>
    </xf>
    <xf numFmtId="41" fontId="1" fillId="0" borderId="0" xfId="0" applyNumberFormat="1" applyFont="1" applyProtection="1">
      <protection locked="0" hidden="1"/>
    </xf>
    <xf numFmtId="43" fontId="2" fillId="5" borderId="11" xfId="0" applyNumberFormat="1" applyFont="1" applyFill="1" applyBorder="1" applyAlignment="1" applyProtection="1">
      <alignment horizontal="center" vertical="center"/>
      <protection locked="0" hidden="1"/>
    </xf>
    <xf numFmtId="43" fontId="2" fillId="5" borderId="10" xfId="0" applyNumberFormat="1" applyFont="1" applyFill="1" applyBorder="1" applyAlignment="1" applyProtection="1">
      <alignment horizontal="center" vertical="center"/>
      <protection locked="0" hidden="1"/>
    </xf>
    <xf numFmtId="0" fontId="12" fillId="2" borderId="12" xfId="0" applyFont="1" applyFill="1" applyBorder="1" applyAlignment="1" applyProtection="1">
      <alignment horizontal="center" vertical="center"/>
      <protection locked="0" hidden="1"/>
    </xf>
    <xf numFmtId="0" fontId="12" fillId="2" borderId="1" xfId="0" applyFont="1" applyFill="1" applyBorder="1" applyProtection="1">
      <protection locked="0" hidden="1"/>
    </xf>
    <xf numFmtId="43" fontId="12" fillId="2" borderId="13" xfId="0" applyNumberFormat="1" applyFont="1" applyFill="1" applyBorder="1" applyProtection="1">
      <protection locked="0" hidden="1"/>
    </xf>
    <xf numFmtId="0" fontId="1" fillId="0" borderId="0" xfId="0" applyFont="1" applyAlignment="1" applyProtection="1">
      <alignment horizontal="left"/>
      <protection locked="0" hidden="1"/>
    </xf>
    <xf numFmtId="165" fontId="0" fillId="0" borderId="0" xfId="0" applyNumberFormat="1" applyAlignment="1" applyProtection="1">
      <alignment horizontal="center" wrapText="1"/>
      <protection locked="0" hidden="1"/>
    </xf>
    <xf numFmtId="165" fontId="0" fillId="0" borderId="0" xfId="0" applyNumberFormat="1" applyAlignment="1" applyProtection="1">
      <alignment horizontal="center" vertical="center" wrapText="1"/>
      <protection locked="0" hidden="1"/>
    </xf>
    <xf numFmtId="0" fontId="1" fillId="0" borderId="0" xfId="0" applyFont="1" applyAlignment="1" applyProtection="1">
      <alignment vertical="center"/>
      <protection locked="0" hidden="1"/>
    </xf>
    <xf numFmtId="0" fontId="35" fillId="0" borderId="0" xfId="0" applyFont="1" applyProtection="1">
      <protection locked="0" hidden="1"/>
    </xf>
    <xf numFmtId="0" fontId="40" fillId="16" borderId="0" xfId="0" applyFont="1" applyFill="1" applyAlignment="1" applyProtection="1">
      <alignment horizontal="center"/>
      <protection locked="0" hidden="1"/>
    </xf>
    <xf numFmtId="0" fontId="40" fillId="16" borderId="0" xfId="0" applyFont="1" applyFill="1" applyAlignment="1" applyProtection="1">
      <alignment vertical="center"/>
      <protection locked="0" hidden="1"/>
    </xf>
    <xf numFmtId="0" fontId="3" fillId="16" borderId="0" xfId="0" applyFont="1" applyFill="1" applyAlignment="1" applyProtection="1">
      <alignment vertical="center"/>
      <protection locked="0" hidden="1"/>
    </xf>
    <xf numFmtId="0" fontId="3" fillId="16" borderId="0" xfId="0" applyFont="1" applyFill="1" applyProtection="1">
      <protection locked="0" hidden="1"/>
    </xf>
    <xf numFmtId="0" fontId="2" fillId="0" borderId="0" xfId="0" applyFont="1" applyAlignment="1" applyProtection="1">
      <alignment horizontal="center"/>
      <protection locked="0" hidden="1"/>
    </xf>
    <xf numFmtId="0" fontId="2" fillId="0" borderId="1" xfId="0" applyFont="1" applyBorder="1" applyAlignment="1" applyProtection="1">
      <alignment horizontal="center" vertical="center"/>
      <protection locked="0" hidden="1"/>
    </xf>
    <xf numFmtId="0" fontId="2" fillId="0" borderId="1" xfId="0" applyFont="1" applyBorder="1" applyProtection="1">
      <protection locked="0" hidden="1"/>
    </xf>
    <xf numFmtId="43" fontId="2" fillId="6" borderId="12" xfId="0" applyNumberFormat="1" applyFont="1" applyFill="1" applyBorder="1" applyAlignment="1" applyProtection="1">
      <alignment horizontal="center"/>
      <protection locked="0" hidden="1"/>
    </xf>
    <xf numFmtId="0" fontId="2" fillId="0" borderId="0" xfId="0" applyFont="1" applyAlignment="1" applyProtection="1">
      <alignment vertical="center"/>
      <protection locked="0" hidden="1"/>
    </xf>
    <xf numFmtId="0" fontId="12" fillId="0" borderId="0" xfId="0" applyFont="1" applyProtection="1">
      <protection locked="0" hidden="1"/>
    </xf>
    <xf numFmtId="0" fontId="4" fillId="0" borderId="0" xfId="0" applyFont="1" applyProtection="1">
      <protection locked="0"/>
    </xf>
    <xf numFmtId="0" fontId="4" fillId="0" borderId="58" xfId="0" applyFont="1" applyBorder="1" applyAlignment="1" applyProtection="1">
      <alignment horizontal="center"/>
      <protection locked="0"/>
    </xf>
    <xf numFmtId="174" fontId="4" fillId="0" borderId="58" xfId="0" applyNumberFormat="1" applyFont="1" applyBorder="1" applyProtection="1">
      <protection locked="0"/>
    </xf>
    <xf numFmtId="171" fontId="4" fillId="0" borderId="58" xfId="0" applyNumberFormat="1" applyFont="1" applyBorder="1" applyProtection="1">
      <protection locked="0"/>
    </xf>
    <xf numFmtId="0" fontId="4" fillId="0" borderId="58" xfId="0" applyFont="1" applyBorder="1" applyProtection="1">
      <protection locked="0"/>
    </xf>
    <xf numFmtId="0" fontId="4" fillId="0" borderId="58" xfId="0" applyFont="1" applyBorder="1" applyAlignment="1" applyProtection="1">
      <alignment horizontal="left"/>
      <protection locked="0"/>
    </xf>
    <xf numFmtId="43" fontId="4" fillId="0" borderId="0" xfId="1"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horizontal="center"/>
      <protection locked="0"/>
    </xf>
    <xf numFmtId="174" fontId="4" fillId="0" borderId="0" xfId="0" applyNumberFormat="1" applyFont="1" applyProtection="1">
      <protection locked="0"/>
    </xf>
    <xf numFmtId="14" fontId="4" fillId="0" borderId="0" xfId="0" applyNumberFormat="1" applyFont="1" applyProtection="1">
      <protection locked="0"/>
    </xf>
    <xf numFmtId="43" fontId="4" fillId="0" borderId="0" xfId="1" applyFont="1" applyProtection="1">
      <protection locked="0"/>
    </xf>
    <xf numFmtId="0" fontId="35" fillId="0" borderId="2" xfId="0" applyFont="1" applyBorder="1" applyAlignment="1">
      <alignment horizontal="left" wrapText="1"/>
    </xf>
    <xf numFmtId="0" fontId="4" fillId="18" borderId="0" xfId="0" applyFont="1" applyFill="1" applyProtection="1">
      <protection locked="0"/>
    </xf>
    <xf numFmtId="174" fontId="4" fillId="0" borderId="59" xfId="0" applyNumberFormat="1" applyFont="1" applyBorder="1" applyProtection="1">
      <protection locked="0"/>
    </xf>
    <xf numFmtId="171" fontId="4" fillId="0" borderId="59" xfId="0" applyNumberFormat="1" applyFont="1" applyBorder="1" applyProtection="1">
      <protection locked="0"/>
    </xf>
    <xf numFmtId="0" fontId="4" fillId="0" borderId="42" xfId="0" applyFont="1" applyBorder="1" applyProtection="1">
      <protection locked="0"/>
    </xf>
    <xf numFmtId="0" fontId="4" fillId="18" borderId="42" xfId="0" applyFont="1" applyFill="1" applyBorder="1" applyProtection="1">
      <protection locked="0"/>
    </xf>
    <xf numFmtId="174" fontId="4" fillId="0" borderId="42" xfId="0" applyNumberFormat="1" applyFont="1" applyBorder="1" applyProtection="1">
      <protection locked="0"/>
    </xf>
    <xf numFmtId="171" fontId="4" fillId="0" borderId="42" xfId="0" applyNumberFormat="1" applyFont="1" applyBorder="1" applyProtection="1">
      <protection locked="0"/>
    </xf>
    <xf numFmtId="0" fontId="4" fillId="0" borderId="59" xfId="0" applyFont="1" applyBorder="1" applyAlignment="1" applyProtection="1">
      <alignment horizontal="center"/>
      <protection locked="0"/>
    </xf>
    <xf numFmtId="0" fontId="4" fillId="0" borderId="59" xfId="0" applyFont="1" applyBorder="1" applyProtection="1">
      <protection locked="0"/>
    </xf>
    <xf numFmtId="0" fontId="4" fillId="0" borderId="59" xfId="0" applyFont="1" applyBorder="1" applyAlignment="1" applyProtection="1">
      <alignment horizontal="left"/>
      <protection locked="0"/>
    </xf>
    <xf numFmtId="0" fontId="4" fillId="0" borderId="42" xfId="0" applyFont="1" applyBorder="1" applyAlignment="1" applyProtection="1">
      <alignment horizontal="center"/>
      <protection locked="0"/>
    </xf>
    <xf numFmtId="43" fontId="4" fillId="0" borderId="42" xfId="1" applyFont="1" applyBorder="1" applyAlignment="1" applyProtection="1">
      <alignment horizontal="right" vertical="center"/>
      <protection locked="0"/>
    </xf>
    <xf numFmtId="0" fontId="4" fillId="0" borderId="42" xfId="0" applyFont="1" applyBorder="1" applyAlignment="1" applyProtection="1">
      <alignment horizontal="left"/>
      <protection locked="0"/>
    </xf>
    <xf numFmtId="0" fontId="4" fillId="18" borderId="42" xfId="0" applyFont="1" applyFill="1" applyBorder="1" applyAlignment="1" applyProtection="1">
      <alignment horizontal="center"/>
      <protection locked="0"/>
    </xf>
    <xf numFmtId="0" fontId="4" fillId="18" borderId="42" xfId="0" applyFont="1" applyFill="1" applyBorder="1" applyAlignment="1" applyProtection="1">
      <alignment horizontal="left"/>
      <protection locked="0"/>
    </xf>
    <xf numFmtId="43" fontId="0" fillId="0" borderId="0" xfId="1" applyFont="1" applyProtection="1">
      <protection locked="0" hidden="1"/>
    </xf>
    <xf numFmtId="43" fontId="19" fillId="0" borderId="0" xfId="1" applyFont="1" applyProtection="1">
      <protection locked="0" hidden="1"/>
    </xf>
    <xf numFmtId="43" fontId="21" fillId="0" borderId="0" xfId="1" applyFont="1" applyProtection="1">
      <protection locked="0" hidden="1"/>
    </xf>
    <xf numFmtId="43" fontId="36" fillId="16" borderId="54" xfId="1" applyFont="1" applyFill="1" applyBorder="1" applyAlignment="1" applyProtection="1">
      <alignment horizontal="center" vertical="center"/>
      <protection locked="0" hidden="1"/>
    </xf>
    <xf numFmtId="43" fontId="36" fillId="16" borderId="55" xfId="1" applyFont="1" applyFill="1" applyBorder="1" applyAlignment="1" applyProtection="1">
      <alignment horizontal="center" vertical="center"/>
      <protection locked="0" hidden="1"/>
    </xf>
    <xf numFmtId="43" fontId="22" fillId="0" borderId="48" xfId="1" applyFont="1" applyBorder="1" applyProtection="1">
      <protection locked="0" hidden="1"/>
    </xf>
    <xf numFmtId="0" fontId="35" fillId="0" borderId="2" xfId="0" applyFont="1" applyBorder="1" applyAlignment="1">
      <alignment vertical="center"/>
    </xf>
    <xf numFmtId="0" fontId="35" fillId="0" borderId="2" xfId="0" applyFont="1" applyBorder="1" applyAlignment="1">
      <alignment horizontal="center" vertical="center"/>
    </xf>
    <xf numFmtId="43" fontId="16" fillId="0" borderId="0" xfId="1" applyFont="1" applyProtection="1">
      <protection locked="0"/>
    </xf>
    <xf numFmtId="0" fontId="16" fillId="0" borderId="0" xfId="0" applyFont="1" applyAlignment="1" applyProtection="1">
      <alignment horizontal="left"/>
      <protection locked="0"/>
    </xf>
    <xf numFmtId="174" fontId="16" fillId="0" borderId="0" xfId="0" applyNumberFormat="1" applyFont="1" applyAlignment="1" applyProtection="1">
      <alignment horizontal="left"/>
      <protection locked="0"/>
    </xf>
    <xf numFmtId="0" fontId="16" fillId="0" borderId="0" xfId="0" applyFont="1" applyAlignment="1" applyProtection="1">
      <alignment horizontal="center" vertical="center"/>
      <protection locked="0"/>
    </xf>
    <xf numFmtId="43" fontId="4" fillId="0" borderId="0" xfId="1" applyFont="1" applyAlignment="1" applyProtection="1">
      <protection locked="0"/>
    </xf>
    <xf numFmtId="164" fontId="4" fillId="0" borderId="0" xfId="0" applyNumberFormat="1" applyFont="1" applyAlignment="1" applyProtection="1">
      <alignment horizontal="right" vertical="center"/>
      <protection locked="0"/>
    </xf>
    <xf numFmtId="171" fontId="4" fillId="0" borderId="42" xfId="0" applyNumberFormat="1" applyFont="1" applyBorder="1" applyAlignment="1" applyProtection="1">
      <alignment wrapText="1"/>
      <protection locked="0"/>
    </xf>
    <xf numFmtId="0" fontId="4" fillId="0" borderId="42" xfId="0" applyFont="1" applyBorder="1" applyAlignment="1" applyProtection="1">
      <alignment wrapText="1"/>
      <protection locked="0"/>
    </xf>
    <xf numFmtId="0" fontId="4" fillId="19" borderId="42" xfId="0" applyFont="1" applyFill="1" applyBorder="1" applyAlignment="1" applyProtection="1">
      <alignment wrapText="1"/>
      <protection locked="0"/>
    </xf>
    <xf numFmtId="171" fontId="4" fillId="18" borderId="42" xfId="0" applyNumberFormat="1" applyFont="1" applyFill="1" applyBorder="1" applyAlignment="1" applyProtection="1">
      <alignment wrapText="1"/>
      <protection locked="0"/>
    </xf>
    <xf numFmtId="0" fontId="4" fillId="18" borderId="42" xfId="0" applyFont="1" applyFill="1" applyBorder="1" applyAlignment="1" applyProtection="1">
      <alignment wrapText="1"/>
      <protection locked="0"/>
    </xf>
    <xf numFmtId="14" fontId="4" fillId="0" borderId="42" xfId="0" applyNumberFormat="1" applyFont="1" applyBorder="1" applyAlignment="1" applyProtection="1">
      <alignment wrapText="1"/>
      <protection locked="0"/>
    </xf>
    <xf numFmtId="0" fontId="52" fillId="18" borderId="42" xfId="0" applyFont="1" applyFill="1" applyBorder="1" applyProtection="1">
      <protection locked="0"/>
    </xf>
    <xf numFmtId="0" fontId="4" fillId="0" borderId="0" xfId="0" applyFont="1"/>
    <xf numFmtId="0" fontId="4" fillId="0" borderId="42" xfId="0" applyFont="1" applyBorder="1" applyAlignment="1">
      <alignment horizontal="center" vertical="center"/>
    </xf>
    <xf numFmtId="0" fontId="4" fillId="18" borderId="42" xfId="0" applyFont="1" applyFill="1" applyBorder="1" applyAlignment="1">
      <alignment horizontal="center" vertical="center"/>
    </xf>
    <xf numFmtId="0" fontId="4" fillId="0" borderId="59" xfId="0" applyFont="1" applyBorder="1" applyAlignment="1">
      <alignment horizontal="center" vertical="center"/>
    </xf>
    <xf numFmtId="0" fontId="4" fillId="0" borderId="58" xfId="0" applyFont="1" applyBorder="1" applyAlignment="1">
      <alignment horizontal="center" vertical="center"/>
    </xf>
    <xf numFmtId="0" fontId="35" fillId="0" borderId="3" xfId="0" applyFont="1" applyBorder="1" applyAlignment="1">
      <alignment horizontal="center" vertical="center"/>
    </xf>
    <xf numFmtId="0" fontId="3" fillId="0" borderId="4" xfId="0" applyFont="1" applyBorder="1"/>
    <xf numFmtId="0" fontId="3" fillId="0" borderId="5" xfId="0" applyFont="1" applyBorder="1"/>
    <xf numFmtId="0" fontId="2" fillId="0" borderId="6" xfId="0" applyFont="1" applyBorder="1" applyAlignment="1">
      <alignment horizontal="center"/>
    </xf>
    <xf numFmtId="0" fontId="1" fillId="2" borderId="15" xfId="0" applyFont="1" applyFill="1" applyBorder="1" applyAlignment="1">
      <alignment horizontal="center"/>
    </xf>
    <xf numFmtId="0" fontId="3" fillId="0" borderId="30" xfId="0" applyFont="1" applyBorder="1"/>
    <xf numFmtId="0" fontId="3" fillId="0" borderId="12" xfId="0" applyFont="1" applyBorder="1"/>
    <xf numFmtId="0" fontId="1" fillId="2" borderId="6" xfId="0" applyFont="1" applyFill="1" applyBorder="1" applyAlignment="1">
      <alignment horizontal="center"/>
    </xf>
    <xf numFmtId="0" fontId="3" fillId="0" borderId="6" xfId="0" applyFont="1" applyBorder="1"/>
    <xf numFmtId="0" fontId="1" fillId="2" borderId="6" xfId="0" applyFont="1" applyFill="1" applyBorder="1" applyAlignment="1">
      <alignment horizontal="center" vertical="center"/>
    </xf>
    <xf numFmtId="0" fontId="6" fillId="2" borderId="6" xfId="0" applyFont="1" applyFill="1" applyBorder="1" applyAlignment="1">
      <alignment horizontal="center"/>
    </xf>
    <xf numFmtId="0" fontId="8" fillId="2" borderId="6" xfId="0" applyFont="1" applyFill="1" applyBorder="1" applyAlignment="1">
      <alignment horizontal="center" vertical="center"/>
    </xf>
    <xf numFmtId="0" fontId="0" fillId="0" borderId="0" xfId="0"/>
    <xf numFmtId="0" fontId="2" fillId="2" borderId="15" xfId="0" applyFont="1" applyFill="1" applyBorder="1" applyAlignment="1">
      <alignment horizontal="center" vertical="center"/>
    </xf>
    <xf numFmtId="164" fontId="1" fillId="2" borderId="6" xfId="0" applyNumberFormat="1" applyFont="1" applyFill="1" applyBorder="1" applyAlignment="1">
      <alignment horizontal="center"/>
    </xf>
    <xf numFmtId="0" fontId="9" fillId="2" borderId="6" xfId="0" applyFont="1" applyFill="1" applyBorder="1" applyAlignment="1">
      <alignment horizontal="center"/>
    </xf>
    <xf numFmtId="0" fontId="10" fillId="2" borderId="6" xfId="0" applyFont="1" applyFill="1" applyBorder="1" applyAlignment="1">
      <alignment horizontal="center"/>
    </xf>
    <xf numFmtId="0" fontId="37" fillId="2" borderId="6" xfId="0" applyFont="1" applyFill="1" applyBorder="1" applyAlignment="1">
      <alignment horizontal="center" vertical="center"/>
    </xf>
    <xf numFmtId="0" fontId="1" fillId="2" borderId="6" xfId="0" applyFont="1" applyFill="1" applyBorder="1" applyAlignment="1">
      <alignment horizontal="center" vertical="center" wrapText="1"/>
    </xf>
    <xf numFmtId="0" fontId="4" fillId="2" borderId="6" xfId="0" applyFont="1" applyFill="1" applyBorder="1" applyAlignment="1">
      <alignment horizontal="center"/>
    </xf>
    <xf numFmtId="0" fontId="3" fillId="0" borderId="38" xfId="0" applyFont="1" applyBorder="1"/>
    <xf numFmtId="0" fontId="1" fillId="2" borderId="6" xfId="0" applyFont="1" applyFill="1" applyBorder="1" applyAlignment="1">
      <alignment horizontal="left"/>
    </xf>
    <xf numFmtId="0" fontId="39" fillId="11" borderId="42" xfId="0" applyFont="1" applyFill="1" applyBorder="1" applyAlignment="1" applyProtection="1">
      <alignment horizontal="center" vertical="center"/>
      <protection locked="0"/>
    </xf>
    <xf numFmtId="174" fontId="39" fillId="11" borderId="42" xfId="0" applyNumberFormat="1" applyFont="1" applyFill="1" applyBorder="1" applyAlignment="1" applyProtection="1">
      <alignment horizontal="center" vertical="center"/>
      <protection locked="0"/>
    </xf>
    <xf numFmtId="0" fontId="39" fillId="11" borderId="42" xfId="0" applyFont="1" applyFill="1" applyBorder="1" applyAlignment="1">
      <alignment horizontal="center" vertical="center"/>
    </xf>
    <xf numFmtId="43" fontId="39" fillId="11" borderId="42" xfId="1" applyFont="1" applyFill="1" applyBorder="1" applyAlignment="1" applyProtection="1">
      <alignment horizontal="center" vertical="center" wrapText="1"/>
      <protection locked="0"/>
    </xf>
    <xf numFmtId="0" fontId="16" fillId="0" borderId="0" xfId="0" applyFont="1" applyAlignment="1" applyProtection="1">
      <alignment horizontal="center" vertical="center"/>
      <protection locked="0"/>
    </xf>
    <xf numFmtId="0" fontId="4" fillId="0" borderId="0" xfId="0" applyFont="1" applyProtection="1">
      <protection locked="0"/>
    </xf>
    <xf numFmtId="43" fontId="2" fillId="5" borderId="7" xfId="0" applyNumberFormat="1" applyFont="1" applyFill="1" applyBorder="1" applyAlignment="1" applyProtection="1">
      <alignment horizontal="center"/>
      <protection hidden="1"/>
    </xf>
    <xf numFmtId="43" fontId="2" fillId="5" borderId="8" xfId="0" applyNumberFormat="1" applyFont="1" applyFill="1" applyBorder="1" applyAlignment="1" applyProtection="1">
      <alignment horizontal="center"/>
      <protection hidden="1"/>
    </xf>
    <xf numFmtId="43" fontId="2" fillId="5" borderId="9" xfId="0" applyNumberFormat="1" applyFont="1" applyFill="1" applyBorder="1" applyAlignment="1" applyProtection="1">
      <alignment horizontal="center"/>
      <protection hidden="1"/>
    </xf>
    <xf numFmtId="0" fontId="3" fillId="0" borderId="8" xfId="0" applyFont="1" applyBorder="1" applyProtection="1">
      <protection hidden="1"/>
    </xf>
    <xf numFmtId="0" fontId="1" fillId="0" borderId="38" xfId="0" applyFont="1" applyBorder="1" applyAlignment="1" applyProtection="1">
      <alignment horizontal="center" wrapText="1"/>
      <protection locked="0" hidden="1"/>
    </xf>
    <xf numFmtId="0" fontId="3" fillId="0" borderId="38" xfId="0" applyFont="1" applyBorder="1" applyProtection="1">
      <protection locked="0" hidden="1"/>
    </xf>
    <xf numFmtId="43" fontId="2" fillId="5" borderId="20" xfId="0" applyNumberFormat="1" applyFont="1" applyFill="1" applyBorder="1" applyAlignment="1" applyProtection="1">
      <alignment horizontal="center" vertical="center" wrapText="1"/>
      <protection locked="0" hidden="1"/>
    </xf>
    <xf numFmtId="0" fontId="3" fillId="0" borderId="14" xfId="0" applyFont="1" applyBorder="1" applyProtection="1">
      <protection locked="0" hidden="1"/>
    </xf>
    <xf numFmtId="43" fontId="2" fillId="5" borderId="20" xfId="0" applyNumberFormat="1" applyFont="1" applyFill="1" applyBorder="1" applyAlignment="1" applyProtection="1">
      <alignment horizontal="center" vertical="center"/>
      <protection locked="0" hidden="1"/>
    </xf>
    <xf numFmtId="43" fontId="11" fillId="5" borderId="7" xfId="0" applyNumberFormat="1" applyFont="1" applyFill="1" applyBorder="1" applyAlignment="1" applyProtection="1">
      <alignment horizontal="center" readingOrder="1"/>
      <protection locked="0" hidden="1"/>
    </xf>
    <xf numFmtId="0" fontId="3" fillId="0" borderId="8" xfId="0" applyFont="1" applyBorder="1" applyProtection="1">
      <protection locked="0" hidden="1"/>
    </xf>
    <xf numFmtId="165" fontId="14" fillId="0" borderId="0" xfId="0" applyNumberFormat="1" applyFont="1" applyAlignment="1" applyProtection="1">
      <alignment horizontal="center" vertical="center"/>
      <protection hidden="1"/>
    </xf>
    <xf numFmtId="0" fontId="0" fillId="0" borderId="0" xfId="0" applyProtection="1">
      <protection hidden="1"/>
    </xf>
    <xf numFmtId="165" fontId="16" fillId="0" borderId="20" xfId="0" applyNumberFormat="1" applyFont="1" applyBorder="1" applyAlignment="1" applyProtection="1">
      <alignment horizontal="center" vertical="center" wrapText="1"/>
      <protection hidden="1"/>
    </xf>
    <xf numFmtId="0" fontId="3" fillId="0" borderId="14" xfId="0" applyFont="1" applyBorder="1" applyProtection="1">
      <protection hidden="1"/>
    </xf>
    <xf numFmtId="165" fontId="14" fillId="0" borderId="20" xfId="0" applyNumberFormat="1" applyFont="1" applyBorder="1" applyAlignment="1" applyProtection="1">
      <alignment vertical="center" wrapText="1"/>
      <protection hidden="1"/>
    </xf>
    <xf numFmtId="165" fontId="14" fillId="0" borderId="15" xfId="0" applyNumberFormat="1" applyFont="1" applyBorder="1" applyAlignment="1" applyProtection="1">
      <alignment horizontal="center" wrapText="1"/>
      <protection hidden="1"/>
    </xf>
    <xf numFmtId="0" fontId="3" fillId="0" borderId="12" xfId="0" applyFont="1" applyBorder="1" applyProtection="1">
      <protection hidden="1"/>
    </xf>
    <xf numFmtId="0" fontId="14" fillId="0" borderId="0" xfId="0" applyFont="1" applyAlignment="1" applyProtection="1">
      <alignment horizontal="center"/>
      <protection locked="0" hidden="1"/>
    </xf>
    <xf numFmtId="0" fontId="0" fillId="0" borderId="0" xfId="0" applyProtection="1">
      <protection locked="0" hidden="1"/>
    </xf>
    <xf numFmtId="0" fontId="2" fillId="0" borderId="20" xfId="0" applyFont="1" applyBorder="1" applyAlignment="1" applyProtection="1">
      <alignment horizontal="center" vertical="center" wrapText="1"/>
      <protection locked="0" hidden="1"/>
    </xf>
    <xf numFmtId="0" fontId="14" fillId="0" borderId="20" xfId="0" applyFont="1" applyBorder="1" applyAlignment="1" applyProtection="1">
      <alignment horizontal="center" vertical="center" wrapText="1"/>
      <protection locked="0" hidden="1"/>
    </xf>
    <xf numFmtId="165" fontId="14" fillId="0" borderId="15" xfId="0" applyNumberFormat="1" applyFont="1" applyBorder="1" applyAlignment="1" applyProtection="1">
      <alignment horizontal="center" vertical="center" wrapText="1"/>
      <protection locked="0" hidden="1"/>
    </xf>
    <xf numFmtId="0" fontId="3" fillId="0" borderId="12" xfId="0" applyFont="1" applyBorder="1" applyProtection="1">
      <protection locked="0" hidden="1"/>
    </xf>
    <xf numFmtId="0" fontId="14" fillId="0" borderId="0" xfId="0" applyFont="1" applyAlignment="1" applyProtection="1">
      <alignment horizontal="center" vertical="center"/>
      <protection hidden="1"/>
    </xf>
    <xf numFmtId="165" fontId="14" fillId="0" borderId="0" xfId="0" applyNumberFormat="1" applyFont="1" applyAlignment="1" applyProtection="1">
      <alignment horizontal="center"/>
      <protection locked="0" hidden="1"/>
    </xf>
    <xf numFmtId="43" fontId="4" fillId="3" borderId="15" xfId="0" applyNumberFormat="1" applyFont="1" applyFill="1" applyBorder="1" applyAlignment="1">
      <alignment horizontal="center"/>
    </xf>
    <xf numFmtId="0" fontId="16" fillId="3" borderId="15" xfId="0" applyFont="1" applyFill="1" applyBorder="1" applyAlignment="1">
      <alignment horizontal="left"/>
    </xf>
    <xf numFmtId="0" fontId="4" fillId="3" borderId="15" xfId="0" applyFont="1" applyFill="1" applyBorder="1" applyAlignment="1">
      <alignment horizontal="left" wrapText="1"/>
    </xf>
    <xf numFmtId="0" fontId="4" fillId="3" borderId="15" xfId="0" applyFont="1" applyFill="1" applyBorder="1" applyAlignment="1">
      <alignment horizontal="left"/>
    </xf>
    <xf numFmtId="0" fontId="16" fillId="3" borderId="15" xfId="0" applyFont="1" applyFill="1" applyBorder="1" applyAlignment="1">
      <alignment horizontal="left" vertical="center" wrapText="1"/>
    </xf>
    <xf numFmtId="0" fontId="4" fillId="3" borderId="6" xfId="0" applyFont="1" applyFill="1" applyBorder="1" applyAlignment="1">
      <alignment horizontal="left" vertical="top" wrapText="1"/>
    </xf>
    <xf numFmtId="0" fontId="4" fillId="3" borderId="39" xfId="0" applyFont="1" applyFill="1" applyBorder="1" applyAlignment="1">
      <alignment horizontal="center" vertical="center" wrapText="1"/>
    </xf>
    <xf numFmtId="0" fontId="3" fillId="0" borderId="25" xfId="0" applyFont="1" applyBorder="1"/>
    <xf numFmtId="0" fontId="23" fillId="3" borderId="6" xfId="0" applyFont="1" applyFill="1" applyBorder="1" applyAlignment="1">
      <alignment horizontal="left" vertical="center" wrapText="1"/>
    </xf>
    <xf numFmtId="43" fontId="23" fillId="3" borderId="15" xfId="0" applyNumberFormat="1" applyFont="1" applyFill="1" applyBorder="1" applyAlignment="1">
      <alignment horizontal="center"/>
    </xf>
    <xf numFmtId="43" fontId="16" fillId="3" borderId="15" xfId="0" applyNumberFormat="1" applyFont="1" applyFill="1" applyBorder="1" applyAlignment="1">
      <alignment horizontal="center"/>
    </xf>
    <xf numFmtId="0" fontId="4" fillId="3" borderId="15" xfId="0" applyFont="1" applyFill="1" applyBorder="1" applyAlignment="1">
      <alignment horizontal="center"/>
    </xf>
    <xf numFmtId="0" fontId="16" fillId="3" borderId="15" xfId="0" applyFont="1" applyFill="1" applyBorder="1" applyAlignment="1">
      <alignment horizontal="center"/>
    </xf>
    <xf numFmtId="0" fontId="4" fillId="3" borderId="15" xfId="0" applyFont="1" applyFill="1" applyBorder="1" applyAlignment="1">
      <alignment horizontal="center" wrapText="1"/>
    </xf>
    <xf numFmtId="43" fontId="4" fillId="3" borderId="15" xfId="0" applyNumberFormat="1"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15" xfId="0" applyFont="1" applyFill="1" applyBorder="1" applyAlignment="1">
      <alignment horizontal="center" vertical="center"/>
    </xf>
    <xf numFmtId="0" fontId="16" fillId="3" borderId="15" xfId="0" applyFont="1" applyFill="1" applyBorder="1" applyAlignment="1">
      <alignment horizontal="center" vertical="center" wrapText="1"/>
    </xf>
    <xf numFmtId="0" fontId="4" fillId="3" borderId="20" xfId="0" applyFont="1" applyFill="1" applyBorder="1" applyAlignment="1">
      <alignment horizontal="center" vertical="center" wrapText="1"/>
    </xf>
    <xf numFmtId="0" fontId="3" fillId="0" borderId="14" xfId="0" applyFont="1" applyBorder="1"/>
    <xf numFmtId="3" fontId="23" fillId="3" borderId="15" xfId="0" applyNumberFormat="1" applyFont="1" applyFill="1" applyBorder="1" applyAlignment="1">
      <alignment horizontal="center"/>
    </xf>
    <xf numFmtId="0" fontId="4" fillId="3" borderId="20" xfId="0" applyFont="1" applyFill="1" applyBorder="1" applyAlignment="1">
      <alignment horizontal="center" vertical="center"/>
    </xf>
    <xf numFmtId="0" fontId="16" fillId="3" borderId="39" xfId="0" applyFont="1" applyFill="1" applyBorder="1" applyAlignment="1">
      <alignment horizontal="center" vertical="center" wrapText="1"/>
    </xf>
    <xf numFmtId="0" fontId="3" fillId="0" borderId="24" xfId="0" applyFont="1" applyBorder="1"/>
    <xf numFmtId="0" fontId="3" fillId="0" borderId="41" xfId="0" applyFont="1" applyBorder="1"/>
    <xf numFmtId="0" fontId="3" fillId="0" borderId="36" xfId="0" applyFont="1" applyBorder="1"/>
    <xf numFmtId="0" fontId="3" fillId="0" borderId="37" xfId="0" applyFont="1" applyBorder="1"/>
    <xf numFmtId="0" fontId="2" fillId="3" borderId="15" xfId="0" applyFont="1" applyFill="1" applyBorder="1" applyAlignment="1">
      <alignment horizontal="center" vertical="center"/>
    </xf>
    <xf numFmtId="0" fontId="4" fillId="3" borderId="6" xfId="0" applyFont="1" applyFill="1" applyBorder="1" applyAlignment="1">
      <alignment horizontal="left" vertical="center" wrapText="1"/>
    </xf>
    <xf numFmtId="0" fontId="16" fillId="3" borderId="15" xfId="0" applyFont="1" applyFill="1" applyBorder="1" applyAlignment="1">
      <alignment horizontal="center" vertical="center"/>
    </xf>
    <xf numFmtId="0" fontId="16" fillId="3" borderId="20" xfId="0" applyFont="1" applyFill="1" applyBorder="1" applyAlignment="1">
      <alignment horizontal="center" vertical="center"/>
    </xf>
    <xf numFmtId="0" fontId="23" fillId="3" borderId="6" xfId="0" applyFont="1" applyFill="1" applyBorder="1" applyAlignment="1">
      <alignment horizontal="left" wrapText="1"/>
    </xf>
    <xf numFmtId="3" fontId="4" fillId="3" borderId="6" xfId="0" applyNumberFormat="1" applyFont="1" applyFill="1" applyBorder="1" applyAlignment="1">
      <alignment horizontal="center"/>
    </xf>
    <xf numFmtId="0" fontId="2" fillId="3" borderId="6" xfId="0" applyFont="1" applyFill="1" applyBorder="1" applyAlignment="1">
      <alignment horizontal="center" vertical="center" wrapText="1"/>
    </xf>
    <xf numFmtId="0" fontId="23" fillId="3" borderId="24" xfId="0" applyFont="1" applyFill="1" applyBorder="1" applyAlignment="1">
      <alignment horizontal="center"/>
    </xf>
    <xf numFmtId="0" fontId="2" fillId="3" borderId="15" xfId="0" applyFont="1" applyFill="1" applyBorder="1" applyAlignment="1">
      <alignment horizontal="center" vertical="center" wrapText="1"/>
    </xf>
    <xf numFmtId="4" fontId="1" fillId="3" borderId="15" xfId="0" applyNumberFormat="1" applyFont="1" applyFill="1" applyBorder="1" applyAlignment="1">
      <alignment horizontal="center"/>
    </xf>
    <xf numFmtId="43" fontId="1" fillId="0" borderId="30" xfId="0" applyNumberFormat="1" applyFont="1" applyBorder="1" applyAlignment="1">
      <alignment horizontal="center"/>
    </xf>
    <xf numFmtId="4" fontId="2" fillId="3" borderId="15" xfId="0" applyNumberFormat="1" applyFont="1" applyFill="1" applyBorder="1" applyAlignment="1">
      <alignment horizontal="center"/>
    </xf>
    <xf numFmtId="43" fontId="2" fillId="0" borderId="30" xfId="0" applyNumberFormat="1" applyFont="1" applyBorder="1" applyAlignment="1">
      <alignment horizontal="center"/>
    </xf>
    <xf numFmtId="0" fontId="4" fillId="3" borderId="28" xfId="0" applyFont="1" applyFill="1" applyBorder="1" applyAlignment="1">
      <alignment horizontal="center"/>
    </xf>
    <xf numFmtId="0" fontId="3" fillId="0" borderId="28" xfId="0" applyFont="1" applyBorder="1"/>
    <xf numFmtId="3" fontId="4" fillId="3" borderId="15" xfId="0" applyNumberFormat="1" applyFont="1" applyFill="1" applyBorder="1" applyAlignment="1">
      <alignment horizontal="left"/>
    </xf>
    <xf numFmtId="0" fontId="4" fillId="3" borderId="29" xfId="0" applyFont="1" applyFill="1" applyBorder="1" applyAlignment="1">
      <alignment horizontal="left"/>
    </xf>
    <xf numFmtId="0" fontId="3" fillId="0" borderId="29" xfId="0" applyFont="1" applyBorder="1"/>
    <xf numFmtId="0" fontId="4" fillId="2" borderId="6" xfId="0" applyFont="1" applyFill="1" applyBorder="1" applyAlignment="1">
      <alignment horizontal="left"/>
    </xf>
    <xf numFmtId="0" fontId="16" fillId="3" borderId="15" xfId="0" applyFont="1" applyFill="1" applyBorder="1" applyAlignment="1">
      <alignment horizontal="center" wrapText="1"/>
    </xf>
    <xf numFmtId="0" fontId="4" fillId="3" borderId="39" xfId="0" applyFont="1" applyFill="1" applyBorder="1" applyAlignment="1">
      <alignment horizontal="center" vertical="center"/>
    </xf>
    <xf numFmtId="0" fontId="4" fillId="3" borderId="20" xfId="0" applyFont="1" applyFill="1" applyBorder="1" applyAlignment="1">
      <alignment horizontal="center" wrapText="1"/>
    </xf>
    <xf numFmtId="0" fontId="31" fillId="3" borderId="20" xfId="0" applyFont="1" applyFill="1" applyBorder="1" applyAlignment="1">
      <alignment horizontal="center" vertical="center"/>
    </xf>
    <xf numFmtId="0" fontId="4" fillId="0" borderId="20" xfId="0" applyFont="1" applyBorder="1" applyAlignment="1">
      <alignment horizontal="center" vertical="center" wrapText="1"/>
    </xf>
    <xf numFmtId="0" fontId="4" fillId="3" borderId="6" xfId="0" applyFont="1" applyFill="1" applyBorder="1" applyAlignment="1">
      <alignment horizontal="left" wrapText="1"/>
    </xf>
    <xf numFmtId="0" fontId="4" fillId="0" borderId="25" xfId="0" applyFont="1" applyBorder="1" applyAlignment="1">
      <alignment horizontal="center" vertical="center"/>
    </xf>
    <xf numFmtId="0" fontId="4" fillId="0" borderId="20" xfId="0" applyFont="1" applyBorder="1" applyAlignment="1">
      <alignment horizontal="center" vertical="center"/>
    </xf>
    <xf numFmtId="0" fontId="4" fillId="3" borderId="15" xfId="0" applyFont="1" applyFill="1" applyBorder="1" applyAlignment="1">
      <alignment horizontal="left" vertical="center"/>
    </xf>
    <xf numFmtId="0" fontId="4" fillId="3" borderId="15" xfId="0" applyFont="1" applyFill="1" applyBorder="1" applyAlignment="1">
      <alignment horizontal="left" vertical="top"/>
    </xf>
    <xf numFmtId="0" fontId="16" fillId="3" borderId="15" xfId="0" applyFont="1" applyFill="1" applyBorder="1"/>
    <xf numFmtId="0" fontId="4" fillId="3" borderId="6" xfId="0" applyFont="1" applyFill="1" applyBorder="1" applyAlignment="1">
      <alignment horizontal="left"/>
    </xf>
    <xf numFmtId="0" fontId="4" fillId="3" borderId="6" xfId="0" applyFont="1" applyFill="1" applyBorder="1" applyAlignment="1">
      <alignment horizontal="left" vertical="center"/>
    </xf>
    <xf numFmtId="0" fontId="16" fillId="3" borderId="39" xfId="0" applyFont="1" applyFill="1" applyBorder="1" applyAlignment="1">
      <alignment horizontal="center"/>
    </xf>
    <xf numFmtId="43" fontId="0" fillId="16" borderId="52" xfId="1" applyFont="1" applyFill="1" applyBorder="1" applyAlignment="1" applyProtection="1">
      <alignment horizontal="center"/>
      <protection hidden="1"/>
    </xf>
    <xf numFmtId="43" fontId="0" fillId="16" borderId="53" xfId="1" applyFont="1" applyFill="1" applyBorder="1" applyAlignment="1" applyProtection="1">
      <alignment horizontal="center"/>
      <protection hidden="1"/>
    </xf>
    <xf numFmtId="43" fontId="35" fillId="16" borderId="52" xfId="1" applyFont="1" applyFill="1" applyBorder="1" applyAlignment="1" applyProtection="1">
      <alignment horizontal="center"/>
      <protection locked="0" hidden="1"/>
    </xf>
    <xf numFmtId="43" fontId="0" fillId="16" borderId="53" xfId="1" applyFont="1" applyFill="1" applyBorder="1" applyAlignment="1" applyProtection="1">
      <alignment horizontal="center"/>
      <protection locked="0" hidden="1"/>
    </xf>
    <xf numFmtId="43" fontId="35" fillId="16" borderId="52" xfId="1" applyFont="1" applyFill="1" applyBorder="1" applyAlignment="1" applyProtection="1">
      <alignment horizontal="center"/>
      <protection hidden="1"/>
    </xf>
    <xf numFmtId="0" fontId="2" fillId="2" borderId="20" xfId="0" applyFont="1" applyFill="1" applyBorder="1" applyAlignment="1">
      <alignment horizontal="center" vertical="center" wrapText="1"/>
    </xf>
    <xf numFmtId="0" fontId="45" fillId="0" borderId="14" xfId="0" applyFont="1" applyBorder="1"/>
    <xf numFmtId="43" fontId="2" fillId="2" borderId="20" xfId="1" applyFont="1" applyFill="1" applyBorder="1" applyAlignment="1">
      <alignment horizontal="center" vertical="center" wrapText="1"/>
    </xf>
    <xf numFmtId="43" fontId="45" fillId="0" borderId="14" xfId="1" applyFont="1" applyBorder="1" applyAlignment="1"/>
    <xf numFmtId="0" fontId="2" fillId="9" borderId="39" xfId="0" applyFont="1" applyFill="1" applyBorder="1" applyAlignment="1">
      <alignment horizontal="center" vertical="center"/>
    </xf>
    <xf numFmtId="0" fontId="45" fillId="0" borderId="24" xfId="0" applyFont="1" applyBorder="1"/>
    <xf numFmtId="0" fontId="45" fillId="0" borderId="25" xfId="0" applyFont="1" applyBorder="1"/>
    <xf numFmtId="0" fontId="1" fillId="2" borderId="39" xfId="0" applyFont="1" applyFill="1" applyBorder="1" applyAlignment="1" applyProtection="1">
      <alignment horizontal="center" vertical="center" textRotation="90" wrapText="1"/>
      <protection hidden="1"/>
    </xf>
    <xf numFmtId="0" fontId="3" fillId="0" borderId="25"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14" fillId="0" borderId="44" xfId="0" applyFont="1" applyBorder="1" applyAlignment="1" applyProtection="1">
      <alignment horizontal="left"/>
      <protection locked="0" hidden="1"/>
    </xf>
    <xf numFmtId="0" fontId="14" fillId="0" borderId="42" xfId="0" applyFont="1" applyBorder="1" applyAlignment="1" applyProtection="1">
      <alignment horizontal="left"/>
      <protection locked="0" hidden="1"/>
    </xf>
    <xf numFmtId="0" fontId="1" fillId="2" borderId="15" xfId="0" applyFont="1" applyFill="1" applyBorder="1" applyAlignment="1" applyProtection="1">
      <alignment horizontal="left" wrapText="1"/>
      <protection hidden="1"/>
    </xf>
    <xf numFmtId="0" fontId="1" fillId="2" borderId="30" xfId="0" applyFont="1" applyFill="1" applyBorder="1" applyAlignment="1" applyProtection="1">
      <alignment horizontal="left" wrapText="1"/>
      <protection hidden="1"/>
    </xf>
    <xf numFmtId="0" fontId="1" fillId="2" borderId="12" xfId="0" applyFont="1" applyFill="1" applyBorder="1" applyAlignment="1" applyProtection="1">
      <alignment horizontal="left" wrapText="1"/>
      <protection hidden="1"/>
    </xf>
    <xf numFmtId="0" fontId="2" fillId="2" borderId="15" xfId="0" applyFont="1" applyFill="1" applyBorder="1" applyProtection="1">
      <protection hidden="1"/>
    </xf>
    <xf numFmtId="0" fontId="45" fillId="0" borderId="30" xfId="0" applyFont="1" applyBorder="1" applyProtection="1">
      <protection hidden="1"/>
    </xf>
    <xf numFmtId="0" fontId="45" fillId="0" borderId="12" xfId="0" applyFont="1" applyBorder="1" applyProtection="1">
      <protection hidden="1"/>
    </xf>
    <xf numFmtId="0" fontId="1" fillId="2" borderId="39" xfId="0" applyFont="1" applyFill="1" applyBorder="1" applyAlignment="1" applyProtection="1">
      <alignment horizontal="center" vertical="center"/>
      <protection hidden="1"/>
    </xf>
    <xf numFmtId="0" fontId="3" fillId="0" borderId="25" xfId="0" applyFont="1" applyBorder="1" applyProtection="1">
      <protection hidden="1"/>
    </xf>
    <xf numFmtId="0" fontId="3" fillId="0" borderId="40" xfId="0" applyFont="1" applyBorder="1" applyProtection="1">
      <protection hidden="1"/>
    </xf>
    <xf numFmtId="0" fontId="3" fillId="0" borderId="38" xfId="0" applyFont="1" applyBorder="1" applyProtection="1">
      <protection hidden="1"/>
    </xf>
    <xf numFmtId="0" fontId="3" fillId="0" borderId="41" xfId="0" applyFont="1" applyBorder="1" applyProtection="1">
      <protection hidden="1"/>
    </xf>
    <xf numFmtId="0" fontId="3" fillId="0" borderId="37" xfId="0" applyFont="1" applyBorder="1" applyProtection="1">
      <protection hidden="1"/>
    </xf>
    <xf numFmtId="0" fontId="1" fillId="2" borderId="15" xfId="0" applyFont="1" applyFill="1" applyBorder="1" applyAlignment="1" applyProtection="1">
      <alignment wrapText="1"/>
      <protection hidden="1"/>
    </xf>
    <xf numFmtId="0" fontId="3" fillId="0" borderId="30" xfId="0" applyFont="1" applyBorder="1" applyAlignment="1" applyProtection="1">
      <alignment wrapText="1"/>
      <protection hidden="1"/>
    </xf>
    <xf numFmtId="0" fontId="3" fillId="0" borderId="12" xfId="0" applyFont="1" applyBorder="1" applyAlignment="1" applyProtection="1">
      <alignment wrapText="1"/>
      <protection hidden="1"/>
    </xf>
    <xf numFmtId="0" fontId="3" fillId="0" borderId="30" xfId="0" applyFont="1" applyBorder="1" applyAlignment="1" applyProtection="1">
      <alignment horizontal="left" wrapText="1"/>
      <protection hidden="1"/>
    </xf>
    <xf numFmtId="0" fontId="3" fillId="0" borderId="12" xfId="0" applyFont="1" applyBorder="1" applyAlignment="1" applyProtection="1">
      <alignment horizontal="left" wrapText="1"/>
      <protection hidden="1"/>
    </xf>
    <xf numFmtId="0" fontId="1" fillId="2" borderId="15" xfId="0" applyFont="1" applyFill="1" applyBorder="1" applyProtection="1">
      <protection hidden="1"/>
    </xf>
    <xf numFmtId="0" fontId="3" fillId="0" borderId="30" xfId="0" applyFont="1" applyBorder="1" applyProtection="1">
      <protection hidden="1"/>
    </xf>
    <xf numFmtId="0" fontId="2" fillId="2" borderId="41" xfId="0" applyFont="1" applyFill="1" applyBorder="1" applyProtection="1">
      <protection hidden="1"/>
    </xf>
    <xf numFmtId="0" fontId="1" fillId="2" borderId="15" xfId="0" applyFont="1" applyFill="1" applyBorder="1" applyAlignment="1" applyProtection="1">
      <alignment wrapText="1" shrinkToFit="1"/>
      <protection hidden="1"/>
    </xf>
    <xf numFmtId="49" fontId="1" fillId="2" borderId="15" xfId="0" applyNumberFormat="1" applyFont="1" applyFill="1" applyBorder="1" applyAlignment="1" applyProtection="1">
      <alignment horizontal="left" vertical="center" wrapText="1"/>
      <protection hidden="1"/>
    </xf>
    <xf numFmtId="0" fontId="27" fillId="2" borderId="33" xfId="0" applyFont="1" applyFill="1" applyBorder="1" applyAlignment="1" applyProtection="1">
      <alignment horizontal="center" wrapText="1"/>
      <protection hidden="1"/>
    </xf>
    <xf numFmtId="0" fontId="3" fillId="0" borderId="33" xfId="0" applyFont="1" applyBorder="1" applyProtection="1">
      <protection hidden="1"/>
    </xf>
    <xf numFmtId="0" fontId="9" fillId="2" borderId="6" xfId="0" applyFont="1" applyFill="1" applyBorder="1" applyAlignment="1" applyProtection="1">
      <alignment horizontal="center"/>
      <protection hidden="1"/>
    </xf>
    <xf numFmtId="0" fontId="3" fillId="0" borderId="6" xfId="0" applyFont="1" applyBorder="1" applyProtection="1">
      <protection hidden="1"/>
    </xf>
    <xf numFmtId="0" fontId="0" fillId="2" borderId="6" xfId="0" applyFill="1" applyBorder="1" applyAlignment="1" applyProtection="1">
      <alignment horizontal="center" vertical="center" wrapText="1"/>
      <protection hidden="1"/>
    </xf>
    <xf numFmtId="0" fontId="32" fillId="2" borderId="15" xfId="0" applyFont="1" applyFill="1" applyBorder="1" applyAlignment="1" applyProtection="1">
      <alignment horizontal="center" vertical="center"/>
      <protection hidden="1"/>
    </xf>
    <xf numFmtId="0" fontId="1" fillId="2" borderId="41" xfId="0" applyFont="1" applyFill="1" applyBorder="1" applyProtection="1">
      <protection hidden="1"/>
    </xf>
    <xf numFmtId="0" fontId="3" fillId="0" borderId="36" xfId="0" applyFont="1" applyBorder="1" applyProtection="1">
      <protection hidden="1"/>
    </xf>
    <xf numFmtId="0" fontId="1" fillId="2" borderId="41" xfId="0" applyFont="1" applyFill="1" applyBorder="1" applyAlignment="1" applyProtection="1">
      <alignment wrapText="1"/>
      <protection hidden="1"/>
    </xf>
    <xf numFmtId="0" fontId="3" fillId="0" borderId="36" xfId="0" applyFont="1" applyBorder="1" applyAlignment="1" applyProtection="1">
      <alignment wrapText="1"/>
      <protection hidden="1"/>
    </xf>
    <xf numFmtId="0" fontId="3" fillId="0" borderId="37" xfId="0" applyFont="1" applyBorder="1" applyAlignment="1" applyProtection="1">
      <alignment wrapText="1"/>
      <protection hidden="1"/>
    </xf>
    <xf numFmtId="0" fontId="1" fillId="2" borderId="39" xfId="0" applyFont="1" applyFill="1" applyBorder="1" applyAlignment="1" applyProtection="1">
      <alignment horizontal="center" vertical="center"/>
      <protection locked="0" hidden="1"/>
    </xf>
    <xf numFmtId="0" fontId="1" fillId="2" borderId="24" xfId="0" applyFont="1" applyFill="1" applyBorder="1" applyAlignment="1" applyProtection="1">
      <alignment horizontal="center" vertical="center"/>
      <protection locked="0" hidden="1"/>
    </xf>
    <xf numFmtId="0" fontId="1" fillId="2" borderId="25" xfId="0" applyFont="1" applyFill="1" applyBorder="1" applyAlignment="1" applyProtection="1">
      <alignment horizontal="center" vertical="center"/>
      <protection locked="0" hidden="1"/>
    </xf>
    <xf numFmtId="0" fontId="1" fillId="2" borderId="41" xfId="0" applyFont="1" applyFill="1" applyBorder="1" applyAlignment="1" applyProtection="1">
      <alignment horizontal="center" vertical="center"/>
      <protection locked="0" hidden="1"/>
    </xf>
    <xf numFmtId="0" fontId="1" fillId="2" borderId="36" xfId="0" applyFont="1" applyFill="1" applyBorder="1" applyAlignment="1" applyProtection="1">
      <alignment horizontal="center" vertical="center"/>
      <protection locked="0" hidden="1"/>
    </xf>
    <xf numFmtId="0" fontId="1" fillId="2" borderId="37" xfId="0" applyFont="1" applyFill="1" applyBorder="1" applyAlignment="1" applyProtection="1">
      <alignment horizontal="center" vertical="center"/>
      <protection locked="0" hidden="1"/>
    </xf>
    <xf numFmtId="0" fontId="1" fillId="2" borderId="15" xfId="0" applyFont="1" applyFill="1" applyBorder="1" applyAlignment="1" applyProtection="1">
      <alignment horizontal="left" vertical="center"/>
      <protection locked="0" hidden="1"/>
    </xf>
    <xf numFmtId="0" fontId="1" fillId="2" borderId="30" xfId="0" applyFont="1" applyFill="1" applyBorder="1" applyAlignment="1" applyProtection="1">
      <alignment horizontal="left" vertical="center"/>
      <protection locked="0" hidden="1"/>
    </xf>
    <xf numFmtId="0" fontId="1" fillId="2" borderId="12" xfId="0" applyFont="1" applyFill="1" applyBorder="1" applyAlignment="1" applyProtection="1">
      <alignment horizontal="left" vertical="center"/>
      <protection locked="0" hidden="1"/>
    </xf>
    <xf numFmtId="0" fontId="1" fillId="2" borderId="39" xfId="0" applyFont="1" applyFill="1" applyBorder="1" applyAlignment="1" applyProtection="1">
      <alignment horizontal="center" vertical="center" wrapText="1"/>
      <protection locked="0" hidden="1"/>
    </xf>
    <xf numFmtId="0" fontId="1" fillId="2" borderId="24" xfId="0" applyFont="1" applyFill="1" applyBorder="1" applyAlignment="1" applyProtection="1">
      <alignment horizontal="center" vertical="center" wrapText="1"/>
      <protection locked="0" hidden="1"/>
    </xf>
    <xf numFmtId="0" fontId="1" fillId="2" borderId="25" xfId="0" applyFont="1" applyFill="1" applyBorder="1" applyAlignment="1" applyProtection="1">
      <alignment horizontal="center" vertical="center" wrapText="1"/>
      <protection locked="0" hidden="1"/>
    </xf>
    <xf numFmtId="0" fontId="1" fillId="2" borderId="41" xfId="0" applyFont="1" applyFill="1" applyBorder="1" applyAlignment="1" applyProtection="1">
      <alignment horizontal="center" vertical="center" wrapText="1"/>
      <protection locked="0" hidden="1"/>
    </xf>
    <xf numFmtId="0" fontId="1" fillId="2" borderId="36" xfId="0" applyFont="1" applyFill="1" applyBorder="1" applyAlignment="1" applyProtection="1">
      <alignment horizontal="center" vertical="center" wrapText="1"/>
      <protection locked="0" hidden="1"/>
    </xf>
    <xf numFmtId="0" fontId="1" fillId="2" borderId="37" xfId="0" applyFont="1" applyFill="1" applyBorder="1" applyAlignment="1" applyProtection="1">
      <alignment horizontal="center" vertical="center" wrapText="1"/>
      <protection locked="0" hidden="1"/>
    </xf>
    <xf numFmtId="0" fontId="35" fillId="0" borderId="42" xfId="0" applyFont="1" applyBorder="1" applyAlignment="1" applyProtection="1">
      <alignment horizontal="left" wrapText="1"/>
      <protection hidden="1"/>
    </xf>
    <xf numFmtId="0" fontId="35" fillId="0" borderId="42" xfId="0" applyFont="1" applyBorder="1" applyAlignment="1" applyProtection="1">
      <alignment horizontal="left"/>
      <protection hidden="1"/>
    </xf>
    <xf numFmtId="0" fontId="35" fillId="0" borderId="42" xfId="0" applyFont="1" applyBorder="1" applyAlignment="1" applyProtection="1">
      <alignment horizontal="left"/>
      <protection locked="0" hidden="1"/>
    </xf>
    <xf numFmtId="0" fontId="0" fillId="0" borderId="42" xfId="0" applyBorder="1" applyAlignment="1" applyProtection="1">
      <alignment horizontal="left"/>
      <protection locked="0" hidden="1"/>
    </xf>
    <xf numFmtId="0" fontId="35" fillId="0" borderId="30" xfId="0" applyFont="1" applyBorder="1" applyAlignment="1" applyProtection="1">
      <alignment horizontal="left" vertical="center" wrapText="1"/>
      <protection hidden="1"/>
    </xf>
    <xf numFmtId="0" fontId="35" fillId="0" borderId="12" xfId="0" applyFont="1" applyBorder="1" applyAlignment="1" applyProtection="1">
      <alignment horizontal="left" vertical="center" wrapText="1"/>
      <protection hidden="1"/>
    </xf>
    <xf numFmtId="0" fontId="2" fillId="2" borderId="15" xfId="0" applyFont="1" applyFill="1" applyBorder="1" applyAlignment="1" applyProtection="1">
      <alignment vertical="center" wrapText="1"/>
      <protection hidden="1"/>
    </xf>
    <xf numFmtId="0" fontId="1" fillId="2" borderId="15" xfId="0" applyFont="1" applyFill="1" applyBorder="1" applyAlignment="1" applyProtection="1">
      <alignment vertical="center" wrapText="1"/>
      <protection hidden="1"/>
    </xf>
    <xf numFmtId="0" fontId="45" fillId="0" borderId="36" xfId="0" applyFont="1" applyBorder="1" applyProtection="1">
      <protection hidden="1"/>
    </xf>
    <xf numFmtId="0" fontId="45" fillId="0" borderId="37" xfId="0" applyFont="1" applyBorder="1" applyProtection="1">
      <protection hidden="1"/>
    </xf>
    <xf numFmtId="0" fontId="1" fillId="2" borderId="15" xfId="0" applyFont="1" applyFill="1" applyBorder="1" applyAlignment="1" applyProtection="1">
      <alignment horizontal="left" vertical="center" wrapText="1" shrinkToFit="1"/>
      <protection hidden="1"/>
    </xf>
    <xf numFmtId="0" fontId="1" fillId="2" borderId="15" xfId="0" applyFont="1" applyFill="1" applyBorder="1" applyAlignment="1" applyProtection="1">
      <alignment horizontal="left" vertical="center" wrapText="1"/>
      <protection hidden="1"/>
    </xf>
    <xf numFmtId="0" fontId="32" fillId="2" borderId="15" xfId="0" applyFont="1" applyFill="1" applyBorder="1" applyAlignment="1" applyProtection="1">
      <alignment vertical="center" wrapText="1"/>
      <protection hidden="1"/>
    </xf>
    <xf numFmtId="172" fontId="1" fillId="2" borderId="6" xfId="0" applyNumberFormat="1" applyFont="1" applyFill="1" applyBorder="1" applyAlignment="1" applyProtection="1">
      <alignment horizontal="center"/>
      <protection hidden="1"/>
    </xf>
    <xf numFmtId="0" fontId="1" fillId="2" borderId="39" xfId="0" applyFont="1" applyFill="1" applyBorder="1" applyAlignment="1" applyProtection="1">
      <alignment horizontal="left" wrapText="1"/>
      <protection hidden="1"/>
    </xf>
    <xf numFmtId="0" fontId="1" fillId="2" borderId="24" xfId="0" applyFont="1" applyFill="1" applyBorder="1" applyAlignment="1" applyProtection="1">
      <alignment horizontal="left" wrapText="1"/>
      <protection hidden="1"/>
    </xf>
    <xf numFmtId="0" fontId="1" fillId="2" borderId="25" xfId="0" applyFont="1" applyFill="1" applyBorder="1" applyAlignment="1" applyProtection="1">
      <alignment horizontal="left" wrapText="1"/>
      <protection hidden="1"/>
    </xf>
    <xf numFmtId="0" fontId="1" fillId="2" borderId="36" xfId="0" applyFont="1" applyFill="1" applyBorder="1" applyAlignment="1" applyProtection="1">
      <alignment horizontal="left" wrapText="1"/>
      <protection hidden="1"/>
    </xf>
    <xf numFmtId="0" fontId="1" fillId="2" borderId="37" xfId="0" applyFont="1" applyFill="1" applyBorder="1" applyAlignment="1" applyProtection="1">
      <alignment horizontal="left" wrapText="1"/>
      <protection hidden="1"/>
    </xf>
    <xf numFmtId="0" fontId="1" fillId="2" borderId="30" xfId="0" applyFont="1" applyFill="1" applyBorder="1" applyAlignment="1" applyProtection="1">
      <alignment horizontal="left"/>
      <protection hidden="1"/>
    </xf>
    <xf numFmtId="0" fontId="1" fillId="2" borderId="12" xfId="0" applyFont="1" applyFill="1" applyBorder="1" applyAlignment="1" applyProtection="1">
      <alignment horizontal="left"/>
      <protection hidden="1"/>
    </xf>
    <xf numFmtId="0" fontId="1" fillId="2" borderId="15" xfId="0" applyFont="1" applyFill="1" applyBorder="1" applyAlignment="1" applyProtection="1">
      <alignment horizontal="left" vertical="center"/>
      <protection hidden="1"/>
    </xf>
    <xf numFmtId="0" fontId="1" fillId="2" borderId="39" xfId="0" applyFont="1" applyFill="1" applyBorder="1" applyAlignment="1" applyProtection="1">
      <alignment vertical="center" wrapText="1"/>
      <protection hidden="1"/>
    </xf>
    <xf numFmtId="0" fontId="3" fillId="0" borderId="24" xfId="0" applyFont="1" applyBorder="1" applyProtection="1">
      <protection hidden="1"/>
    </xf>
    <xf numFmtId="0" fontId="35" fillId="0" borderId="42" xfId="0" applyFont="1" applyBorder="1" applyAlignment="1" applyProtection="1">
      <alignment horizontal="left" vertical="center" wrapText="1"/>
      <protection locked="0" hidden="1"/>
    </xf>
    <xf numFmtId="0" fontId="0" fillId="0" borderId="42" xfId="0" applyBorder="1" applyAlignment="1" applyProtection="1">
      <alignment horizontal="left" vertical="center" wrapText="1"/>
      <protection locked="0" hidden="1"/>
    </xf>
    <xf numFmtId="0" fontId="1" fillId="2" borderId="45" xfId="0" applyFont="1" applyFill="1" applyBorder="1" applyAlignment="1" applyProtection="1">
      <alignment horizontal="left" vertical="center" wrapText="1"/>
      <protection hidden="1"/>
    </xf>
    <xf numFmtId="0" fontId="1" fillId="2" borderId="46" xfId="0" applyFont="1" applyFill="1" applyBorder="1" applyAlignment="1" applyProtection="1">
      <alignment horizontal="left" vertical="center" wrapText="1"/>
      <protection hidden="1"/>
    </xf>
    <xf numFmtId="0" fontId="1" fillId="2" borderId="47" xfId="0" applyFont="1" applyFill="1" applyBorder="1" applyAlignment="1" applyProtection="1">
      <alignment horizontal="left" vertical="center" wrapText="1"/>
      <protection hidden="1"/>
    </xf>
    <xf numFmtId="0" fontId="1" fillId="2" borderId="42" xfId="0" applyFont="1" applyFill="1" applyBorder="1" applyAlignment="1" applyProtection="1">
      <alignment horizontal="left" vertical="center"/>
      <protection hidden="1"/>
    </xf>
    <xf numFmtId="0" fontId="1" fillId="2" borderId="24" xfId="0" applyFont="1" applyFill="1" applyBorder="1" applyAlignment="1" applyProtection="1">
      <alignment horizontal="left" vertical="center" wrapText="1"/>
      <protection hidden="1"/>
    </xf>
    <xf numFmtId="0" fontId="1" fillId="2" borderId="25" xfId="0" applyFont="1" applyFill="1" applyBorder="1" applyAlignment="1" applyProtection="1">
      <alignment horizontal="left" vertical="center" wrapText="1"/>
      <protection hidden="1"/>
    </xf>
    <xf numFmtId="0" fontId="1" fillId="2" borderId="48" xfId="0" applyFont="1" applyFill="1" applyBorder="1" applyAlignment="1" applyProtection="1">
      <alignment horizontal="left" vertical="center" wrapText="1"/>
      <protection hidden="1"/>
    </xf>
    <xf numFmtId="0" fontId="43" fillId="0" borderId="15" xfId="2" applyBorder="1" applyAlignment="1">
      <alignment horizontal="left" vertical="center" wrapText="1"/>
    </xf>
    <xf numFmtId="0" fontId="43" fillId="0" borderId="12" xfId="2" applyBorder="1" applyAlignment="1">
      <alignment horizontal="left" vertical="center" wrapText="1"/>
    </xf>
    <xf numFmtId="0" fontId="40" fillId="0" borderId="15" xfId="2" applyFont="1" applyBorder="1" applyAlignment="1">
      <alignment horizontal="left" vertical="center" wrapText="1"/>
    </xf>
    <xf numFmtId="0" fontId="40" fillId="0" borderId="12" xfId="2" applyFont="1" applyBorder="1" applyAlignment="1">
      <alignment horizontal="left" vertical="center" wrapText="1"/>
    </xf>
    <xf numFmtId="0" fontId="36" fillId="0" borderId="15" xfId="2" applyFont="1" applyBorder="1" applyAlignment="1">
      <alignment horizontal="left" vertical="center" wrapText="1"/>
    </xf>
    <xf numFmtId="0" fontId="43" fillId="0" borderId="37" xfId="2" applyBorder="1" applyAlignment="1">
      <alignment horizontal="left" vertical="center" wrapText="1"/>
    </xf>
    <xf numFmtId="0" fontId="22" fillId="0" borderId="15" xfId="2" applyFont="1" applyBorder="1" applyAlignment="1">
      <alignment horizontal="left" vertical="center" wrapText="1"/>
    </xf>
    <xf numFmtId="0" fontId="22" fillId="0" borderId="37" xfId="2" applyFont="1" applyBorder="1" applyAlignment="1">
      <alignment horizontal="lef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center" vertical="center"/>
    </xf>
    <xf numFmtId="0" fontId="23" fillId="2" borderId="15" xfId="0" applyFont="1" applyFill="1" applyBorder="1" applyAlignment="1">
      <alignment horizontal="center" vertical="center" wrapText="1"/>
    </xf>
    <xf numFmtId="0" fontId="23" fillId="2" borderId="20" xfId="0" applyFont="1" applyFill="1" applyBorder="1" applyAlignment="1">
      <alignment horizontal="center" vertical="center" wrapText="1"/>
    </xf>
    <xf numFmtId="0" fontId="3" fillId="0" borderId="23" xfId="0" applyFont="1" applyBorder="1"/>
    <xf numFmtId="0" fontId="23" fillId="2" borderId="15" xfId="0" applyFont="1" applyFill="1" applyBorder="1" applyAlignment="1">
      <alignment horizontal="center" vertical="center"/>
    </xf>
    <xf numFmtId="0" fontId="23" fillId="2" borderId="20" xfId="0" applyFont="1" applyFill="1" applyBorder="1" applyAlignment="1">
      <alignment horizontal="center" vertical="center"/>
    </xf>
    <xf numFmtId="0" fontId="23" fillId="2" borderId="39" xfId="0" applyFont="1" applyFill="1" applyBorder="1" applyAlignment="1">
      <alignment horizontal="center" vertical="center" wrapText="1"/>
    </xf>
    <xf numFmtId="0" fontId="3" fillId="0" borderId="40" xfId="0" applyFont="1" applyBorder="1"/>
    <xf numFmtId="0" fontId="14" fillId="2" borderId="6" xfId="0" applyFont="1" applyFill="1" applyBorder="1" applyAlignment="1">
      <alignment vertical="center" wrapText="1"/>
    </xf>
    <xf numFmtId="0" fontId="4" fillId="2" borderId="20" xfId="0" applyFont="1" applyFill="1" applyBorder="1" applyAlignment="1">
      <alignment horizontal="center" vertical="center"/>
    </xf>
    <xf numFmtId="0" fontId="4" fillId="2" borderId="39" xfId="0" applyFont="1" applyFill="1" applyBorder="1" applyAlignment="1">
      <alignment horizontal="center" vertical="center" wrapText="1"/>
    </xf>
    <xf numFmtId="0" fontId="4" fillId="2" borderId="20" xfId="0" applyFont="1" applyFill="1" applyBorder="1" applyAlignment="1">
      <alignment horizontal="center" vertical="center" wrapText="1"/>
    </xf>
    <xf numFmtId="0" fontId="16" fillId="2" borderId="6" xfId="0" applyFont="1" applyFill="1" applyBorder="1" applyAlignment="1">
      <alignment horizontal="left" vertical="center"/>
    </xf>
    <xf numFmtId="0" fontId="9" fillId="2" borderId="6" xfId="0" applyFont="1" applyFill="1" applyBorder="1" applyAlignment="1" applyProtection="1">
      <alignment horizontal="center" wrapText="1"/>
      <protection locked="0"/>
    </xf>
    <xf numFmtId="0" fontId="3" fillId="0" borderId="6" xfId="0" applyFont="1" applyBorder="1" applyProtection="1">
      <protection locked="0"/>
    </xf>
    <xf numFmtId="170" fontId="2" fillId="2" borderId="6" xfId="0" applyNumberFormat="1" applyFont="1" applyFill="1" applyBorder="1" applyAlignment="1" applyProtection="1">
      <alignment horizontal="center" wrapText="1"/>
      <protection locked="0"/>
    </xf>
    <xf numFmtId="0" fontId="32" fillId="2" borderId="15" xfId="0" applyFont="1" applyFill="1" applyBorder="1" applyAlignment="1" applyProtection="1">
      <alignment horizontal="center" vertical="center"/>
      <protection locked="0"/>
    </xf>
    <xf numFmtId="0" fontId="3" fillId="0" borderId="30" xfId="0" applyFont="1" applyBorder="1" applyProtection="1">
      <protection locked="0"/>
    </xf>
    <xf numFmtId="0" fontId="3" fillId="0" borderId="12" xfId="0" applyFont="1" applyBorder="1" applyProtection="1">
      <protection locked="0"/>
    </xf>
    <xf numFmtId="0" fontId="2" fillId="2" borderId="39" xfId="0" applyFont="1" applyFill="1" applyBorder="1" applyAlignment="1" applyProtection="1">
      <alignment horizontal="center" vertical="center" textRotation="90" wrapText="1"/>
      <protection locked="0"/>
    </xf>
    <xf numFmtId="0" fontId="3" fillId="0" borderId="25" xfId="0" applyFont="1" applyBorder="1" applyProtection="1">
      <protection locked="0"/>
    </xf>
    <xf numFmtId="0" fontId="3" fillId="0" borderId="40" xfId="0" applyFont="1" applyBorder="1" applyProtection="1">
      <protection locked="0"/>
    </xf>
    <xf numFmtId="0" fontId="3" fillId="0" borderId="38" xfId="0" applyFont="1" applyBorder="1" applyProtection="1">
      <protection locked="0"/>
    </xf>
    <xf numFmtId="0" fontId="3" fillId="0" borderId="41" xfId="0" applyFont="1" applyBorder="1" applyProtection="1">
      <protection locked="0"/>
    </xf>
    <xf numFmtId="0" fontId="3" fillId="0" borderId="37" xfId="0" applyFont="1" applyBorder="1" applyProtection="1">
      <protection locked="0"/>
    </xf>
    <xf numFmtId="0" fontId="1" fillId="2" borderId="15" xfId="0" applyFont="1" applyFill="1" applyBorder="1" applyAlignment="1" applyProtection="1">
      <alignment wrapText="1"/>
      <protection locked="0"/>
    </xf>
    <xf numFmtId="0" fontId="1" fillId="2" borderId="15" xfId="0" applyFont="1" applyFill="1" applyBorder="1" applyAlignment="1" applyProtection="1">
      <alignment vertical="center" wrapText="1"/>
      <protection locked="0"/>
    </xf>
    <xf numFmtId="0" fontId="1" fillId="2" borderId="15" xfId="0" applyFont="1" applyFill="1" applyBorder="1" applyAlignment="1" applyProtection="1">
      <alignment vertical="center"/>
      <protection locked="0"/>
    </xf>
    <xf numFmtId="0" fontId="1" fillId="2" borderId="15" xfId="0" applyFont="1" applyFill="1" applyBorder="1" applyAlignment="1" applyProtection="1">
      <alignment horizontal="left" vertical="center" wrapText="1"/>
      <protection locked="0"/>
    </xf>
    <xf numFmtId="0" fontId="1" fillId="2" borderId="15" xfId="0" applyFont="1" applyFill="1" applyBorder="1" applyAlignment="1" applyProtection="1">
      <alignment horizontal="left" vertical="center"/>
      <protection locked="0"/>
    </xf>
    <xf numFmtId="0" fontId="1" fillId="2" borderId="39" xfId="0" applyFont="1" applyFill="1" applyBorder="1" applyAlignment="1" applyProtection="1">
      <alignment horizontal="center" vertical="center" wrapText="1"/>
      <protection locked="0"/>
    </xf>
    <xf numFmtId="0" fontId="3" fillId="0" borderId="24" xfId="0" applyFont="1" applyBorder="1" applyProtection="1">
      <protection locked="0"/>
    </xf>
    <xf numFmtId="0" fontId="0" fillId="0" borderId="0" xfId="0" applyProtection="1">
      <protection locked="0"/>
    </xf>
    <xf numFmtId="0" fontId="3" fillId="0" borderId="36" xfId="0" applyFont="1" applyBorder="1" applyProtection="1">
      <protection locked="0"/>
    </xf>
    <xf numFmtId="0" fontId="1" fillId="2" borderId="50" xfId="0" applyFont="1" applyFill="1" applyBorder="1" applyAlignment="1" applyProtection="1">
      <alignment horizontal="left" vertical="center" wrapText="1"/>
      <protection locked="0"/>
    </xf>
    <xf numFmtId="0" fontId="1" fillId="2" borderId="51" xfId="0" applyFont="1" applyFill="1" applyBorder="1" applyAlignment="1" applyProtection="1">
      <alignment horizontal="left" vertical="center" wrapText="1"/>
      <protection locked="0"/>
    </xf>
    <xf numFmtId="0" fontId="1" fillId="2" borderId="44" xfId="0" applyFont="1" applyFill="1" applyBorder="1" applyAlignment="1" applyProtection="1">
      <alignment horizontal="left" vertical="center" wrapText="1"/>
      <protection locked="0"/>
    </xf>
    <xf numFmtId="0" fontId="3" fillId="0" borderId="39" xfId="0" applyFont="1" applyBorder="1" applyAlignment="1" applyProtection="1">
      <alignment horizontal="left" wrapText="1"/>
      <protection locked="0"/>
    </xf>
    <xf numFmtId="0" fontId="3" fillId="0" borderId="24" xfId="0" applyFont="1" applyBorder="1" applyAlignment="1" applyProtection="1">
      <alignment horizontal="left" wrapText="1"/>
      <protection locked="0"/>
    </xf>
    <xf numFmtId="0" fontId="3" fillId="0" borderId="25" xfId="0" applyFont="1" applyBorder="1" applyAlignment="1" applyProtection="1">
      <alignment horizontal="left" wrapText="1"/>
      <protection locked="0"/>
    </xf>
    <xf numFmtId="0" fontId="3" fillId="0" borderId="50" xfId="0" applyFont="1" applyBorder="1" applyAlignment="1" applyProtection="1">
      <alignment horizontal="left" wrapText="1"/>
      <protection locked="0"/>
    </xf>
    <xf numFmtId="0" fontId="3" fillId="0" borderId="51" xfId="0" applyFont="1" applyBorder="1" applyAlignment="1" applyProtection="1">
      <alignment horizontal="left" wrapText="1"/>
      <protection locked="0"/>
    </xf>
    <xf numFmtId="0" fontId="3" fillId="0" borderId="44" xfId="0" applyFont="1" applyBorder="1" applyAlignment="1" applyProtection="1">
      <alignment horizontal="left" wrapText="1"/>
      <protection locked="0"/>
    </xf>
    <xf numFmtId="0" fontId="2" fillId="2" borderId="15" xfId="0" applyFont="1" applyFill="1" applyBorder="1" applyAlignment="1" applyProtection="1">
      <alignment horizontal="center" vertical="center" wrapText="1"/>
      <protection locked="0"/>
    </xf>
    <xf numFmtId="0" fontId="3" fillId="0" borderId="39" xfId="0" applyFont="1" applyBorder="1" applyAlignment="1" applyProtection="1">
      <alignment horizontal="left"/>
      <protection locked="0"/>
    </xf>
    <xf numFmtId="0" fontId="3" fillId="0" borderId="24" xfId="0" applyFont="1" applyBorder="1" applyAlignment="1" applyProtection="1">
      <alignment horizontal="left"/>
      <protection locked="0"/>
    </xf>
    <xf numFmtId="0" fontId="3" fillId="0" borderId="25" xfId="0" applyFont="1" applyBorder="1" applyAlignment="1" applyProtection="1">
      <alignment horizontal="left"/>
      <protection locked="0"/>
    </xf>
    <xf numFmtId="0" fontId="1" fillId="2" borderId="42" xfId="0" applyFont="1" applyFill="1" applyBorder="1" applyAlignment="1" applyProtection="1">
      <alignment horizontal="left" vertical="center" wrapText="1"/>
      <protection locked="0"/>
    </xf>
    <xf numFmtId="2" fontId="1" fillId="2" borderId="15" xfId="0" applyNumberFormat="1" applyFont="1" applyFill="1" applyBorder="1" applyAlignment="1" applyProtection="1">
      <alignment vertical="center" wrapText="1"/>
      <protection locked="0"/>
    </xf>
  </cellXfs>
  <cellStyles count="3">
    <cellStyle name="Comma" xfId="1" builtinId="3"/>
    <cellStyle name="Normal" xfId="0" builtinId="0"/>
    <cellStyle name="Normal 2" xfId="2" xr:uid="{00000000-0005-0000-0000-000003000000}"/>
  </cellStyles>
  <dxfs count="56">
    <dxf>
      <font>
        <color rgb="FF9C0006"/>
      </font>
      <fill>
        <patternFill>
          <bgColor rgb="FFFFC7CE"/>
        </patternFill>
      </fill>
    </dxf>
    <dxf>
      <font>
        <color rgb="FF9C0006"/>
      </font>
      <fill>
        <patternFill patternType="solid">
          <fgColor rgb="FFFFC7CE"/>
          <bgColor rgb="FFFFC7CE"/>
        </patternFill>
      </fill>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35" formatCode="_(* #,##0.00_);_(* \(#,##0.0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numFmt numFmtId="167" formatCode="_(* #,##0_);_(* \(#,##0\);_(* &quot;-&quot;??_);_(@_)"/>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mes New Roman"/>
        <family val="1"/>
        <scheme val="none"/>
      </font>
      <fill>
        <patternFill patternType="solid">
          <fgColor rgb="FFFFFFFF"/>
          <bgColor rgb="FFFFFFFF"/>
        </patternFill>
      </fill>
      <alignment horizontal="center"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Times New Roman"/>
        <family val="1"/>
        <scheme val="none"/>
      </font>
      <fill>
        <patternFill patternType="solid">
          <fgColor rgb="FFFFFFFF"/>
          <bgColor rgb="FFFFFFFF"/>
        </patternFill>
      </fill>
    </dxf>
    <dxf>
      <border outline="0">
        <bottom style="thin">
          <color rgb="FF000000"/>
        </bottom>
      </border>
    </dxf>
    <dxf>
      <font>
        <b val="0"/>
        <i val="0"/>
        <strike val="0"/>
        <condense val="0"/>
        <extend val="0"/>
        <outline val="0"/>
        <shadow val="0"/>
        <u val="none"/>
        <vertAlign val="baseline"/>
        <sz val="10"/>
        <color theme="0"/>
        <name val="Times New Roman"/>
        <family val="1"/>
        <scheme val="none"/>
      </font>
      <numFmt numFmtId="167" formatCode="_(* #,##0_);_(* \(#,##0\);_(* &quot;-&quot;??_);_(@_)"/>
      <fill>
        <patternFill patternType="solid">
          <fgColor rgb="FFFFFFFF"/>
          <bgColor theme="0"/>
        </patternFill>
      </fill>
      <border diagonalUp="0" diagonalDown="0" outline="0">
        <left style="thin">
          <color rgb="FF000000"/>
        </left>
        <right style="thin">
          <color rgb="FF000000"/>
        </right>
        <top/>
        <bottom/>
      </border>
    </dxf>
    <dxf>
      <protection locked="1" hidden="1"/>
    </dxf>
    <dxf>
      <protection locked="1" hidden="1"/>
    </dxf>
    <dxf>
      <protection locked="1" hidden="1"/>
    </dxf>
    <dxf>
      <protection locked="1" hidden="1"/>
    </dxf>
    <dxf>
      <protection locked="1" hidden="1"/>
    </dxf>
    <dxf>
      <protection locked="0" hidden="1"/>
    </dxf>
    <dxf>
      <protection locked="0" hidden="1"/>
    </dxf>
    <dxf>
      <protection locked="0" hidden="1"/>
    </dxf>
    <dxf>
      <border outline="0">
        <bottom style="thin">
          <color indexed="64"/>
        </bottom>
      </border>
    </dxf>
    <dxf>
      <protection locked="1" hidden="1"/>
    </dxf>
    <dxf>
      <font>
        <b/>
        <i val="0"/>
        <strike val="0"/>
        <condense val="0"/>
        <extend val="0"/>
        <outline val="0"/>
        <shadow val="0"/>
        <u val="none"/>
        <vertAlign val="baseline"/>
        <sz val="10"/>
        <color auto="1"/>
        <name val="Times New Roman"/>
        <scheme val="none"/>
      </font>
      <fill>
        <patternFill patternType="solid">
          <fgColor indexed="64"/>
          <bgColor theme="9" tint="0.59999389629810485"/>
        </patternFill>
      </fill>
      <alignment horizontal="center" vertical="center" textRotation="0" wrapText="0" indent="0" justifyLastLine="0" shrinkToFit="0" readingOrder="0"/>
      <protection locked="1" hidden="1"/>
    </dxf>
    <dxf>
      <protection locked="1" hidden="1"/>
    </dxf>
    <dxf>
      <protection locked="1" hidden="1"/>
    </dxf>
    <dxf>
      <font>
        <b val="0"/>
        <i val="0"/>
        <strike val="0"/>
        <condense val="0"/>
        <extend val="0"/>
        <outline val="0"/>
        <shadow val="0"/>
        <u val="none"/>
        <vertAlign val="baseline"/>
        <sz val="10"/>
        <color theme="1"/>
        <name val="Times New Roman"/>
        <scheme val="none"/>
      </font>
      <numFmt numFmtId="35" formatCode="_(* #,##0.00_);_(* \(#,##0.00\);_(* &quot;-&quot;??_);_(@_)"/>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protection locked="1" hidden="1"/>
    </dxf>
    <dxf>
      <protection locked="1" hidden="1"/>
    </dxf>
    <dxf>
      <protection locked="1" hidden="1"/>
    </dxf>
    <dxf>
      <protection locked="1" hidden="1"/>
    </dxf>
    <dxf>
      <protection locked="1" hidden="1"/>
    </dxf>
    <dxf>
      <font>
        <b val="0"/>
        <i val="0"/>
        <strike val="0"/>
        <condense val="0"/>
        <extend val="0"/>
        <outline val="0"/>
        <shadow val="0"/>
        <u val="none"/>
        <vertAlign val="baseline"/>
        <sz val="10"/>
        <color theme="1"/>
        <name val="Times New Roman"/>
        <scheme val="none"/>
      </font>
      <numFmt numFmtId="35" formatCode="_(* #,##0.00_);_(* \(#,##0.00\);_(* &quot;-&quot;??_);_(@_)"/>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protection locked="1" hidden="1"/>
    </dxf>
    <dxf>
      <protection locked="1" hidden="1"/>
    </dxf>
    <dxf>
      <numFmt numFmtId="35" formatCode="_(* #,##0.00_);_(* \(#,##0.00\);_(* &quot;-&quot;??_);_(@_)"/>
      <protection locked="1" hidden="1"/>
    </dxf>
    <dxf>
      <protection locked="0" hidden="1"/>
    </dxf>
    <dxf>
      <protection locked="0" hidden="1"/>
    </dxf>
    <dxf>
      <protection locked="0" hidden="1"/>
    </dxf>
    <dxf>
      <protection locked="0" hidden="1"/>
    </dxf>
    <dxf>
      <protection locked="0" hidden="1"/>
    </dxf>
    <dxf>
      <protection locked="0" hidden="1"/>
    </dxf>
    <dxf>
      <protection locked="0" hidden="1"/>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tableStyle name="TB-style" pivot="0" count="3" xr9:uid="{00000000-0011-0000-FFFF-FFFF00000000}">
      <tableStyleElement type="headerRow" dxfId="55"/>
      <tableStyleElement type="firstRowStripe" dxfId="54"/>
      <tableStyleElement type="secondRowStripe" dxfId="53"/>
    </tableStyle>
    <tableStyle name="Авлага Өглөг-style" pivot="0" count="3" xr9:uid="{00000000-0011-0000-FFFF-FFFF01000000}">
      <tableStyleElement type="headerRow" dxfId="52"/>
      <tableStyleElement type="firstRowStripe" dxfId="51"/>
      <tableStyleElement type="secondRowStripe" dxfId="5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0</xdr:col>
      <xdr:colOff>57151</xdr:colOff>
      <xdr:row>1</xdr:row>
      <xdr:rowOff>55245</xdr:rowOff>
    </xdr:from>
    <xdr:ext cx="1169670" cy="523875"/>
    <xdr:pic>
      <xdr:nvPicPr>
        <xdr:cNvPr id="2" name="image1.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1" cstate="print"/>
        <a:stretch>
          <a:fillRect/>
        </a:stretch>
      </xdr:blipFill>
      <xdr:spPr>
        <a:xfrm>
          <a:off x="57151" y="222885"/>
          <a:ext cx="1169670" cy="52387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47625</xdr:colOff>
      <xdr:row>0</xdr:row>
      <xdr:rowOff>28575</xdr:rowOff>
    </xdr:from>
    <xdr:ext cx="1057275" cy="514350"/>
    <xdr:pic>
      <xdr:nvPicPr>
        <xdr:cNvPr id="2" name="image2.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B5:O97" headerRowDxfId="49" dataDxfId="48" totalsRowDxfId="47">
  <tableColumns count="14">
    <tableColumn id="1" xr3:uid="{00000000-0010-0000-0000-000001000000}" name="Column1" dataDxfId="46"/>
    <tableColumn id="2" xr3:uid="{00000000-0010-0000-0000-000002000000}" name="Column2" dataDxfId="45"/>
    <tableColumn id="3" xr3:uid="{00000000-0010-0000-0000-000003000000}" name="Column3" dataDxfId="44"/>
    <tableColumn id="4" xr3:uid="{00000000-0010-0000-0000-000004000000}" name="Column4" dataDxfId="43"/>
    <tableColumn id="5" xr3:uid="{00000000-0010-0000-0000-000005000000}" name="Column7" dataDxfId="42">
      <calculatedColumnFormula>SUMIF(GL!$F:$F,TB!$B6,GL!$E:$E)</calculatedColumnFormula>
    </tableColumn>
    <tableColumn id="6" xr3:uid="{00000000-0010-0000-0000-000006000000}" name="Column8" dataDxfId="41">
      <calculatedColumnFormula>SUMIF(GL!$G:$G,TB!$B6,GL!$E:$E)</calculatedColumnFormula>
    </tableColumn>
    <tableColumn id="13" xr3:uid="{00000000-0010-0000-0000-00000D000000}" name="Column82" dataDxfId="40">
      <calculatedColumnFormula>Table_1[[#This Row],[Column3]]+Table_1[[#This Row],[Column7]]-Table_1[[#This Row],[Column4]]-Table_1[[#This Row],[Column8]]</calculatedColumnFormula>
    </tableColumn>
    <tableColumn id="7" xr3:uid="{00000000-0010-0000-0000-000007000000}" name="Column9" dataDxfId="39">
      <calculatedColumnFormula>IF(H6&gt;0,H6,0)</calculatedColumnFormula>
    </tableColumn>
    <tableColumn id="8" xr3:uid="{00000000-0010-0000-0000-000008000000}" name="Column10" dataDxfId="38">
      <calculatedColumnFormula>IF(H6&lt;0,-H6,0)</calculatedColumnFormula>
    </tableColumn>
    <tableColumn id="9" xr3:uid="{00000000-0010-0000-0000-000009000000}" name="Column13" dataDxfId="37"/>
    <tableColumn id="10" xr3:uid="{00000000-0010-0000-0000-00000A000000}" name="Column14" dataDxfId="36"/>
    <tableColumn id="15" xr3:uid="{00000000-0010-0000-0000-00000F000000}" name="Column142" dataDxfId="35">
      <calculatedColumnFormula>Table_1[[#This Row],[Column9]]-Table_1[[#This Row],[Column10]]</calculatedColumnFormula>
    </tableColumn>
    <tableColumn id="11" xr3:uid="{00000000-0010-0000-0000-00000B000000}" name="Column15" dataDxfId="34"/>
    <tableColumn id="12" xr3:uid="{00000000-0010-0000-0000-00000C000000}" name="Column16" dataDxfId="33"/>
  </tableColumns>
  <tableStyleInfo name="TableStyleLight16"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6:H199" totalsRowShown="0" headerRowDxfId="32" dataDxfId="31" tableBorderDxfId="30">
  <autoFilter ref="A6:H199" xr:uid="{00000000-000C-0000-FFFF-FFFF01000000}"/>
  <tableColumns count="8">
    <tableColumn id="2" xr3:uid="{00000000-0010-0000-0100-000002000000}" name="Харилцагчид" dataDxfId="29"/>
    <tableColumn id="7" xr3:uid="{00000000-0010-0000-0100-000007000000}" name="ДТ" dataDxfId="28" dataCellStyle="Comma"/>
    <tableColumn id="3" xr3:uid="{00000000-0010-0000-0100-000003000000}" name="КТ" dataDxfId="27" dataCellStyle="Comma"/>
    <tableColumn id="4" xr3:uid="{00000000-0010-0000-0100-000004000000}" name="Дебит" dataDxfId="26" dataCellStyle="Comma">
      <calculatedColumnFormula>SUMIFS(GL!#REF!,GL!C:C,Table5[[#This Row],[Харилцагчид]])</calculatedColumnFormula>
    </tableColumn>
    <tableColumn id="5" xr3:uid="{00000000-0010-0000-0100-000005000000}" name="Кредит" dataDxfId="25" dataCellStyle="Comma">
      <calculatedColumnFormula>SUMIFS(GL!#REF!,GL!C:C,Table5[[#This Row],[Харилцагчид]])</calculatedColumnFormula>
    </tableColumn>
    <tableColumn id="9" xr3:uid="{00000000-0010-0000-0100-000009000000}" name="Зөрүү" dataDxfId="24" dataCellStyle="Comma">
      <calculatedColumnFormula>Table5[[#This Row],[ДТ]]+Table5[[#This Row],[Дебит]]-Table5[[#This Row],[КТ]]-Table5[[#This Row],[Кредит]]</calculatedColumnFormula>
    </tableColumn>
    <tableColumn id="8" xr3:uid="{00000000-0010-0000-0100-000008000000}" name="Dr" dataDxfId="23" dataCellStyle="Comma">
      <calculatedColumnFormula>IF(Table5[[#This Row],[Зөрүү]]&gt;0,Table5[[#This Row],[Зөрүү]],0)</calculatedColumnFormula>
    </tableColumn>
    <tableColumn id="6" xr3:uid="{00000000-0010-0000-0100-000006000000}" name="Cr" dataDxfId="22" dataCellStyle="Comma">
      <calculatedColumnFormula>IF(Table5[[#This Row],[Зөрүү]]&lt;0,-Table5[[#This Row],[Зөрүү]],0)</calculatedColumnFormula>
    </tableColumn>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1803737-0189-41FA-BF7D-2147CB207DA5}" name="Table3" displayName="Table3" ref="A6:O22" totalsRowShown="0" headerRowDxfId="21" dataDxfId="19" headerRowBorderDxfId="20" tableBorderDxfId="18" totalsRowBorderDxfId="17">
  <autoFilter ref="A6:O22" xr:uid="{21803737-0189-41FA-BF7D-2147CB207DA5}"/>
  <tableColumns count="15">
    <tableColumn id="1" xr3:uid="{6C2D7DE4-1311-4677-8BF4-13638175485D}" name="Column1" dataDxfId="16"/>
    <tableColumn id="2" xr3:uid="{B09AF021-52C1-448C-ADBB-607002A21A31}" name="Column2" dataDxfId="15"/>
    <tableColumn id="3" xr3:uid="{1C4EB8BD-739D-4C8F-AB24-50FE7E46C3AF}" name="Column3" dataDxfId="14"/>
    <tableColumn id="4" xr3:uid="{068F115B-A007-418B-B6CE-88196C0489C9}" name="Column4" dataDxfId="13"/>
    <tableColumn id="5" xr3:uid="{0A0E63AA-EF67-425E-AB01-9DB94D726B15}" name="Column5" dataDxfId="12" dataCellStyle="Comma"/>
    <tableColumn id="6" xr3:uid="{B56347E1-A4BE-4714-B2FE-ACB5A3C0E33B}" name="Column6" dataDxfId="11"/>
    <tableColumn id="7" xr3:uid="{79BD35B2-9B20-4B71-A48B-891B491CBC9B}" name="Column7" dataDxfId="10"/>
    <tableColumn id="8" xr3:uid="{81F3F4F8-CA3B-47EC-A419-E0E23B9EE521}" name="Column8" dataDxfId="9"/>
    <tableColumn id="9" xr3:uid="{60C660B0-E6EB-44EE-9E1C-9FB33ADBE842}" name="Column9" dataDxfId="8"/>
    <tableColumn id="10" xr3:uid="{2AC08CF1-045F-4B5F-A68F-8F2EA072EA30}" name="Column10" dataDxfId="7"/>
    <tableColumn id="11" xr3:uid="{26D967D6-D6FD-49D2-805F-9F194C8760BF}" name="Column11" dataDxfId="6"/>
    <tableColumn id="12" xr3:uid="{1D41090B-292D-4F1E-A5AF-C6D04F2728E4}" name="Column12" dataDxfId="5">
      <calculatedColumnFormula>IF(J7&lt;200000,J7*0.1,IF(J7&lt;=500000,20000,IF(J7&lt;=1000000,18000,IF(J7&lt;=1500000,16000,IF(J7&lt;=2000000,14000,IF(J7&lt;=2500000,12000,IF(J7&lt;=3000000,10000,0)))))))</calculatedColumnFormula>
    </tableColumn>
    <tableColumn id="13" xr3:uid="{BF627B93-5038-4479-9D92-9FD86E3214BA}" name="Column13" dataDxfId="4"/>
    <tableColumn id="14" xr3:uid="{9CB27339-4274-449D-BFE8-5260EF0F5EAF}" name="Column14" dataDxfId="3"/>
    <tableColumn id="15" xr3:uid="{313E17B8-278D-4079-AD77-D12B6EA84121}" name="Column15" dataDxfId="2"/>
  </tableColumns>
  <tableStyleInfo name="TableStyleLight1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2.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K90"/>
  <sheetViews>
    <sheetView view="pageBreakPreview" zoomScaleNormal="100" zoomScaleSheetLayoutView="100" workbookViewId="0">
      <pane ySplit="2" topLeftCell="A3" activePane="bottomLeft" state="frozen"/>
      <selection pane="bottomLeft" activeCell="I11" sqref="I11"/>
    </sheetView>
  </sheetViews>
  <sheetFormatPr defaultColWidth="12.6640625" defaultRowHeight="15" customHeight="1" x14ac:dyDescent="0.25"/>
  <cols>
    <col min="1" max="1" width="3" style="119" customWidth="1"/>
    <col min="2" max="2" width="29.109375" style="119" customWidth="1"/>
    <col min="3" max="3" width="5.44140625" style="119" hidden="1" customWidth="1"/>
    <col min="4" max="4" width="2.109375" style="119" hidden="1" customWidth="1"/>
    <col min="5" max="5" width="3.33203125" style="119" hidden="1" customWidth="1"/>
    <col min="6" max="6" width="31.6640625" style="119" customWidth="1"/>
    <col min="7" max="7" width="10.33203125" style="119" customWidth="1"/>
    <col min="8" max="11" width="12.6640625" style="121"/>
    <col min="12" max="16384" width="12.6640625" style="119"/>
  </cols>
  <sheetData>
    <row r="1" spans="1:6" ht="15" customHeight="1" x14ac:dyDescent="0.25">
      <c r="A1" s="177"/>
      <c r="B1" s="155"/>
      <c r="C1" s="155"/>
      <c r="D1" s="155"/>
      <c r="E1" s="155"/>
      <c r="F1" s="155"/>
    </row>
    <row r="2" spans="1:6" ht="15" customHeight="1" x14ac:dyDescent="0.25">
      <c r="A2" s="177"/>
      <c r="B2" s="155"/>
      <c r="C2" s="155"/>
      <c r="D2" s="155"/>
      <c r="E2" s="155"/>
      <c r="F2" s="155"/>
    </row>
    <row r="3" spans="1:6" ht="15" customHeight="1" x14ac:dyDescent="0.25">
      <c r="A3" s="177"/>
      <c r="B3" s="155"/>
      <c r="C3" s="155"/>
      <c r="D3" s="155"/>
      <c r="E3" s="155"/>
      <c r="F3" s="155"/>
    </row>
    <row r="4" spans="1:6" ht="13.8" x14ac:dyDescent="0.25">
      <c r="A4" s="178"/>
      <c r="B4" s="688" t="s">
        <v>0</v>
      </c>
      <c r="C4" s="688"/>
      <c r="D4" s="688"/>
      <c r="E4" s="688"/>
      <c r="F4" s="688"/>
    </row>
    <row r="5" spans="1:6" ht="13.8" x14ac:dyDescent="0.25">
      <c r="A5" s="178"/>
      <c r="B5" s="181"/>
      <c r="C5" s="182"/>
      <c r="D5" s="182"/>
      <c r="E5" s="182"/>
      <c r="F5" s="182"/>
    </row>
    <row r="6" spans="1:6" ht="13.8" x14ac:dyDescent="0.25">
      <c r="A6" s="183">
        <v>1</v>
      </c>
      <c r="B6" s="173" t="s">
        <v>1</v>
      </c>
      <c r="C6" s="174"/>
      <c r="D6" s="174"/>
      <c r="E6" s="174"/>
      <c r="F6" s="175" t="s">
        <v>1012</v>
      </c>
    </row>
    <row r="7" spans="1:6" ht="13.8" x14ac:dyDescent="0.25">
      <c r="A7" s="184">
        <v>2</v>
      </c>
      <c r="B7" s="185" t="s">
        <v>2</v>
      </c>
      <c r="C7" s="186"/>
      <c r="D7" s="186"/>
      <c r="E7" s="186"/>
      <c r="F7" s="187" t="s">
        <v>1010</v>
      </c>
    </row>
    <row r="8" spans="1:6" ht="13.8" x14ac:dyDescent="0.25">
      <c r="A8" s="184">
        <v>3</v>
      </c>
      <c r="B8" s="185" t="s">
        <v>3</v>
      </c>
      <c r="C8" s="186"/>
      <c r="D8" s="186"/>
      <c r="E8" s="186"/>
      <c r="F8" s="187" t="s">
        <v>1011</v>
      </c>
    </row>
    <row r="9" spans="1:6" ht="13.8" x14ac:dyDescent="0.25">
      <c r="A9" s="184">
        <v>4</v>
      </c>
      <c r="B9" s="185" t="s">
        <v>4</v>
      </c>
      <c r="C9" s="186">
        <f>YEAR(F9)</f>
        <v>2022</v>
      </c>
      <c r="D9" s="186">
        <f>IF(MONTH(F9)&lt;4,1,IF(MONTH(F9)&lt;7,2,IF(MONTH(F9)&lt;10,3,4)))</f>
        <v>4</v>
      </c>
      <c r="E9" s="186">
        <f>MONTH(F9)</f>
        <v>12</v>
      </c>
      <c r="F9" s="188">
        <v>44926</v>
      </c>
    </row>
    <row r="10" spans="1:6" ht="13.8" x14ac:dyDescent="0.25">
      <c r="A10" s="184">
        <v>5</v>
      </c>
      <c r="B10" s="185" t="s">
        <v>5</v>
      </c>
      <c r="C10" s="186"/>
      <c r="D10" s="186"/>
      <c r="E10" s="186"/>
      <c r="F10" s="187"/>
    </row>
    <row r="11" spans="1:6" ht="30.6" customHeight="1" x14ac:dyDescent="0.25">
      <c r="A11" s="666">
        <v>6</v>
      </c>
      <c r="B11" s="665" t="s">
        <v>6</v>
      </c>
      <c r="C11" s="191"/>
      <c r="D11" s="191"/>
      <c r="E11" s="191"/>
      <c r="F11" s="643" t="s">
        <v>1004</v>
      </c>
    </row>
    <row r="12" spans="1:6" ht="15" customHeight="1" x14ac:dyDescent="0.25">
      <c r="A12" s="189">
        <v>7</v>
      </c>
      <c r="B12" s="190" t="s">
        <v>7</v>
      </c>
      <c r="C12" s="191"/>
      <c r="D12" s="191"/>
      <c r="E12" s="191"/>
      <c r="F12" s="192"/>
    </row>
    <row r="13" spans="1:6" ht="15" customHeight="1" x14ac:dyDescent="0.25">
      <c r="A13" s="189">
        <v>8</v>
      </c>
      <c r="B13" s="190" t="s">
        <v>8</v>
      </c>
      <c r="C13" s="191"/>
      <c r="D13" s="191"/>
      <c r="E13" s="191"/>
      <c r="F13" s="192">
        <v>88016263</v>
      </c>
    </row>
    <row r="14" spans="1:6" ht="15" customHeight="1" x14ac:dyDescent="0.25">
      <c r="A14" s="189">
        <v>9</v>
      </c>
      <c r="B14" s="190" t="s">
        <v>9</v>
      </c>
      <c r="C14" s="191"/>
      <c r="D14" s="191"/>
      <c r="E14" s="191"/>
      <c r="F14" s="192"/>
    </row>
    <row r="15" spans="1:6" ht="15" customHeight="1" x14ac:dyDescent="0.25">
      <c r="A15" s="189">
        <v>10</v>
      </c>
      <c r="B15" s="190" t="s">
        <v>10</v>
      </c>
      <c r="C15" s="191"/>
      <c r="D15" s="191"/>
      <c r="E15" s="191"/>
      <c r="F15" s="192"/>
    </row>
    <row r="16" spans="1:6" ht="15" customHeight="1" x14ac:dyDescent="0.25">
      <c r="A16" s="189">
        <v>11</v>
      </c>
      <c r="B16" s="193" t="s">
        <v>11</v>
      </c>
      <c r="C16" s="191"/>
      <c r="D16" s="191"/>
      <c r="E16" s="191"/>
      <c r="F16" s="192"/>
    </row>
    <row r="17" spans="1:6" ht="15" customHeight="1" x14ac:dyDescent="0.25">
      <c r="A17" s="189">
        <v>12</v>
      </c>
      <c r="B17" s="193" t="s">
        <v>12</v>
      </c>
      <c r="C17" s="194"/>
      <c r="D17" s="194"/>
      <c r="E17" s="194"/>
      <c r="F17" s="195">
        <v>1</v>
      </c>
    </row>
    <row r="18" spans="1:6" ht="15" customHeight="1" x14ac:dyDescent="0.25">
      <c r="A18" s="685">
        <v>13</v>
      </c>
      <c r="B18" s="685" t="s">
        <v>13</v>
      </c>
      <c r="C18" s="196"/>
      <c r="D18" s="196"/>
      <c r="E18" s="196"/>
      <c r="F18" s="190" t="s">
        <v>14</v>
      </c>
    </row>
    <row r="19" spans="1:6" ht="15" customHeight="1" x14ac:dyDescent="0.25">
      <c r="A19" s="686"/>
      <c r="B19" s="686"/>
      <c r="C19" s="155"/>
      <c r="D19" s="155"/>
      <c r="E19" s="155"/>
      <c r="F19" s="190" t="s">
        <v>1003</v>
      </c>
    </row>
    <row r="20" spans="1:6" ht="15" customHeight="1" x14ac:dyDescent="0.25">
      <c r="A20" s="687"/>
      <c r="B20" s="687"/>
      <c r="C20" s="155"/>
      <c r="D20" s="155"/>
      <c r="E20" s="155"/>
      <c r="F20" s="190"/>
    </row>
    <row r="21" spans="1:6" ht="15" customHeight="1" x14ac:dyDescent="0.25">
      <c r="A21" s="177"/>
      <c r="B21" s="155"/>
      <c r="C21" s="155"/>
      <c r="D21" s="155"/>
      <c r="E21" s="155"/>
      <c r="F21" s="155"/>
    </row>
    <row r="22" spans="1:6" ht="15" customHeight="1" x14ac:dyDescent="0.25">
      <c r="A22" s="177"/>
      <c r="B22" s="155"/>
      <c r="C22" s="155"/>
      <c r="D22" s="155"/>
      <c r="E22" s="155"/>
      <c r="F22" s="155"/>
    </row>
    <row r="23" spans="1:6" ht="15" customHeight="1" x14ac:dyDescent="0.25">
      <c r="A23" s="177"/>
      <c r="B23" s="155"/>
      <c r="C23" s="155"/>
      <c r="D23" s="155"/>
      <c r="E23" s="155"/>
      <c r="F23" s="155"/>
    </row>
    <row r="24" spans="1:6" ht="15" customHeight="1" x14ac:dyDescent="0.25">
      <c r="A24" s="177"/>
      <c r="B24" s="155"/>
      <c r="C24" s="155"/>
      <c r="D24" s="155"/>
      <c r="E24" s="155"/>
      <c r="F24" s="155"/>
    </row>
    <row r="25" spans="1:6" ht="15" customHeight="1" x14ac:dyDescent="0.25">
      <c r="A25" s="177"/>
      <c r="B25" s="155"/>
      <c r="C25" s="155"/>
      <c r="D25" s="155"/>
      <c r="E25" s="155"/>
      <c r="F25" s="155"/>
    </row>
    <row r="26" spans="1:6" ht="15" customHeight="1" x14ac:dyDescent="0.25">
      <c r="A26" s="177"/>
      <c r="B26" s="155"/>
      <c r="C26" s="155"/>
      <c r="D26" s="155"/>
      <c r="E26" s="155"/>
      <c r="F26" s="155"/>
    </row>
    <row r="27" spans="1:6" ht="15" customHeight="1" x14ac:dyDescent="0.25">
      <c r="A27" s="177"/>
      <c r="B27" s="155"/>
      <c r="C27" s="155"/>
      <c r="D27" s="155"/>
      <c r="E27" s="155"/>
      <c r="F27" s="155"/>
    </row>
    <row r="28" spans="1:6" ht="15" customHeight="1" x14ac:dyDescent="0.25">
      <c r="A28" s="177"/>
      <c r="B28" s="155"/>
      <c r="C28" s="155"/>
      <c r="D28" s="155"/>
      <c r="E28" s="155"/>
      <c r="F28" s="155"/>
    </row>
    <row r="29" spans="1:6" ht="15" customHeight="1" x14ac:dyDescent="0.25">
      <c r="A29" s="177"/>
      <c r="B29" s="155"/>
      <c r="C29" s="155"/>
      <c r="D29" s="155"/>
      <c r="E29" s="155"/>
      <c r="F29" s="155"/>
    </row>
    <row r="30" spans="1:6" ht="15" customHeight="1" x14ac:dyDescent="0.25">
      <c r="A30" s="177"/>
      <c r="B30" s="155"/>
      <c r="C30" s="155"/>
      <c r="D30" s="155"/>
      <c r="E30" s="155"/>
      <c r="F30" s="155"/>
    </row>
    <row r="31" spans="1:6" ht="15" customHeight="1" x14ac:dyDescent="0.25">
      <c r="A31" s="177"/>
      <c r="B31" s="155"/>
      <c r="C31" s="155"/>
      <c r="D31" s="155"/>
      <c r="E31" s="155"/>
      <c r="F31" s="155"/>
    </row>
    <row r="32" spans="1:6" ht="13.8" x14ac:dyDescent="0.25">
      <c r="A32" s="177"/>
      <c r="B32" s="155"/>
      <c r="C32" s="155"/>
      <c r="D32" s="155"/>
      <c r="E32" s="155"/>
      <c r="F32" s="155"/>
    </row>
    <row r="33" spans="1:1" ht="13.8" x14ac:dyDescent="0.25">
      <c r="A33" s="177"/>
    </row>
    <row r="34" spans="1:1" ht="13.8" x14ac:dyDescent="0.25">
      <c r="A34" s="177"/>
    </row>
    <row r="35" spans="1:1" ht="13.8" x14ac:dyDescent="0.25">
      <c r="A35" s="177"/>
    </row>
    <row r="36" spans="1:1" ht="13.8" x14ac:dyDescent="0.25">
      <c r="A36" s="177"/>
    </row>
    <row r="37" spans="1:1" ht="13.8" x14ac:dyDescent="0.25">
      <c r="A37" s="177"/>
    </row>
    <row r="38" spans="1:1" ht="13.8" x14ac:dyDescent="0.25">
      <c r="A38" s="177"/>
    </row>
    <row r="39" spans="1:1" ht="13.8" x14ac:dyDescent="0.25">
      <c r="A39" s="177"/>
    </row>
    <row r="40" spans="1:1" ht="13.8" x14ac:dyDescent="0.25">
      <c r="A40" s="177"/>
    </row>
    <row r="41" spans="1:1" ht="13.8" x14ac:dyDescent="0.25">
      <c r="A41" s="177"/>
    </row>
    <row r="42" spans="1:1" ht="13.8" x14ac:dyDescent="0.25">
      <c r="A42" s="177"/>
    </row>
    <row r="43" spans="1:1" ht="13.8" x14ac:dyDescent="0.25">
      <c r="A43" s="177"/>
    </row>
    <row r="44" spans="1:1" ht="13.8" x14ac:dyDescent="0.25">
      <c r="A44" s="177"/>
    </row>
    <row r="45" spans="1:1" ht="13.8" x14ac:dyDescent="0.25">
      <c r="A45" s="177"/>
    </row>
    <row r="46" spans="1:1" ht="13.8" x14ac:dyDescent="0.25">
      <c r="A46" s="177"/>
    </row>
    <row r="47" spans="1:1" ht="13.8" x14ac:dyDescent="0.25">
      <c r="A47" s="177"/>
    </row>
    <row r="48" spans="1:1" ht="13.8" x14ac:dyDescent="0.25">
      <c r="A48" s="177"/>
    </row>
    <row r="49" spans="1:1" ht="13.8" x14ac:dyDescent="0.25">
      <c r="A49" s="177"/>
    </row>
    <row r="50" spans="1:1" ht="13.8" x14ac:dyDescent="0.25">
      <c r="A50" s="177"/>
    </row>
    <row r="51" spans="1:1" ht="13.8" x14ac:dyDescent="0.25">
      <c r="A51" s="177"/>
    </row>
    <row r="52" spans="1:1" ht="13.8" x14ac:dyDescent="0.25">
      <c r="A52" s="177"/>
    </row>
    <row r="53" spans="1:1" ht="13.8" x14ac:dyDescent="0.25">
      <c r="A53" s="177"/>
    </row>
    <row r="54" spans="1:1" ht="13.8" x14ac:dyDescent="0.25">
      <c r="A54" s="177"/>
    </row>
    <row r="55" spans="1:1" ht="13.8" x14ac:dyDescent="0.25">
      <c r="A55" s="177"/>
    </row>
    <row r="56" spans="1:1" ht="13.8" x14ac:dyDescent="0.25">
      <c r="A56" s="177"/>
    </row>
    <row r="57" spans="1:1" ht="13.8" x14ac:dyDescent="0.25">
      <c r="A57" s="177"/>
    </row>
    <row r="58" spans="1:1" ht="13.8" x14ac:dyDescent="0.25">
      <c r="A58" s="177"/>
    </row>
    <row r="59" spans="1:1" ht="13.8" x14ac:dyDescent="0.25">
      <c r="A59" s="177"/>
    </row>
    <row r="60" spans="1:1" ht="13.8" x14ac:dyDescent="0.25">
      <c r="A60" s="177"/>
    </row>
    <row r="61" spans="1:1" ht="13.8" x14ac:dyDescent="0.25">
      <c r="A61" s="177"/>
    </row>
    <row r="62" spans="1:1" ht="13.8" x14ac:dyDescent="0.25">
      <c r="A62" s="177"/>
    </row>
    <row r="63" spans="1:1" ht="13.8" x14ac:dyDescent="0.25">
      <c r="A63" s="177"/>
    </row>
    <row r="64" spans="1:1" ht="13.8" x14ac:dyDescent="0.25">
      <c r="A64" s="177"/>
    </row>
    <row r="65" spans="1:1" ht="13.8" x14ac:dyDescent="0.25">
      <c r="A65" s="177"/>
    </row>
    <row r="66" spans="1:1" ht="13.8" x14ac:dyDescent="0.25">
      <c r="A66" s="177"/>
    </row>
    <row r="67" spans="1:1" ht="13.8" x14ac:dyDescent="0.25">
      <c r="A67" s="177"/>
    </row>
    <row r="68" spans="1:1" ht="13.8" x14ac:dyDescent="0.25">
      <c r="A68" s="177"/>
    </row>
    <row r="69" spans="1:1" ht="13.8" x14ac:dyDescent="0.25">
      <c r="A69" s="177"/>
    </row>
    <row r="70" spans="1:1" ht="13.8" x14ac:dyDescent="0.25">
      <c r="A70" s="177"/>
    </row>
    <row r="71" spans="1:1" ht="13.8" x14ac:dyDescent="0.25">
      <c r="A71" s="177"/>
    </row>
    <row r="72" spans="1:1" ht="13.8" x14ac:dyDescent="0.25">
      <c r="A72" s="177"/>
    </row>
    <row r="73" spans="1:1" ht="13.8" x14ac:dyDescent="0.25">
      <c r="A73" s="177"/>
    </row>
    <row r="74" spans="1:1" ht="13.8" x14ac:dyDescent="0.25">
      <c r="A74" s="177"/>
    </row>
    <row r="75" spans="1:1" ht="13.8" x14ac:dyDescent="0.25">
      <c r="A75" s="177"/>
    </row>
    <row r="76" spans="1:1" ht="13.8" x14ac:dyDescent="0.25">
      <c r="A76" s="177"/>
    </row>
    <row r="77" spans="1:1" ht="13.8" x14ac:dyDescent="0.25">
      <c r="A77" s="177"/>
    </row>
    <row r="78" spans="1:1" ht="13.8" x14ac:dyDescent="0.25">
      <c r="A78" s="177"/>
    </row>
    <row r="79" spans="1:1" ht="13.8" x14ac:dyDescent="0.25">
      <c r="A79" s="177"/>
    </row>
    <row r="80" spans="1:1" ht="13.8" x14ac:dyDescent="0.25">
      <c r="A80" s="177"/>
    </row>
    <row r="81" spans="1:1" ht="13.8" x14ac:dyDescent="0.25">
      <c r="A81" s="177"/>
    </row>
    <row r="82" spans="1:1" ht="13.8" x14ac:dyDescent="0.25">
      <c r="A82" s="177"/>
    </row>
    <row r="83" spans="1:1" ht="13.8" x14ac:dyDescent="0.25">
      <c r="A83" s="177"/>
    </row>
    <row r="84" spans="1:1" ht="13.8" x14ac:dyDescent="0.25">
      <c r="A84" s="177"/>
    </row>
    <row r="85" spans="1:1" ht="13.8" x14ac:dyDescent="0.25">
      <c r="A85" s="177"/>
    </row>
    <row r="86" spans="1:1" ht="13.8" x14ac:dyDescent="0.25">
      <c r="A86" s="177"/>
    </row>
    <row r="87" spans="1:1" ht="13.8" x14ac:dyDescent="0.25">
      <c r="A87" s="177"/>
    </row>
    <row r="88" spans="1:1" ht="13.8" x14ac:dyDescent="0.25">
      <c r="A88" s="177"/>
    </row>
    <row r="89" spans="1:1" ht="13.8" x14ac:dyDescent="0.25">
      <c r="A89" s="177"/>
    </row>
    <row r="90" spans="1:1" ht="13.8" x14ac:dyDescent="0.25">
      <c r="A90" s="177"/>
    </row>
  </sheetData>
  <mergeCells count="3">
    <mergeCell ref="A18:A20"/>
    <mergeCell ref="B18:B20"/>
    <mergeCell ref="B4:F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pageSetUpPr fitToPage="1"/>
  </sheetPr>
  <dimension ref="A1:Y44"/>
  <sheetViews>
    <sheetView view="pageBreakPreview" zoomScaleNormal="100" zoomScaleSheetLayoutView="100" workbookViewId="0">
      <selection activeCell="Q14" sqref="Q14:Y18"/>
    </sheetView>
  </sheetViews>
  <sheetFormatPr defaultColWidth="12.6640625" defaultRowHeight="15" customHeight="1" x14ac:dyDescent="0.25"/>
  <cols>
    <col min="1" max="1" width="5.44140625" customWidth="1"/>
    <col min="2" max="2" width="9" customWidth="1"/>
    <col min="3" max="3" width="3.88671875" customWidth="1"/>
    <col min="4" max="7" width="3.109375" customWidth="1"/>
    <col min="8" max="8" width="3.6640625" customWidth="1"/>
    <col min="9" max="9" width="3.109375" customWidth="1"/>
    <col min="10" max="10" width="3.33203125" customWidth="1"/>
    <col min="11" max="11" width="11.6640625" customWidth="1"/>
    <col min="12" max="12" width="5" customWidth="1"/>
    <col min="13" max="13" width="6.109375" customWidth="1"/>
    <col min="14" max="14" width="5.44140625" customWidth="1"/>
    <col min="15" max="15" width="8.44140625" customWidth="1"/>
    <col min="16" max="16" width="10" customWidth="1"/>
    <col min="17" max="24" width="9.109375" customWidth="1"/>
    <col min="25" max="25" width="11.88671875" customWidth="1"/>
    <col min="26" max="26" width="6" customWidth="1"/>
  </cols>
  <sheetData>
    <row r="1" spans="1:25" ht="14.25" customHeight="1" x14ac:dyDescent="0.25">
      <c r="A1" s="197"/>
      <c r="B1" s="197"/>
      <c r="C1" s="197"/>
      <c r="D1" s="197"/>
      <c r="E1" s="197"/>
      <c r="F1" s="197"/>
      <c r="G1" s="197"/>
      <c r="H1" s="180"/>
      <c r="I1" s="180"/>
      <c r="J1" s="180"/>
      <c r="K1" s="197"/>
      <c r="L1" s="197"/>
      <c r="M1" s="703" t="s">
        <v>15</v>
      </c>
      <c r="N1" s="703"/>
      <c r="O1" s="703"/>
      <c r="P1" s="703"/>
      <c r="Q1" s="197"/>
      <c r="R1" s="197"/>
      <c r="S1" s="197"/>
      <c r="T1" s="197"/>
      <c r="U1" s="197"/>
      <c r="V1" s="197"/>
      <c r="W1" s="197"/>
      <c r="X1" s="197"/>
      <c r="Y1" s="197"/>
    </row>
    <row r="2" spans="1:25" ht="14.25" customHeight="1" x14ac:dyDescent="0.25">
      <c r="A2" s="180"/>
      <c r="B2" s="180"/>
      <c r="C2" s="180"/>
      <c r="D2" s="180"/>
      <c r="E2" s="180"/>
      <c r="F2" s="180"/>
      <c r="G2" s="179"/>
      <c r="H2" s="180"/>
      <c r="I2" s="180"/>
      <c r="J2" s="180"/>
      <c r="K2" s="197"/>
      <c r="L2" s="197"/>
      <c r="M2" s="703"/>
      <c r="N2" s="703"/>
      <c r="O2" s="703"/>
      <c r="P2" s="703"/>
      <c r="Q2" s="197"/>
      <c r="R2" s="197"/>
      <c r="S2" s="197"/>
      <c r="T2" s="197"/>
      <c r="U2" s="197"/>
      <c r="V2" s="197"/>
      <c r="W2" s="197"/>
      <c r="X2" s="197"/>
      <c r="Y2" s="197"/>
    </row>
    <row r="3" spans="1:25" ht="14.25" customHeight="1" x14ac:dyDescent="0.25">
      <c r="A3" s="180"/>
      <c r="B3" s="180"/>
      <c r="C3" s="180"/>
      <c r="D3" s="180"/>
      <c r="E3" s="180"/>
      <c r="F3" s="180"/>
      <c r="G3" s="179"/>
      <c r="H3" s="180"/>
      <c r="I3" s="180"/>
      <c r="J3" s="180"/>
      <c r="K3" s="197"/>
      <c r="L3" s="197"/>
      <c r="M3" s="198"/>
      <c r="N3" s="198"/>
      <c r="O3" s="198"/>
      <c r="P3" s="198"/>
      <c r="Q3" s="197"/>
      <c r="R3" s="197"/>
      <c r="S3" s="197"/>
      <c r="T3" s="197"/>
      <c r="U3" s="197"/>
      <c r="V3" s="197"/>
      <c r="W3" s="197"/>
      <c r="X3" s="197"/>
      <c r="Y3" s="197"/>
    </row>
    <row r="4" spans="1:25" ht="14.25" customHeight="1" x14ac:dyDescent="0.25">
      <c r="A4" s="180"/>
      <c r="B4" s="180"/>
      <c r="C4" s="180"/>
      <c r="D4" s="180"/>
      <c r="E4" s="180"/>
      <c r="F4" s="180"/>
      <c r="G4" s="199"/>
      <c r="H4" s="180"/>
      <c r="I4" s="180"/>
      <c r="J4" s="180"/>
      <c r="K4" s="197"/>
      <c r="L4" s="197"/>
      <c r="M4" s="197"/>
      <c r="N4" s="197"/>
      <c r="O4" s="197"/>
      <c r="P4" s="197"/>
      <c r="Q4" s="197"/>
      <c r="R4" s="197"/>
      <c r="S4" s="197"/>
      <c r="T4" s="197"/>
      <c r="U4" s="197"/>
      <c r="V4" s="197"/>
      <c r="W4" s="197"/>
      <c r="X4" s="197"/>
      <c r="Y4" s="197"/>
    </row>
    <row r="5" spans="1:25" ht="14.25" customHeight="1" x14ac:dyDescent="0.25">
      <c r="A5" s="704" t="s">
        <v>5</v>
      </c>
      <c r="B5" s="693"/>
      <c r="C5" s="705"/>
      <c r="D5" s="1" t="str">
        <f>MID(Info!F10,1,1)</f>
        <v/>
      </c>
      <c r="E5" s="1" t="str">
        <f>MID(Info!F10,2,1)</f>
        <v/>
      </c>
      <c r="F5" s="1" t="str">
        <f>MID(Info!F10,3,1)</f>
        <v/>
      </c>
      <c r="G5" s="1" t="str">
        <f>MID(Info!F10,4,1)</f>
        <v/>
      </c>
      <c r="H5" s="1" t="str">
        <f>MID(Info!F10,5,1)</f>
        <v/>
      </c>
      <c r="I5" s="1" t="str">
        <f>MID(Info!F10,6,1)</f>
        <v/>
      </c>
      <c r="J5" s="1" t="str">
        <f>MID(Info!F10,7,1)</f>
        <v/>
      </c>
      <c r="K5" s="200"/>
      <c r="L5" s="180"/>
      <c r="M5" s="180"/>
      <c r="N5" s="180"/>
      <c r="O5" s="180"/>
      <c r="P5" s="180"/>
      <c r="Q5" s="180"/>
      <c r="R5" s="180"/>
      <c r="S5" s="180"/>
      <c r="T5" s="180"/>
      <c r="U5" s="180"/>
      <c r="V5" s="180"/>
      <c r="W5" s="180"/>
      <c r="X5" s="180"/>
      <c r="Y5" s="180"/>
    </row>
    <row r="6" spans="1:25" ht="14.25" customHeight="1" x14ac:dyDescent="0.25">
      <c r="A6" s="180" t="s">
        <v>6</v>
      </c>
      <c r="B6" s="180" t="s">
        <v>16</v>
      </c>
      <c r="C6" s="180"/>
      <c r="D6" s="180"/>
      <c r="E6" s="180"/>
      <c r="F6" s="180"/>
      <c r="G6" s="180"/>
      <c r="H6" s="180"/>
      <c r="I6" s="180"/>
      <c r="J6" s="180"/>
      <c r="K6" s="180"/>
      <c r="L6" s="180"/>
      <c r="M6" s="180"/>
      <c r="N6" s="180"/>
      <c r="O6" s="180"/>
      <c r="P6" s="180"/>
      <c r="Q6" s="180"/>
      <c r="R6" s="180"/>
      <c r="S6" s="180"/>
      <c r="T6" s="180"/>
      <c r="U6" s="180"/>
      <c r="V6" s="180"/>
      <c r="W6" s="180"/>
      <c r="X6" s="180"/>
      <c r="Y6" s="180"/>
    </row>
    <row r="7" spans="1:25" ht="12.75" customHeight="1" x14ac:dyDescent="0.25">
      <c r="A7" s="706" t="s">
        <v>7</v>
      </c>
      <c r="B7" s="693"/>
      <c r="C7" s="693"/>
      <c r="D7" s="692" t="s">
        <v>17</v>
      </c>
      <c r="E7" s="693"/>
      <c r="F7" s="693"/>
      <c r="G7" s="693"/>
      <c r="H7" s="693"/>
      <c r="I7" s="693"/>
      <c r="J7" s="693"/>
      <c r="K7" s="693"/>
      <c r="L7" s="693"/>
      <c r="M7" s="180"/>
      <c r="N7" s="180"/>
      <c r="O7" s="180"/>
      <c r="P7" s="180"/>
      <c r="Q7" s="692" t="str">
        <f>A18</f>
        <v>"АЗЕЙ" ХХК</v>
      </c>
      <c r="R7" s="693"/>
      <c r="S7" s="693"/>
      <c r="T7" s="693"/>
      <c r="U7" s="693"/>
      <c r="V7" s="693"/>
      <c r="W7" s="693"/>
      <c r="X7" s="693"/>
      <c r="Y7" s="693"/>
    </row>
    <row r="8" spans="1:25" ht="12.75" customHeight="1" x14ac:dyDescent="0.25">
      <c r="A8" s="180" t="s">
        <v>8</v>
      </c>
      <c r="B8" s="180">
        <f>Info!F13</f>
        <v>88016263</v>
      </c>
      <c r="C8" s="180"/>
      <c r="D8" s="695"/>
      <c r="E8" s="693"/>
      <c r="F8" s="693"/>
      <c r="G8" s="693"/>
      <c r="H8" s="201"/>
      <c r="I8" s="180" t="s">
        <v>18</v>
      </c>
      <c r="J8" s="180"/>
      <c r="K8" s="180" t="s">
        <v>19</v>
      </c>
      <c r="L8" s="180"/>
      <c r="M8" s="180"/>
      <c r="N8" s="180"/>
      <c r="O8" s="180"/>
      <c r="P8" s="180"/>
      <c r="Q8" s="692" t="str">
        <f>+A19</f>
        <v>2022 оны 4-р улиралын санхүүгийн тайлан</v>
      </c>
      <c r="R8" s="693"/>
      <c r="S8" s="693"/>
      <c r="T8" s="693"/>
      <c r="U8" s="693"/>
      <c r="V8" s="693"/>
      <c r="W8" s="693"/>
      <c r="X8" s="693"/>
      <c r="Y8" s="693"/>
    </row>
    <row r="9" spans="1:25" ht="12.75" customHeight="1" x14ac:dyDescent="0.4">
      <c r="A9" s="202" t="s">
        <v>10</v>
      </c>
      <c r="B9" s="180"/>
      <c r="C9" s="180"/>
      <c r="D9" s="202" t="s">
        <v>11</v>
      </c>
      <c r="E9" s="180"/>
      <c r="F9" s="180"/>
      <c r="G9" s="203" t="s">
        <v>20</v>
      </c>
      <c r="H9" s="204"/>
      <c r="I9" s="180"/>
      <c r="J9" s="180"/>
      <c r="K9" s="202" t="s">
        <v>21</v>
      </c>
      <c r="L9" s="180"/>
      <c r="M9" s="180"/>
      <c r="N9" s="180"/>
      <c r="O9" s="180"/>
      <c r="P9" s="180"/>
      <c r="Q9" s="694" t="s">
        <v>22</v>
      </c>
      <c r="R9" s="693"/>
      <c r="S9" s="693"/>
      <c r="T9" s="693"/>
      <c r="U9" s="693"/>
      <c r="V9" s="693"/>
      <c r="W9" s="693"/>
      <c r="X9" s="693"/>
      <c r="Y9" s="693"/>
    </row>
    <row r="10" spans="1:25" ht="13.5" customHeight="1" x14ac:dyDescent="0.25">
      <c r="A10" s="180"/>
      <c r="B10" s="180"/>
      <c r="C10" s="180"/>
      <c r="D10" s="180"/>
      <c r="E10" s="180"/>
      <c r="F10" s="180"/>
      <c r="G10" s="180"/>
      <c r="H10" s="180"/>
      <c r="I10" s="180"/>
      <c r="J10" s="180"/>
      <c r="K10" s="180"/>
      <c r="L10" s="180"/>
      <c r="M10" s="180"/>
      <c r="N10" s="180"/>
      <c r="O10" s="180"/>
      <c r="P10" s="180"/>
      <c r="Q10" s="180"/>
      <c r="R10" s="180"/>
      <c r="S10" s="180"/>
      <c r="T10" s="180"/>
      <c r="U10" s="180"/>
      <c r="V10" s="180"/>
      <c r="W10" s="180"/>
      <c r="X10" s="180"/>
      <c r="Y10" s="180"/>
    </row>
    <row r="11" spans="1:25" ht="5.25" customHeight="1" x14ac:dyDescent="0.25">
      <c r="A11" s="180"/>
      <c r="B11" s="702" t="s">
        <v>23</v>
      </c>
      <c r="C11" s="696" t="s">
        <v>24</v>
      </c>
      <c r="D11" s="693"/>
      <c r="E11" s="693"/>
      <c r="F11" s="180"/>
      <c r="G11" s="180"/>
      <c r="H11" s="180"/>
      <c r="I11" s="180"/>
      <c r="J11" s="180"/>
      <c r="K11" s="180"/>
      <c r="L11" s="180"/>
      <c r="M11" s="180"/>
      <c r="N11" s="180"/>
      <c r="O11" s="180"/>
      <c r="P11" s="180"/>
      <c r="Q11" s="180"/>
      <c r="R11" s="180"/>
      <c r="S11" s="180"/>
      <c r="T11" s="180"/>
      <c r="U11" s="180"/>
      <c r="V11" s="180"/>
      <c r="W11" s="180"/>
      <c r="X11" s="180"/>
      <c r="Y11" s="180"/>
    </row>
    <row r="12" spans="1:25" ht="13.5" customHeight="1" x14ac:dyDescent="0.25">
      <c r="A12" s="180"/>
      <c r="B12" s="702"/>
      <c r="C12" s="693"/>
      <c r="D12" s="697"/>
      <c r="E12" s="693"/>
      <c r="F12" s="180"/>
      <c r="G12" s="180"/>
      <c r="H12" s="180"/>
      <c r="I12" s="180"/>
      <c r="J12" s="180"/>
      <c r="K12" s="180"/>
      <c r="L12" s="180"/>
      <c r="M12" s="180"/>
      <c r="N12" s="180"/>
      <c r="O12" s="180"/>
      <c r="P12" s="180"/>
      <c r="Q12" s="180"/>
      <c r="R12" s="180"/>
      <c r="S12" s="180"/>
      <c r="T12" s="699">
        <f>Info!F9</f>
        <v>44926</v>
      </c>
      <c r="U12" s="693"/>
      <c r="V12" s="693"/>
      <c r="W12" s="180"/>
      <c r="X12" s="180"/>
      <c r="Y12" s="180"/>
    </row>
    <row r="13" spans="1:25" ht="12.75" customHeight="1" x14ac:dyDescent="0.25">
      <c r="A13" s="180"/>
      <c r="B13" s="702"/>
      <c r="C13" s="693"/>
      <c r="D13" s="697"/>
      <c r="E13" s="693"/>
      <c r="F13" s="180"/>
      <c r="G13" s="180"/>
      <c r="H13" s="180"/>
      <c r="I13" s="180"/>
      <c r="J13" s="180"/>
      <c r="K13" s="180"/>
      <c r="L13" s="180"/>
      <c r="M13" s="180"/>
      <c r="N13" s="180"/>
      <c r="O13" s="180"/>
      <c r="P13" s="180"/>
      <c r="Q13" s="180"/>
      <c r="R13" s="180"/>
      <c r="S13" s="180"/>
      <c r="T13" s="180"/>
      <c r="U13" s="180"/>
      <c r="V13" s="180"/>
      <c r="W13" s="180"/>
      <c r="X13" s="180"/>
      <c r="Y13" s="180"/>
    </row>
    <row r="14" spans="1:25" ht="12.75" customHeight="1" x14ac:dyDescent="0.25">
      <c r="A14" s="180"/>
      <c r="B14" s="702"/>
      <c r="C14" s="693"/>
      <c r="D14" s="697"/>
      <c r="E14" s="693"/>
      <c r="F14" s="180"/>
      <c r="G14" s="180"/>
      <c r="H14" s="180"/>
      <c r="I14" s="180"/>
      <c r="J14" s="180"/>
      <c r="K14" s="180"/>
      <c r="L14" s="180"/>
      <c r="M14" s="180"/>
      <c r="N14" s="180"/>
      <c r="O14" s="180"/>
      <c r="P14" s="180"/>
      <c r="Q14" s="703" t="str">
        <f>"Захирал  "&amp;Info!F7&amp;" , ерөнхий нягтлан бодогч "&amp;Info!F8&amp;" бид манай аж ахуйн нэгжийн "&amp;Info!C9&amp;" ОНЫ "&amp;Info!E9&amp;" САРЫН "&amp;DAY(Info!F9)&amp;"-ны өдрөөр тасалбар болгон гаргасан санхүүгийн тайланд тайлант хугацааны үйл ажиллагааны үр дүн, санхүүгийн байдлыг ''Нягтлан бодох  бүртгэлийн тухай'' хуулийн 17.1 дэх заалтын дагуу үнэн зөв , бүрэн тусгасан болохыг баталж байна. Үүнд :"</f>
        <v>Захирал  Ш,Азура , ерөнхий нягтлан бодогч С.Одзаяа бид манай аж ахуйн нэгжийн 2022 ОНЫ 12 САРЫН 31-ны өдрөөр тасалбар болгон гаргасан санхүүгийн тайланд тайлант хугацааны үйл ажиллагааны үр дүн, санхүүгийн байдлыг ''Нягтлан бодох  бүртгэлийн тухай'' хуулийн 17.1 дэх заалтын дагуу үнэн зөв , бүрэн тусгасан болохыг баталж байна. Үүнд :</v>
      </c>
      <c r="R14" s="703"/>
      <c r="S14" s="703"/>
      <c r="T14" s="703"/>
      <c r="U14" s="703"/>
      <c r="V14" s="703"/>
      <c r="W14" s="703"/>
      <c r="X14" s="703"/>
      <c r="Y14" s="703"/>
    </row>
    <row r="15" spans="1:25" ht="12.75" customHeight="1" x14ac:dyDescent="0.25">
      <c r="A15" s="180"/>
      <c r="B15" s="702"/>
      <c r="C15" s="693"/>
      <c r="D15" s="693"/>
      <c r="E15" s="693"/>
      <c r="F15" s="180"/>
      <c r="G15" s="180"/>
      <c r="H15" s="180"/>
      <c r="I15" s="180"/>
      <c r="J15" s="180"/>
      <c r="K15" s="180"/>
      <c r="L15" s="180"/>
      <c r="M15" s="180"/>
      <c r="N15" s="180"/>
      <c r="O15" s="180"/>
      <c r="P15" s="180"/>
      <c r="Q15" s="703"/>
      <c r="R15" s="703"/>
      <c r="S15" s="703"/>
      <c r="T15" s="703"/>
      <c r="U15" s="703"/>
      <c r="V15" s="703"/>
      <c r="W15" s="703"/>
      <c r="X15" s="703"/>
      <c r="Y15" s="703"/>
    </row>
    <row r="16" spans="1:25" ht="12.75" customHeight="1" x14ac:dyDescent="0.25">
      <c r="A16" s="180"/>
      <c r="B16" s="180"/>
      <c r="C16" s="180"/>
      <c r="D16" s="180"/>
      <c r="E16" s="180"/>
      <c r="F16" s="180"/>
      <c r="G16" s="180"/>
      <c r="H16" s="180"/>
      <c r="I16" s="180"/>
      <c r="J16" s="180"/>
      <c r="K16" s="180"/>
      <c r="L16" s="180"/>
      <c r="M16" s="180"/>
      <c r="N16" s="180"/>
      <c r="O16" s="180"/>
      <c r="P16" s="180"/>
      <c r="Q16" s="703"/>
      <c r="R16" s="703"/>
      <c r="S16" s="703"/>
      <c r="T16" s="703"/>
      <c r="U16" s="703"/>
      <c r="V16" s="703"/>
      <c r="W16" s="703"/>
      <c r="X16" s="703"/>
      <c r="Y16" s="703"/>
    </row>
    <row r="17" spans="1:25" ht="12.75" customHeight="1" x14ac:dyDescent="0.25">
      <c r="A17" s="180"/>
      <c r="B17" s="180"/>
      <c r="C17" s="180"/>
      <c r="D17" s="180"/>
      <c r="E17" s="180"/>
      <c r="F17" s="180"/>
      <c r="G17" s="180"/>
      <c r="H17" s="180"/>
      <c r="I17" s="180"/>
      <c r="J17" s="180"/>
      <c r="K17" s="180"/>
      <c r="L17" s="180"/>
      <c r="M17" s="180"/>
      <c r="N17" s="180"/>
      <c r="O17" s="180"/>
      <c r="P17" s="180"/>
      <c r="Q17" s="703"/>
      <c r="R17" s="703"/>
      <c r="S17" s="703"/>
      <c r="T17" s="703"/>
      <c r="U17" s="703"/>
      <c r="V17" s="703"/>
      <c r="W17" s="703"/>
      <c r="X17" s="703"/>
      <c r="Y17" s="703"/>
    </row>
    <row r="18" spans="1:25" ht="18" customHeight="1" x14ac:dyDescent="0.3">
      <c r="A18" s="700" t="str">
        <f>Info!F6</f>
        <v>"АЗЕЙ" ХХК</v>
      </c>
      <c r="B18" s="693"/>
      <c r="C18" s="693"/>
      <c r="D18" s="693"/>
      <c r="E18" s="693"/>
      <c r="F18" s="693"/>
      <c r="G18" s="693"/>
      <c r="H18" s="693"/>
      <c r="I18" s="693"/>
      <c r="J18" s="693"/>
      <c r="K18" s="693"/>
      <c r="L18" s="693"/>
      <c r="M18" s="693"/>
      <c r="N18" s="693"/>
      <c r="O18" s="693"/>
      <c r="P18" s="693"/>
      <c r="Q18" s="703"/>
      <c r="R18" s="703"/>
      <c r="S18" s="703"/>
      <c r="T18" s="703"/>
      <c r="U18" s="703"/>
      <c r="V18" s="703"/>
      <c r="W18" s="703"/>
      <c r="X18" s="703"/>
      <c r="Y18" s="703"/>
    </row>
    <row r="19" spans="1:25" ht="20.399999999999999" x14ac:dyDescent="0.35">
      <c r="A19" s="701" t="str">
        <f>YEAR(Info!F9) &amp;" оны "&amp;Info!D9&amp;"-р улиралын санхүүгийн тайлан"</f>
        <v>2022 оны 4-р улиралын санхүүгийн тайлан</v>
      </c>
      <c r="B19" s="693"/>
      <c r="C19" s="693"/>
      <c r="D19" s="693"/>
      <c r="E19" s="693"/>
      <c r="F19" s="693"/>
      <c r="G19" s="693"/>
      <c r="H19" s="693"/>
      <c r="I19" s="693"/>
      <c r="J19" s="693"/>
      <c r="K19" s="693"/>
      <c r="L19" s="693"/>
      <c r="M19" s="693"/>
      <c r="N19" s="693"/>
      <c r="O19" s="693"/>
      <c r="P19" s="693"/>
      <c r="Q19" s="180">
        <v>1</v>
      </c>
      <c r="R19" s="180" t="s">
        <v>25</v>
      </c>
      <c r="S19" s="180"/>
      <c r="T19" s="180"/>
      <c r="U19" s="180"/>
      <c r="V19" s="180"/>
      <c r="W19" s="180"/>
      <c r="X19" s="180"/>
      <c r="Y19" s="180"/>
    </row>
    <row r="20" spans="1:25" ht="18.75" customHeight="1" x14ac:dyDescent="0.3">
      <c r="A20" s="180"/>
      <c r="B20" s="180"/>
      <c r="C20" s="180"/>
      <c r="D20" s="180"/>
      <c r="E20" s="700"/>
      <c r="F20" s="693"/>
      <c r="G20" s="693"/>
      <c r="H20" s="693"/>
      <c r="I20" s="693"/>
      <c r="J20" s="693"/>
      <c r="K20" s="693"/>
      <c r="L20" s="693"/>
      <c r="M20" s="693"/>
      <c r="N20" s="693"/>
      <c r="O20" s="180"/>
      <c r="P20" s="180"/>
      <c r="Q20" s="180"/>
      <c r="R20" s="180" t="s">
        <v>26</v>
      </c>
      <c r="S20" s="180"/>
      <c r="T20" s="180"/>
      <c r="U20" s="180"/>
      <c r="V20" s="180"/>
      <c r="W20" s="180"/>
      <c r="X20" s="180"/>
      <c r="Y20" s="180"/>
    </row>
    <row r="21" spans="1:25" ht="4.5" customHeight="1" x14ac:dyDescent="0.25">
      <c r="A21" s="180"/>
      <c r="B21" s="180"/>
      <c r="C21" s="180"/>
      <c r="D21" s="180"/>
      <c r="E21" s="180"/>
      <c r="F21" s="180"/>
      <c r="G21" s="180"/>
      <c r="H21" s="180"/>
      <c r="I21" s="180"/>
      <c r="J21" s="180"/>
      <c r="K21" s="180"/>
      <c r="L21" s="180"/>
      <c r="M21" s="180"/>
      <c r="N21" s="180"/>
      <c r="O21" s="180"/>
      <c r="P21" s="180"/>
      <c r="Q21" s="180"/>
      <c r="R21" s="180"/>
      <c r="S21" s="180"/>
      <c r="T21" s="180"/>
      <c r="U21" s="180"/>
      <c r="V21" s="180"/>
      <c r="W21" s="180"/>
      <c r="X21" s="180"/>
      <c r="Y21" s="180"/>
    </row>
    <row r="22" spans="1:25" ht="12.75" customHeight="1" x14ac:dyDescent="0.25">
      <c r="A22" s="180"/>
      <c r="B22" s="180"/>
      <c r="C22" s="180"/>
      <c r="D22" s="180"/>
      <c r="E22" s="180"/>
      <c r="F22" s="180"/>
      <c r="G22" s="180"/>
      <c r="H22" s="180"/>
      <c r="I22" s="180"/>
      <c r="J22" s="180"/>
      <c r="K22" s="180"/>
      <c r="L22" s="180"/>
      <c r="M22" s="180"/>
      <c r="N22" s="180"/>
      <c r="O22" s="180"/>
      <c r="P22" s="180"/>
      <c r="Q22" s="180">
        <v>2</v>
      </c>
      <c r="R22" s="180" t="s">
        <v>27</v>
      </c>
      <c r="S22" s="180"/>
      <c r="T22" s="180"/>
      <c r="U22" s="180"/>
      <c r="V22" s="180"/>
      <c r="W22" s="180"/>
      <c r="X22" s="180"/>
      <c r="Y22" s="180"/>
    </row>
    <row r="23" spans="1:25" ht="20.25" customHeight="1" x14ac:dyDescent="0.25">
      <c r="A23" s="180"/>
      <c r="B23" s="180"/>
      <c r="C23" s="180"/>
      <c r="D23" s="180"/>
      <c r="E23" s="180"/>
      <c r="F23" s="180"/>
      <c r="G23" s="180"/>
      <c r="H23" s="180"/>
      <c r="I23" s="180"/>
      <c r="J23" s="180"/>
      <c r="K23" s="180"/>
      <c r="L23" s="180"/>
      <c r="M23" s="180"/>
      <c r="N23" s="180"/>
      <c r="O23" s="180"/>
      <c r="P23" s="180"/>
      <c r="Q23" s="180"/>
      <c r="R23" s="180"/>
      <c r="S23" s="180"/>
      <c r="T23" s="180"/>
      <c r="U23" s="180"/>
      <c r="V23" s="180"/>
      <c r="W23" s="180"/>
      <c r="X23" s="180"/>
      <c r="Y23" s="180"/>
    </row>
    <row r="24" spans="1:25" ht="12.75" customHeight="1" x14ac:dyDescent="0.25">
      <c r="A24" s="180"/>
      <c r="B24" s="180"/>
      <c r="C24" s="180"/>
      <c r="D24" s="180"/>
      <c r="E24" s="180"/>
      <c r="F24" s="180"/>
      <c r="G24" s="180"/>
      <c r="H24" s="180"/>
      <c r="I24" s="180"/>
      <c r="J24" s="180"/>
      <c r="K24" s="180"/>
      <c r="L24" s="180"/>
      <c r="M24" s="180"/>
      <c r="N24" s="180"/>
      <c r="O24" s="180"/>
      <c r="P24" s="180"/>
      <c r="Q24" s="180">
        <v>3</v>
      </c>
      <c r="R24" s="180" t="s">
        <v>28</v>
      </c>
      <c r="S24" s="180"/>
      <c r="T24" s="180"/>
      <c r="U24" s="180"/>
      <c r="V24" s="180"/>
      <c r="W24" s="180"/>
      <c r="X24" s="180"/>
      <c r="Y24" s="180"/>
    </row>
    <row r="25" spans="1:25" ht="12.75" customHeight="1" x14ac:dyDescent="0.25">
      <c r="A25" s="180"/>
      <c r="B25" s="180"/>
      <c r="C25" s="180"/>
      <c r="D25" s="180"/>
      <c r="E25" s="180"/>
      <c r="F25" s="180"/>
      <c r="G25" s="180"/>
      <c r="H25" s="180"/>
      <c r="I25" s="180"/>
      <c r="J25" s="180"/>
      <c r="K25" s="180"/>
      <c r="L25" s="180"/>
      <c r="M25" s="180"/>
      <c r="N25" s="180"/>
      <c r="O25" s="180"/>
      <c r="P25" s="180"/>
      <c r="Q25" s="180"/>
      <c r="R25" s="180" t="s">
        <v>29</v>
      </c>
      <c r="S25" s="180"/>
      <c r="T25" s="180"/>
      <c r="U25" s="180"/>
      <c r="V25" s="180"/>
      <c r="W25" s="180"/>
      <c r="X25" s="180"/>
      <c r="Y25" s="180"/>
    </row>
    <row r="26" spans="1:25" ht="12.75" customHeight="1" x14ac:dyDescent="0.25">
      <c r="A26" s="180"/>
      <c r="B26" s="180"/>
      <c r="C26" s="180"/>
      <c r="D26" s="180"/>
      <c r="E26" s="180"/>
      <c r="F26" s="180"/>
      <c r="G26" s="180"/>
      <c r="H26" s="180"/>
      <c r="I26" s="180"/>
      <c r="J26" s="180"/>
      <c r="K26" s="180"/>
      <c r="L26" s="180"/>
      <c r="M26" s="180"/>
      <c r="N26" s="180"/>
      <c r="O26" s="180"/>
      <c r="P26" s="180"/>
      <c r="Q26" s="180"/>
      <c r="R26" s="180"/>
      <c r="S26" s="180"/>
      <c r="T26" s="180"/>
      <c r="U26" s="180"/>
      <c r="V26" s="180"/>
      <c r="W26" s="180"/>
      <c r="X26" s="180"/>
      <c r="Y26" s="180"/>
    </row>
    <row r="27" spans="1:25" ht="12.75" customHeight="1" x14ac:dyDescent="0.25">
      <c r="A27" s="180"/>
      <c r="B27" s="180"/>
      <c r="C27" s="180"/>
      <c r="D27" s="180"/>
      <c r="E27" s="180"/>
      <c r="F27" s="180"/>
      <c r="G27" s="180"/>
      <c r="H27" s="180"/>
      <c r="I27" s="180"/>
      <c r="J27" s="180"/>
      <c r="K27" s="180"/>
      <c r="L27" s="180"/>
      <c r="M27" s="180"/>
      <c r="N27" s="180"/>
      <c r="O27" s="180"/>
      <c r="P27" s="180"/>
      <c r="Q27" s="180">
        <v>4</v>
      </c>
      <c r="R27" s="180" t="s">
        <v>30</v>
      </c>
      <c r="S27" s="180"/>
      <c r="T27" s="180"/>
      <c r="U27" s="180"/>
      <c r="V27" s="180"/>
      <c r="W27" s="180"/>
      <c r="X27" s="180"/>
      <c r="Y27" s="180"/>
    </row>
    <row r="28" spans="1:25" ht="12.75" customHeight="1" x14ac:dyDescent="0.25">
      <c r="A28" s="180"/>
      <c r="B28" s="180"/>
      <c r="C28" s="180"/>
      <c r="D28" s="180"/>
      <c r="E28" s="180"/>
      <c r="F28" s="180"/>
      <c r="G28" s="180"/>
      <c r="H28" s="180"/>
      <c r="I28" s="180"/>
      <c r="J28" s="180"/>
      <c r="K28" s="180"/>
      <c r="L28" s="180"/>
      <c r="M28" s="180"/>
      <c r="N28" s="180"/>
      <c r="O28" s="180"/>
      <c r="P28" s="180"/>
      <c r="Q28" s="180"/>
      <c r="R28" s="180" t="s">
        <v>31</v>
      </c>
      <c r="S28" s="180"/>
      <c r="T28" s="180"/>
      <c r="U28" s="180"/>
      <c r="V28" s="180"/>
      <c r="W28" s="180"/>
      <c r="X28" s="180"/>
      <c r="Y28" s="180"/>
    </row>
    <row r="29" spans="1:25" ht="12.75" customHeight="1" x14ac:dyDescent="0.25">
      <c r="A29" s="180"/>
      <c r="B29" s="180"/>
      <c r="C29" s="180"/>
      <c r="D29" s="180"/>
      <c r="E29" s="180"/>
      <c r="F29" s="180"/>
      <c r="G29" s="180"/>
      <c r="H29" s="180"/>
      <c r="I29" s="180"/>
      <c r="J29" s="180"/>
      <c r="K29" s="180"/>
      <c r="L29" s="180"/>
      <c r="M29" s="180"/>
      <c r="N29" s="180"/>
      <c r="O29" s="180"/>
      <c r="P29" s="180"/>
      <c r="Q29" s="180"/>
      <c r="R29" s="180"/>
      <c r="S29" s="180"/>
      <c r="T29" s="180"/>
      <c r="U29" s="180"/>
      <c r="V29" s="180"/>
      <c r="W29" s="180"/>
      <c r="X29" s="180"/>
      <c r="Y29" s="180"/>
    </row>
    <row r="30" spans="1:25" ht="12.75" customHeight="1" x14ac:dyDescent="0.25">
      <c r="A30" s="180"/>
      <c r="B30" s="180"/>
      <c r="C30" s="180"/>
      <c r="D30" s="180"/>
      <c r="E30" s="180"/>
      <c r="F30" s="180"/>
      <c r="G30" s="180"/>
      <c r="H30" s="180"/>
      <c r="I30" s="180"/>
      <c r="J30" s="180"/>
      <c r="K30" s="180"/>
      <c r="L30" s="180"/>
      <c r="M30" s="180"/>
      <c r="N30" s="180"/>
      <c r="O30" s="180"/>
      <c r="P30" s="180"/>
      <c r="Q30" s="180">
        <v>5</v>
      </c>
      <c r="R30" s="180" t="s">
        <v>32</v>
      </c>
      <c r="S30" s="180"/>
      <c r="T30" s="180"/>
      <c r="U30" s="180"/>
      <c r="V30" s="180"/>
      <c r="W30" s="180"/>
      <c r="X30" s="180"/>
      <c r="Y30" s="180"/>
    </row>
    <row r="31" spans="1:25" ht="12.75" customHeight="1" x14ac:dyDescent="0.25">
      <c r="A31" s="180"/>
      <c r="B31" s="180"/>
      <c r="C31" s="180"/>
      <c r="D31" s="180"/>
      <c r="E31" s="180"/>
      <c r="F31" s="180"/>
      <c r="G31" s="180"/>
      <c r="H31" s="180"/>
      <c r="I31" s="180"/>
      <c r="J31" s="180"/>
      <c r="K31" s="180"/>
      <c r="L31" s="180"/>
      <c r="M31" s="180"/>
      <c r="N31" s="180"/>
      <c r="O31" s="180"/>
      <c r="P31" s="180"/>
      <c r="Q31" s="180"/>
      <c r="R31" s="180" t="s">
        <v>33</v>
      </c>
      <c r="S31" s="180"/>
      <c r="T31" s="180"/>
      <c r="U31" s="180"/>
      <c r="V31" s="180"/>
      <c r="W31" s="180"/>
      <c r="X31" s="180"/>
      <c r="Y31" s="180"/>
    </row>
    <row r="32" spans="1:25" ht="12.75" customHeight="1" x14ac:dyDescent="0.25">
      <c r="A32" s="180"/>
      <c r="B32" s="180"/>
      <c r="C32" s="180"/>
      <c r="D32" s="180"/>
      <c r="E32" s="180"/>
      <c r="F32" s="180"/>
      <c r="G32" s="180"/>
      <c r="H32" s="180"/>
      <c r="I32" s="180"/>
      <c r="J32" s="180"/>
      <c r="K32" s="180"/>
      <c r="L32" s="180"/>
      <c r="M32" s="180"/>
      <c r="N32" s="180"/>
      <c r="O32" s="180"/>
      <c r="P32" s="180"/>
      <c r="Q32" s="180"/>
      <c r="R32" s="180"/>
      <c r="S32" s="180"/>
      <c r="T32" s="180"/>
      <c r="U32" s="180"/>
      <c r="V32" s="180"/>
      <c r="W32" s="180"/>
      <c r="X32" s="180"/>
      <c r="Y32" s="180"/>
    </row>
    <row r="33" spans="1:25" ht="12.75" customHeight="1" x14ac:dyDescent="0.25">
      <c r="A33" s="180"/>
      <c r="B33" s="180"/>
      <c r="C33" s="180"/>
      <c r="D33" s="180"/>
      <c r="E33" s="180"/>
      <c r="F33" s="180"/>
      <c r="G33" s="180"/>
      <c r="H33" s="180"/>
      <c r="I33" s="180"/>
      <c r="J33" s="180"/>
      <c r="K33" s="180"/>
      <c r="L33" s="180"/>
      <c r="M33" s="180"/>
      <c r="N33" s="180"/>
      <c r="O33" s="180"/>
      <c r="P33" s="180"/>
      <c r="Q33" s="180">
        <v>6</v>
      </c>
      <c r="R33" s="180" t="s">
        <v>34</v>
      </c>
      <c r="S33" s="180"/>
      <c r="T33" s="180"/>
      <c r="U33" s="180"/>
      <c r="V33" s="180"/>
      <c r="W33" s="180"/>
      <c r="X33" s="180"/>
      <c r="Y33" s="180"/>
    </row>
    <row r="34" spans="1:25" ht="12.75" customHeight="1" x14ac:dyDescent="0.25">
      <c r="A34" s="180"/>
      <c r="B34" s="180"/>
      <c r="C34" s="180"/>
      <c r="D34" s="180"/>
      <c r="E34" s="180"/>
      <c r="F34" s="180"/>
      <c r="G34" s="180"/>
      <c r="H34" s="180"/>
      <c r="I34" s="180"/>
      <c r="J34" s="180"/>
      <c r="K34" s="180"/>
      <c r="L34" s="180"/>
      <c r="M34" s="180"/>
      <c r="N34" s="180"/>
      <c r="O34" s="180"/>
      <c r="P34" s="180"/>
      <c r="Q34" s="180"/>
      <c r="R34" s="180" t="s">
        <v>35</v>
      </c>
      <c r="S34" s="180"/>
      <c r="T34" s="180"/>
      <c r="U34" s="180"/>
      <c r="V34" s="180"/>
      <c r="W34" s="180"/>
      <c r="X34" s="180"/>
      <c r="Y34" s="180"/>
    </row>
    <row r="35" spans="1:25" ht="12.75" customHeight="1" x14ac:dyDescent="0.25">
      <c r="A35" s="180"/>
      <c r="B35" s="180"/>
      <c r="C35" s="180"/>
      <c r="D35" s="180"/>
      <c r="E35" s="180"/>
      <c r="F35" s="180"/>
      <c r="G35" s="180"/>
      <c r="H35" s="180"/>
      <c r="I35" s="180"/>
      <c r="J35" s="180"/>
      <c r="K35" s="180"/>
      <c r="L35" s="180"/>
      <c r="M35" s="180"/>
      <c r="N35" s="180"/>
      <c r="O35" s="180"/>
      <c r="P35" s="180"/>
      <c r="Q35" s="180"/>
      <c r="R35" s="180"/>
      <c r="S35" s="180"/>
      <c r="T35" s="180"/>
      <c r="U35" s="180"/>
      <c r="V35" s="180"/>
      <c r="W35" s="180"/>
      <c r="X35" s="180"/>
      <c r="Y35" s="180"/>
    </row>
    <row r="36" spans="1:25" ht="12.75" customHeight="1" x14ac:dyDescent="0.25">
      <c r="A36" s="180"/>
      <c r="B36" s="180"/>
      <c r="C36" s="180"/>
      <c r="D36" s="180"/>
      <c r="E36" s="180"/>
      <c r="F36" s="180"/>
      <c r="G36" s="180"/>
      <c r="H36" s="180"/>
      <c r="I36" s="180"/>
      <c r="J36" s="180"/>
      <c r="K36" s="180"/>
      <c r="L36" s="180"/>
      <c r="M36" s="180"/>
      <c r="N36" s="180"/>
      <c r="O36" s="180"/>
      <c r="P36" s="180"/>
      <c r="Q36" s="180"/>
      <c r="R36" s="180"/>
      <c r="S36" s="180"/>
      <c r="T36" s="180"/>
      <c r="U36" s="180"/>
      <c r="V36" s="180"/>
      <c r="W36" s="180"/>
      <c r="X36" s="180"/>
      <c r="Y36" s="180"/>
    </row>
    <row r="37" spans="1:25" ht="12.75" customHeight="1" x14ac:dyDescent="0.25">
      <c r="A37" s="180"/>
      <c r="B37" s="698" t="s">
        <v>36</v>
      </c>
      <c r="C37" s="690"/>
      <c r="D37" s="690"/>
      <c r="E37" s="690"/>
      <c r="F37" s="690"/>
      <c r="G37" s="690"/>
      <c r="H37" s="690"/>
      <c r="I37" s="690"/>
      <c r="J37" s="690"/>
      <c r="K37" s="691"/>
      <c r="L37" s="698" t="s">
        <v>37</v>
      </c>
      <c r="M37" s="691"/>
      <c r="N37" s="698" t="s">
        <v>38</v>
      </c>
      <c r="O37" s="690"/>
      <c r="P37" s="691"/>
      <c r="Q37" s="180"/>
      <c r="R37" s="180"/>
      <c r="S37" s="180"/>
      <c r="T37" s="180"/>
      <c r="U37" s="180"/>
      <c r="V37" s="180"/>
      <c r="W37" s="180"/>
      <c r="X37" s="180"/>
      <c r="Y37" s="180"/>
    </row>
    <row r="38" spans="1:25" ht="12.75" customHeight="1" x14ac:dyDescent="0.25">
      <c r="A38" s="180"/>
      <c r="B38" s="689"/>
      <c r="C38" s="690"/>
      <c r="D38" s="690"/>
      <c r="E38" s="690"/>
      <c r="F38" s="690"/>
      <c r="G38" s="690"/>
      <c r="H38" s="690"/>
      <c r="I38" s="690"/>
      <c r="J38" s="690"/>
      <c r="K38" s="691"/>
      <c r="L38" s="689"/>
      <c r="M38" s="691"/>
      <c r="N38" s="689"/>
      <c r="O38" s="690"/>
      <c r="P38" s="691"/>
      <c r="Q38" s="180"/>
      <c r="R38" s="180"/>
      <c r="S38" s="180"/>
      <c r="T38" s="180"/>
      <c r="U38" s="180"/>
      <c r="V38" s="180"/>
      <c r="W38" s="180"/>
      <c r="X38" s="180"/>
      <c r="Y38" s="180"/>
    </row>
    <row r="39" spans="1:25" ht="12.75" customHeight="1" x14ac:dyDescent="0.25">
      <c r="A39" s="180"/>
      <c r="B39" s="689"/>
      <c r="C39" s="690"/>
      <c r="D39" s="690"/>
      <c r="E39" s="690"/>
      <c r="F39" s="690"/>
      <c r="G39" s="690"/>
      <c r="H39" s="690"/>
      <c r="I39" s="690"/>
      <c r="J39" s="690"/>
      <c r="K39" s="691"/>
      <c r="L39" s="689"/>
      <c r="M39" s="691"/>
      <c r="N39" s="689"/>
      <c r="O39" s="690"/>
      <c r="P39" s="691"/>
      <c r="Q39" s="180"/>
      <c r="R39" s="180"/>
      <c r="S39" s="180" t="s">
        <v>39</v>
      </c>
      <c r="U39" s="180"/>
      <c r="V39" s="180"/>
      <c r="W39" s="180" t="str">
        <f>Info!F7</f>
        <v>Ш,Азура</v>
      </c>
      <c r="X39" s="180"/>
      <c r="Y39" s="180"/>
    </row>
    <row r="40" spans="1:25" ht="12.75" customHeight="1" x14ac:dyDescent="0.25">
      <c r="A40" s="180"/>
      <c r="B40" s="689"/>
      <c r="C40" s="690"/>
      <c r="D40" s="690"/>
      <c r="E40" s="690"/>
      <c r="F40" s="690"/>
      <c r="G40" s="690"/>
      <c r="H40" s="690"/>
      <c r="I40" s="690"/>
      <c r="J40" s="690"/>
      <c r="K40" s="691"/>
      <c r="L40" s="689"/>
      <c r="M40" s="691"/>
      <c r="N40" s="689"/>
      <c r="O40" s="690"/>
      <c r="P40" s="691"/>
      <c r="Q40" s="180"/>
      <c r="R40" s="180"/>
      <c r="S40" s="180"/>
      <c r="T40" s="180"/>
      <c r="U40" s="180"/>
      <c r="V40" s="180"/>
      <c r="W40" s="180"/>
      <c r="X40" s="180"/>
      <c r="Y40" s="180"/>
    </row>
    <row r="41" spans="1:25" ht="13.8" x14ac:dyDescent="0.25">
      <c r="A41" s="180"/>
      <c r="B41" s="689"/>
      <c r="C41" s="690"/>
      <c r="D41" s="690"/>
      <c r="E41" s="690"/>
      <c r="F41" s="690"/>
      <c r="G41" s="690"/>
      <c r="H41" s="690"/>
      <c r="I41" s="690"/>
      <c r="J41" s="690"/>
      <c r="K41" s="691"/>
      <c r="L41" s="689"/>
      <c r="M41" s="691"/>
      <c r="N41" s="689"/>
      <c r="O41" s="690"/>
      <c r="P41" s="691"/>
      <c r="Q41" s="180"/>
      <c r="R41" s="180"/>
      <c r="S41" s="180" t="s">
        <v>3</v>
      </c>
      <c r="T41" s="180"/>
      <c r="V41" s="180"/>
      <c r="W41" s="180" t="str">
        <f>Info!F8</f>
        <v>С.Одзаяа</v>
      </c>
      <c r="X41" s="180"/>
      <c r="Y41" s="180"/>
    </row>
    <row r="42" spans="1:25" ht="12.75" customHeight="1" x14ac:dyDescent="0.25">
      <c r="A42" s="180"/>
      <c r="B42" s="689"/>
      <c r="C42" s="690"/>
      <c r="D42" s="690"/>
      <c r="E42" s="690"/>
      <c r="F42" s="690"/>
      <c r="G42" s="690"/>
      <c r="H42" s="690"/>
      <c r="I42" s="690"/>
      <c r="J42" s="690"/>
      <c r="K42" s="691"/>
      <c r="L42" s="689"/>
      <c r="M42" s="691"/>
      <c r="N42" s="689"/>
      <c r="O42" s="690"/>
      <c r="P42" s="691"/>
      <c r="Q42" s="180"/>
      <c r="R42" s="180"/>
      <c r="S42" s="180"/>
      <c r="T42" s="180"/>
      <c r="U42" s="180"/>
      <c r="V42" s="180"/>
      <c r="W42" s="180"/>
      <c r="X42" s="180"/>
      <c r="Y42" s="180"/>
    </row>
    <row r="43" spans="1:25" ht="12.75" customHeight="1" x14ac:dyDescent="0.25">
      <c r="A43" s="180"/>
      <c r="B43" s="689"/>
      <c r="C43" s="690"/>
      <c r="D43" s="690"/>
      <c r="E43" s="690"/>
      <c r="F43" s="690"/>
      <c r="G43" s="690"/>
      <c r="H43" s="690"/>
      <c r="I43" s="690"/>
      <c r="J43" s="690"/>
      <c r="K43" s="691"/>
      <c r="L43" s="689"/>
      <c r="M43" s="691"/>
      <c r="N43" s="689"/>
      <c r="O43" s="690"/>
      <c r="P43" s="691"/>
      <c r="Q43" s="180"/>
      <c r="R43" s="180"/>
      <c r="S43" s="180"/>
      <c r="T43" s="180"/>
      <c r="U43" s="180"/>
      <c r="V43" s="180"/>
      <c r="W43" s="180"/>
      <c r="X43" s="180"/>
      <c r="Y43" s="180"/>
    </row>
    <row r="44" spans="1:25" ht="12.75" customHeight="1" x14ac:dyDescent="0.25">
      <c r="A44" s="180"/>
      <c r="B44" s="180"/>
      <c r="C44" s="180"/>
      <c r="D44" s="180"/>
      <c r="E44" s="180"/>
      <c r="F44" s="180"/>
      <c r="G44" s="180"/>
      <c r="H44" s="180"/>
      <c r="I44" s="180"/>
      <c r="J44" s="180"/>
      <c r="K44" s="180"/>
      <c r="L44" s="180"/>
      <c r="M44" s="180"/>
      <c r="N44" s="180"/>
      <c r="O44" s="180"/>
      <c r="P44" s="180"/>
      <c r="Q44" s="180"/>
      <c r="R44" s="180"/>
      <c r="S44" s="180"/>
      <c r="T44" s="180"/>
      <c r="U44" s="180"/>
      <c r="V44" s="180"/>
      <c r="W44" s="180"/>
      <c r="X44" s="180"/>
      <c r="Y44" s="180"/>
    </row>
  </sheetData>
  <mergeCells count="36">
    <mergeCell ref="A5:C5"/>
    <mergeCell ref="A7:C7"/>
    <mergeCell ref="D7:L7"/>
    <mergeCell ref="Q7:Y7"/>
    <mergeCell ref="M1:P2"/>
    <mergeCell ref="Q8:Y8"/>
    <mergeCell ref="Q9:Y9"/>
    <mergeCell ref="D8:G8"/>
    <mergeCell ref="C11:E15"/>
    <mergeCell ref="B37:K37"/>
    <mergeCell ref="L37:M37"/>
    <mergeCell ref="N37:P37"/>
    <mergeCell ref="T12:V12"/>
    <mergeCell ref="A18:P18"/>
    <mergeCell ref="A19:P19"/>
    <mergeCell ref="E20:N20"/>
    <mergeCell ref="B11:B15"/>
    <mergeCell ref="Q14:Y18"/>
    <mergeCell ref="L38:M38"/>
    <mergeCell ref="N38:P38"/>
    <mergeCell ref="B38:K38"/>
    <mergeCell ref="B39:K39"/>
    <mergeCell ref="L39:M39"/>
    <mergeCell ref="N39:P39"/>
    <mergeCell ref="B40:K40"/>
    <mergeCell ref="L40:M40"/>
    <mergeCell ref="N40:P40"/>
    <mergeCell ref="L43:M43"/>
    <mergeCell ref="N43:P43"/>
    <mergeCell ref="B41:K41"/>
    <mergeCell ref="L41:M41"/>
    <mergeCell ref="N41:P41"/>
    <mergeCell ref="B42:K42"/>
    <mergeCell ref="L42:M42"/>
    <mergeCell ref="N42:P42"/>
    <mergeCell ref="B43:K43"/>
  </mergeCells>
  <pageMargins left="0.7" right="0.7" top="0.75" bottom="0.75" header="0" footer="0"/>
  <pageSetup paperSize="9"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H2248"/>
  <sheetViews>
    <sheetView tabSelected="1" view="pageBreakPreview" zoomScaleNormal="100" zoomScaleSheetLayoutView="100" workbookViewId="0">
      <pane ySplit="5" topLeftCell="A6" activePane="bottomLeft" state="frozen"/>
      <selection pane="bottomLeft" activeCell="D16" sqref="D16"/>
    </sheetView>
  </sheetViews>
  <sheetFormatPr defaultColWidth="12.6640625" defaultRowHeight="15" customHeight="1" x14ac:dyDescent="0.25"/>
  <cols>
    <col min="1" max="1" width="5.109375" style="630" customWidth="1"/>
    <col min="2" max="2" width="10.44140625" style="640" customWidth="1"/>
    <col min="3" max="3" width="15.33203125" style="630" bestFit="1" customWidth="1"/>
    <col min="4" max="4" width="41.5546875" style="630" customWidth="1"/>
    <col min="5" max="5" width="18" style="642" bestFit="1" customWidth="1"/>
    <col min="6" max="7" width="6.44140625" style="680" customWidth="1"/>
    <col min="8" max="8" width="39" style="638" bestFit="1" customWidth="1"/>
    <col min="9" max="16384" width="12.6640625" style="630"/>
  </cols>
  <sheetData>
    <row r="1" spans="1:8" ht="12.75" customHeight="1" x14ac:dyDescent="0.25">
      <c r="A1" s="668" t="str">
        <f>Info!F6</f>
        <v>"АЗЕЙ" ХХК</v>
      </c>
      <c r="B1" s="669"/>
      <c r="C1" s="668"/>
      <c r="D1" s="668"/>
      <c r="E1" s="636"/>
      <c r="F1" s="639"/>
      <c r="G1" s="637"/>
    </row>
    <row r="2" spans="1:8" ht="12.75" customHeight="1" x14ac:dyDescent="0.25">
      <c r="A2" s="638"/>
      <c r="C2" s="641"/>
      <c r="D2" s="670" t="s">
        <v>40</v>
      </c>
      <c r="E2" s="636"/>
      <c r="F2" s="670"/>
      <c r="G2" s="637"/>
    </row>
    <row r="3" spans="1:8" ht="12.6" customHeight="1" x14ac:dyDescent="0.25">
      <c r="A3" s="639"/>
      <c r="C3" s="641"/>
      <c r="E3" s="671"/>
      <c r="F3" s="711" t="s">
        <v>41</v>
      </c>
      <c r="G3" s="712"/>
      <c r="H3" s="672">
        <f ca="1">TODAY()</f>
        <v>45617</v>
      </c>
    </row>
    <row r="4" spans="1:8" ht="12" x14ac:dyDescent="0.25">
      <c r="A4" s="707" t="s">
        <v>42</v>
      </c>
      <c r="B4" s="708" t="s">
        <v>43</v>
      </c>
      <c r="C4" s="707" t="s">
        <v>672</v>
      </c>
      <c r="D4" s="707" t="s">
        <v>992</v>
      </c>
      <c r="E4" s="710" t="s">
        <v>993</v>
      </c>
      <c r="F4" s="709" t="s">
        <v>45</v>
      </c>
      <c r="G4" s="709" t="s">
        <v>46</v>
      </c>
      <c r="H4" s="707" t="s">
        <v>47</v>
      </c>
    </row>
    <row r="5" spans="1:8" ht="12" x14ac:dyDescent="0.25">
      <c r="A5" s="707"/>
      <c r="B5" s="708"/>
      <c r="C5" s="707"/>
      <c r="D5" s="707"/>
      <c r="E5" s="710"/>
      <c r="F5" s="709"/>
      <c r="G5" s="709"/>
      <c r="H5" s="707"/>
    </row>
    <row r="6" spans="1:8" ht="12.75" customHeight="1" x14ac:dyDescent="0.25">
      <c r="A6" s="654">
        <f>ROW()-5</f>
        <v>1</v>
      </c>
      <c r="B6" s="650">
        <v>45291</v>
      </c>
      <c r="C6" s="650"/>
      <c r="D6" s="647" t="s">
        <v>1014</v>
      </c>
      <c r="E6" s="655">
        <v>5000000</v>
      </c>
      <c r="F6" s="681">
        <v>1101</v>
      </c>
      <c r="G6" s="681">
        <v>5000</v>
      </c>
      <c r="H6" s="656" t="s">
        <v>324</v>
      </c>
    </row>
    <row r="7" spans="1:8" ht="12.75" customHeight="1" x14ac:dyDescent="0.25">
      <c r="A7" s="654">
        <f t="shared" ref="A7:A68" si="0">ROW()-5</f>
        <v>2</v>
      </c>
      <c r="B7" s="650">
        <v>45291</v>
      </c>
      <c r="C7" s="650"/>
      <c r="D7" s="647" t="s">
        <v>1015</v>
      </c>
      <c r="E7" s="655">
        <v>500000</v>
      </c>
      <c r="F7" s="681">
        <v>1101</v>
      </c>
      <c r="G7" s="681">
        <v>3105</v>
      </c>
      <c r="H7" s="656" t="s">
        <v>48</v>
      </c>
    </row>
    <row r="8" spans="1:8" ht="12.75" customHeight="1" x14ac:dyDescent="0.25">
      <c r="A8" s="654">
        <f t="shared" si="0"/>
        <v>3</v>
      </c>
      <c r="B8" s="650">
        <v>45291</v>
      </c>
      <c r="C8" s="650"/>
      <c r="D8" s="647" t="s">
        <v>1016</v>
      </c>
      <c r="E8" s="655">
        <v>60000</v>
      </c>
      <c r="F8" s="681">
        <v>1101</v>
      </c>
      <c r="G8" s="681">
        <v>5200</v>
      </c>
      <c r="H8" s="656" t="s">
        <v>342</v>
      </c>
    </row>
    <row r="9" spans="1:8" ht="12.75" customHeight="1" x14ac:dyDescent="0.25">
      <c r="A9" s="654">
        <f t="shared" si="0"/>
        <v>4</v>
      </c>
      <c r="B9" s="650">
        <v>45600</v>
      </c>
      <c r="C9" s="650"/>
      <c r="D9" s="647" t="s">
        <v>1014</v>
      </c>
      <c r="E9" s="655">
        <v>1000000</v>
      </c>
      <c r="F9" s="681">
        <v>1101</v>
      </c>
      <c r="G9" s="681">
        <v>5100</v>
      </c>
      <c r="H9" s="656" t="s">
        <v>48</v>
      </c>
    </row>
    <row r="10" spans="1:8" ht="12.75" customHeight="1" x14ac:dyDescent="0.25">
      <c r="A10" s="654">
        <f t="shared" si="0"/>
        <v>5</v>
      </c>
      <c r="B10" s="650"/>
      <c r="C10" s="647"/>
      <c r="D10" s="647"/>
      <c r="E10" s="655"/>
      <c r="F10" s="681"/>
      <c r="G10" s="681"/>
      <c r="H10" s="656"/>
    </row>
    <row r="11" spans="1:8" ht="12.75" customHeight="1" x14ac:dyDescent="0.25">
      <c r="A11" s="654">
        <f t="shared" si="0"/>
        <v>6</v>
      </c>
      <c r="B11" s="650"/>
      <c r="C11" s="650"/>
      <c r="D11" s="647"/>
      <c r="E11" s="655"/>
      <c r="F11" s="681"/>
      <c r="G11" s="681"/>
      <c r="H11" s="656"/>
    </row>
    <row r="12" spans="1:8" ht="12.75" customHeight="1" x14ac:dyDescent="0.25">
      <c r="A12" s="654">
        <f t="shared" si="0"/>
        <v>7</v>
      </c>
      <c r="B12" s="650"/>
      <c r="C12" s="650"/>
      <c r="D12" s="647"/>
      <c r="E12" s="655"/>
      <c r="F12" s="681"/>
      <c r="G12" s="681"/>
      <c r="H12" s="656"/>
    </row>
    <row r="13" spans="1:8" ht="12.75" customHeight="1" x14ac:dyDescent="0.25">
      <c r="A13" s="654">
        <f t="shared" si="0"/>
        <v>8</v>
      </c>
      <c r="B13" s="650"/>
      <c r="C13" s="650"/>
      <c r="D13" s="647"/>
      <c r="E13" s="655"/>
      <c r="F13" s="681"/>
      <c r="G13" s="681"/>
      <c r="H13" s="656"/>
    </row>
    <row r="14" spans="1:8" ht="12.75" customHeight="1" x14ac:dyDescent="0.25">
      <c r="A14" s="654">
        <f t="shared" si="0"/>
        <v>9</v>
      </c>
      <c r="B14" s="650"/>
      <c r="C14" s="650"/>
      <c r="D14" s="647"/>
      <c r="E14" s="655"/>
      <c r="F14" s="681"/>
      <c r="G14" s="681"/>
      <c r="H14" s="656"/>
    </row>
    <row r="15" spans="1:8" ht="12.75" customHeight="1" x14ac:dyDescent="0.25">
      <c r="A15" s="654">
        <f t="shared" si="0"/>
        <v>10</v>
      </c>
      <c r="B15" s="650"/>
      <c r="C15" s="650"/>
      <c r="D15" s="650"/>
      <c r="E15" s="655"/>
      <c r="F15" s="681"/>
      <c r="G15" s="681"/>
      <c r="H15" s="656"/>
    </row>
    <row r="16" spans="1:8" ht="12.75" customHeight="1" x14ac:dyDescent="0.25">
      <c r="A16" s="654">
        <f t="shared" si="0"/>
        <v>11</v>
      </c>
      <c r="B16" s="650"/>
      <c r="C16" s="650"/>
      <c r="D16" s="647"/>
      <c r="E16" s="655"/>
      <c r="F16" s="681"/>
      <c r="G16" s="681"/>
      <c r="H16" s="656"/>
    </row>
    <row r="17" spans="1:8" ht="12.75" customHeight="1" x14ac:dyDescent="0.25">
      <c r="A17" s="654">
        <f t="shared" si="0"/>
        <v>12</v>
      </c>
      <c r="B17" s="650"/>
      <c r="C17" s="650"/>
      <c r="D17" s="647"/>
      <c r="E17" s="655"/>
      <c r="F17" s="681"/>
      <c r="G17" s="681"/>
      <c r="H17" s="656"/>
    </row>
    <row r="18" spans="1:8" ht="12.75" customHeight="1" x14ac:dyDescent="0.25">
      <c r="A18" s="654">
        <f t="shared" si="0"/>
        <v>13</v>
      </c>
      <c r="B18" s="650"/>
      <c r="C18" s="650"/>
      <c r="D18" s="647"/>
      <c r="E18" s="655"/>
      <c r="F18" s="681"/>
      <c r="G18" s="681"/>
      <c r="H18" s="656"/>
    </row>
    <row r="19" spans="1:8" ht="12.75" customHeight="1" x14ac:dyDescent="0.25">
      <c r="A19" s="654">
        <f t="shared" si="0"/>
        <v>14</v>
      </c>
      <c r="B19" s="650"/>
      <c r="C19" s="650"/>
      <c r="D19" s="647"/>
      <c r="E19" s="655"/>
      <c r="F19" s="681"/>
      <c r="G19" s="681"/>
      <c r="H19" s="656"/>
    </row>
    <row r="20" spans="1:8" ht="12.75" customHeight="1" x14ac:dyDescent="0.25">
      <c r="A20" s="654">
        <f t="shared" si="0"/>
        <v>15</v>
      </c>
      <c r="B20" s="650"/>
      <c r="C20" s="650"/>
      <c r="D20" s="647"/>
      <c r="E20" s="655"/>
      <c r="F20" s="681"/>
      <c r="G20" s="681"/>
      <c r="H20" s="656"/>
    </row>
    <row r="21" spans="1:8" ht="12.75" customHeight="1" x14ac:dyDescent="0.25">
      <c r="A21" s="654">
        <f t="shared" si="0"/>
        <v>16</v>
      </c>
      <c r="B21" s="650"/>
      <c r="C21" s="650"/>
      <c r="D21" s="647"/>
      <c r="E21" s="655"/>
      <c r="F21" s="681"/>
      <c r="G21" s="681"/>
      <c r="H21" s="656"/>
    </row>
    <row r="22" spans="1:8" ht="12.75" customHeight="1" x14ac:dyDescent="0.25">
      <c r="A22" s="654">
        <f t="shared" si="0"/>
        <v>17</v>
      </c>
      <c r="B22" s="673"/>
      <c r="C22" s="674"/>
      <c r="D22" s="674"/>
      <c r="E22" s="655"/>
      <c r="F22" s="681"/>
      <c r="G22" s="681"/>
      <c r="H22" s="656"/>
    </row>
    <row r="23" spans="1:8" ht="12.75" customHeight="1" x14ac:dyDescent="0.25">
      <c r="A23" s="654">
        <f t="shared" si="0"/>
        <v>18</v>
      </c>
      <c r="B23" s="673"/>
      <c r="C23" s="674"/>
      <c r="D23" s="674"/>
      <c r="E23" s="655"/>
      <c r="F23" s="681"/>
      <c r="G23" s="681"/>
      <c r="H23" s="656"/>
    </row>
    <row r="24" spans="1:8" ht="12.75" customHeight="1" x14ac:dyDescent="0.25">
      <c r="A24" s="654">
        <f t="shared" si="0"/>
        <v>19</v>
      </c>
      <c r="B24" s="673"/>
      <c r="C24" s="674"/>
      <c r="D24" s="674"/>
      <c r="E24" s="655"/>
      <c r="F24" s="681"/>
      <c r="G24" s="681"/>
      <c r="H24" s="656"/>
    </row>
    <row r="25" spans="1:8" ht="12.75" customHeight="1" x14ac:dyDescent="0.25">
      <c r="A25" s="654">
        <f t="shared" si="0"/>
        <v>20</v>
      </c>
      <c r="B25" s="673"/>
      <c r="C25" s="674"/>
      <c r="D25" s="674"/>
      <c r="E25" s="655"/>
      <c r="F25" s="681"/>
      <c r="G25" s="681"/>
      <c r="H25" s="656"/>
    </row>
    <row r="26" spans="1:8" ht="12.75" customHeight="1" x14ac:dyDescent="0.25">
      <c r="A26" s="654">
        <f t="shared" si="0"/>
        <v>21</v>
      </c>
      <c r="B26" s="673"/>
      <c r="C26" s="674"/>
      <c r="D26" s="674"/>
      <c r="E26" s="655"/>
      <c r="F26" s="681"/>
      <c r="G26" s="681"/>
      <c r="H26" s="656"/>
    </row>
    <row r="27" spans="1:8" ht="12.75" customHeight="1" x14ac:dyDescent="0.25">
      <c r="A27" s="654">
        <f t="shared" si="0"/>
        <v>22</v>
      </c>
      <c r="B27" s="650"/>
      <c r="C27" s="650"/>
      <c r="D27" s="647"/>
      <c r="E27" s="655"/>
      <c r="F27" s="681"/>
      <c r="G27" s="681"/>
      <c r="H27" s="656"/>
    </row>
    <row r="28" spans="1:8" ht="12.75" customHeight="1" x14ac:dyDescent="0.25">
      <c r="A28" s="654">
        <f t="shared" si="0"/>
        <v>23</v>
      </c>
      <c r="B28" s="650"/>
      <c r="C28" s="650"/>
      <c r="D28" s="647"/>
      <c r="E28" s="655"/>
      <c r="F28" s="681"/>
      <c r="G28" s="681"/>
      <c r="H28" s="656"/>
    </row>
    <row r="29" spans="1:8" ht="12.75" customHeight="1" x14ac:dyDescent="0.25">
      <c r="A29" s="654">
        <f t="shared" si="0"/>
        <v>24</v>
      </c>
      <c r="B29" s="673"/>
      <c r="C29" s="674"/>
      <c r="D29" s="674"/>
      <c r="E29" s="655"/>
      <c r="F29" s="681"/>
      <c r="G29" s="681"/>
      <c r="H29" s="656"/>
    </row>
    <row r="30" spans="1:8" ht="12.75" customHeight="1" x14ac:dyDescent="0.25">
      <c r="A30" s="654">
        <f t="shared" si="0"/>
        <v>25</v>
      </c>
      <c r="B30" s="673"/>
      <c r="C30" s="674"/>
      <c r="D30" s="674"/>
      <c r="E30" s="655"/>
      <c r="F30" s="681"/>
      <c r="G30" s="681"/>
      <c r="H30" s="656"/>
    </row>
    <row r="31" spans="1:8" ht="12.75" customHeight="1" x14ac:dyDescent="0.25">
      <c r="A31" s="654">
        <f t="shared" si="0"/>
        <v>26</v>
      </c>
      <c r="B31" s="673"/>
      <c r="C31" s="674"/>
      <c r="D31" s="674"/>
      <c r="E31" s="655"/>
      <c r="F31" s="681"/>
      <c r="G31" s="681"/>
      <c r="H31" s="656"/>
    </row>
    <row r="32" spans="1:8" ht="12.75" customHeight="1" x14ac:dyDescent="0.25">
      <c r="A32" s="654">
        <f t="shared" si="0"/>
        <v>27</v>
      </c>
      <c r="B32" s="673"/>
      <c r="C32" s="674"/>
      <c r="D32" s="674"/>
      <c r="E32" s="655"/>
      <c r="F32" s="681"/>
      <c r="G32" s="681"/>
      <c r="H32" s="656"/>
    </row>
    <row r="33" spans="1:8" ht="12.75" customHeight="1" x14ac:dyDescent="0.25">
      <c r="A33" s="654">
        <f t="shared" si="0"/>
        <v>28</v>
      </c>
      <c r="B33" s="673"/>
      <c r="C33" s="674"/>
      <c r="D33" s="674"/>
      <c r="E33" s="655"/>
      <c r="F33" s="681"/>
      <c r="G33" s="681"/>
      <c r="H33" s="656"/>
    </row>
    <row r="34" spans="1:8" ht="12.75" customHeight="1" x14ac:dyDescent="0.25">
      <c r="A34" s="654">
        <f t="shared" si="0"/>
        <v>29</v>
      </c>
      <c r="B34" s="673"/>
      <c r="C34" s="674"/>
      <c r="D34" s="674"/>
      <c r="E34" s="655"/>
      <c r="F34" s="681"/>
      <c r="G34" s="681"/>
      <c r="H34" s="656"/>
    </row>
    <row r="35" spans="1:8" ht="12.75" customHeight="1" x14ac:dyDescent="0.25">
      <c r="A35" s="654">
        <f t="shared" si="0"/>
        <v>30</v>
      </c>
      <c r="B35" s="673"/>
      <c r="C35" s="674"/>
      <c r="D35" s="674"/>
      <c r="E35" s="655"/>
      <c r="F35" s="681"/>
      <c r="G35" s="681"/>
      <c r="H35" s="656"/>
    </row>
    <row r="36" spans="1:8" ht="12.75" customHeight="1" x14ac:dyDescent="0.25">
      <c r="A36" s="654">
        <f t="shared" si="0"/>
        <v>31</v>
      </c>
      <c r="B36" s="673"/>
      <c r="C36" s="674"/>
      <c r="D36" s="674"/>
      <c r="E36" s="655"/>
      <c r="F36" s="681"/>
      <c r="G36" s="681"/>
      <c r="H36" s="656"/>
    </row>
    <row r="37" spans="1:8" ht="12.75" customHeight="1" x14ac:dyDescent="0.25">
      <c r="A37" s="654">
        <f t="shared" si="0"/>
        <v>32</v>
      </c>
      <c r="B37" s="673"/>
      <c r="C37" s="674"/>
      <c r="D37" s="674"/>
      <c r="E37" s="655"/>
      <c r="F37" s="681"/>
      <c r="G37" s="681"/>
      <c r="H37" s="656"/>
    </row>
    <row r="38" spans="1:8" ht="12.75" customHeight="1" x14ac:dyDescent="0.25">
      <c r="A38" s="654">
        <f t="shared" si="0"/>
        <v>33</v>
      </c>
      <c r="B38" s="673"/>
      <c r="C38" s="674"/>
      <c r="D38" s="674"/>
      <c r="E38" s="655"/>
      <c r="F38" s="681"/>
      <c r="G38" s="681"/>
      <c r="H38" s="656"/>
    </row>
    <row r="39" spans="1:8" ht="12.75" customHeight="1" x14ac:dyDescent="0.25">
      <c r="A39" s="654">
        <f t="shared" si="0"/>
        <v>34</v>
      </c>
      <c r="B39" s="650"/>
      <c r="C39" s="650"/>
      <c r="D39" s="647" t="s">
        <v>1017</v>
      </c>
      <c r="E39" s="655">
        <v>500000</v>
      </c>
      <c r="F39" s="681">
        <v>1101</v>
      </c>
      <c r="G39" s="681">
        <v>5100</v>
      </c>
      <c r="H39" s="656" t="s">
        <v>48</v>
      </c>
    </row>
    <row r="40" spans="1:8" ht="12.75" customHeight="1" x14ac:dyDescent="0.25">
      <c r="A40" s="654">
        <f t="shared" si="0"/>
        <v>35</v>
      </c>
      <c r="B40" s="650"/>
      <c r="C40" s="650"/>
      <c r="D40" s="647"/>
      <c r="E40" s="655"/>
      <c r="F40" s="681">
        <v>1101</v>
      </c>
      <c r="G40" s="681">
        <v>3105</v>
      </c>
      <c r="H40" s="656"/>
    </row>
    <row r="41" spans="1:8" ht="12.75" customHeight="1" x14ac:dyDescent="0.25">
      <c r="A41" s="654">
        <f t="shared" si="0"/>
        <v>36</v>
      </c>
      <c r="B41" s="673"/>
      <c r="C41" s="674"/>
      <c r="D41" s="674"/>
      <c r="E41" s="655"/>
      <c r="F41" s="681"/>
      <c r="G41" s="681"/>
      <c r="H41" s="656"/>
    </row>
    <row r="42" spans="1:8" ht="12.75" customHeight="1" x14ac:dyDescent="0.25">
      <c r="A42" s="654">
        <f t="shared" si="0"/>
        <v>37</v>
      </c>
      <c r="B42" s="673"/>
      <c r="C42" s="674"/>
      <c r="D42" s="674"/>
      <c r="E42" s="655"/>
      <c r="F42" s="681"/>
      <c r="G42" s="681"/>
      <c r="H42" s="656"/>
    </row>
    <row r="43" spans="1:8" ht="12.75" customHeight="1" x14ac:dyDescent="0.25">
      <c r="A43" s="654">
        <f t="shared" si="0"/>
        <v>38</v>
      </c>
      <c r="B43" s="673"/>
      <c r="C43" s="674"/>
      <c r="D43" s="674"/>
      <c r="E43" s="655"/>
      <c r="F43" s="681"/>
      <c r="G43" s="681"/>
      <c r="H43" s="656"/>
    </row>
    <row r="44" spans="1:8" ht="12.75" customHeight="1" x14ac:dyDescent="0.25">
      <c r="A44" s="654">
        <f t="shared" si="0"/>
        <v>39</v>
      </c>
      <c r="B44" s="673"/>
      <c r="C44" s="674"/>
      <c r="D44" s="674"/>
      <c r="E44" s="655"/>
      <c r="F44" s="681"/>
      <c r="G44" s="681"/>
      <c r="H44" s="656"/>
    </row>
    <row r="45" spans="1:8" ht="12.75" customHeight="1" x14ac:dyDescent="0.25">
      <c r="A45" s="654">
        <f t="shared" si="0"/>
        <v>40</v>
      </c>
      <c r="B45" s="673"/>
      <c r="C45" s="674"/>
      <c r="D45" s="674"/>
      <c r="E45" s="655"/>
      <c r="F45" s="681"/>
      <c r="G45" s="681"/>
      <c r="H45" s="656"/>
    </row>
    <row r="46" spans="1:8" ht="12.75" customHeight="1" x14ac:dyDescent="0.25">
      <c r="A46" s="654">
        <f t="shared" si="0"/>
        <v>41</v>
      </c>
      <c r="B46" s="673"/>
      <c r="C46" s="674"/>
      <c r="D46" s="674"/>
      <c r="E46" s="655"/>
      <c r="F46" s="681"/>
      <c r="G46" s="681"/>
      <c r="H46" s="656"/>
    </row>
    <row r="47" spans="1:8" ht="12.75" customHeight="1" x14ac:dyDescent="0.25">
      <c r="A47" s="654">
        <f t="shared" si="0"/>
        <v>42</v>
      </c>
      <c r="B47" s="673"/>
      <c r="C47" s="674"/>
      <c r="D47" s="674"/>
      <c r="E47" s="655"/>
      <c r="F47" s="681"/>
      <c r="G47" s="681"/>
      <c r="H47" s="656"/>
    </row>
    <row r="48" spans="1:8" ht="12.75" customHeight="1" x14ac:dyDescent="0.25">
      <c r="A48" s="654">
        <f t="shared" si="0"/>
        <v>43</v>
      </c>
      <c r="B48" s="673"/>
      <c r="C48" s="674"/>
      <c r="D48" s="674"/>
      <c r="E48" s="655"/>
      <c r="F48" s="681"/>
      <c r="G48" s="681"/>
      <c r="H48" s="656"/>
    </row>
    <row r="49" spans="1:8" ht="12.75" customHeight="1" x14ac:dyDescent="0.25">
      <c r="A49" s="654">
        <f t="shared" si="0"/>
        <v>44</v>
      </c>
      <c r="B49" s="673"/>
      <c r="C49" s="674"/>
      <c r="D49" s="674"/>
      <c r="E49" s="655"/>
      <c r="F49" s="681"/>
      <c r="G49" s="681"/>
      <c r="H49" s="656"/>
    </row>
    <row r="50" spans="1:8" ht="12.75" customHeight="1" x14ac:dyDescent="0.25">
      <c r="A50" s="654">
        <f t="shared" si="0"/>
        <v>45</v>
      </c>
      <c r="B50" s="673"/>
      <c r="C50" s="674"/>
      <c r="D50" s="674"/>
      <c r="E50" s="655"/>
      <c r="F50" s="681"/>
      <c r="G50" s="681"/>
      <c r="H50" s="656"/>
    </row>
    <row r="51" spans="1:8" ht="12.75" customHeight="1" x14ac:dyDescent="0.25">
      <c r="A51" s="654">
        <f t="shared" si="0"/>
        <v>46</v>
      </c>
      <c r="B51" s="650"/>
      <c r="C51" s="650"/>
      <c r="D51" s="647"/>
      <c r="E51" s="655"/>
      <c r="F51" s="681"/>
      <c r="G51" s="681"/>
      <c r="H51" s="656"/>
    </row>
    <row r="52" spans="1:8" ht="12.75" customHeight="1" x14ac:dyDescent="0.25">
      <c r="A52" s="654">
        <f t="shared" si="0"/>
        <v>47</v>
      </c>
      <c r="B52" s="650"/>
      <c r="C52" s="650"/>
      <c r="D52" s="647"/>
      <c r="E52" s="655"/>
      <c r="F52" s="681"/>
      <c r="G52" s="681"/>
      <c r="H52" s="656"/>
    </row>
    <row r="53" spans="1:8" ht="12.75" customHeight="1" x14ac:dyDescent="0.25">
      <c r="A53" s="654">
        <f t="shared" si="0"/>
        <v>48</v>
      </c>
      <c r="B53" s="673"/>
      <c r="C53" s="674"/>
      <c r="D53" s="674"/>
      <c r="E53" s="655"/>
      <c r="F53" s="681"/>
      <c r="G53" s="681"/>
      <c r="H53" s="656"/>
    </row>
    <row r="54" spans="1:8" ht="12.75" customHeight="1" x14ac:dyDescent="0.25">
      <c r="A54" s="654">
        <f t="shared" si="0"/>
        <v>49</v>
      </c>
      <c r="B54" s="673"/>
      <c r="C54" s="674"/>
      <c r="D54" s="674"/>
      <c r="E54" s="655"/>
      <c r="F54" s="681"/>
      <c r="G54" s="681"/>
      <c r="H54" s="656"/>
    </row>
    <row r="55" spans="1:8" ht="12.75" customHeight="1" x14ac:dyDescent="0.25">
      <c r="A55" s="654">
        <f t="shared" si="0"/>
        <v>50</v>
      </c>
      <c r="B55" s="650"/>
      <c r="C55" s="650"/>
      <c r="D55" s="647"/>
      <c r="E55" s="655"/>
      <c r="F55" s="681"/>
      <c r="G55" s="681"/>
      <c r="H55" s="656"/>
    </row>
    <row r="56" spans="1:8" ht="12.75" customHeight="1" x14ac:dyDescent="0.25">
      <c r="A56" s="654">
        <f t="shared" si="0"/>
        <v>51</v>
      </c>
      <c r="B56" s="650"/>
      <c r="C56" s="650"/>
      <c r="D56" s="647"/>
      <c r="E56" s="655"/>
      <c r="F56" s="681"/>
      <c r="G56" s="681"/>
      <c r="H56" s="656"/>
    </row>
    <row r="57" spans="1:8" ht="12.75" customHeight="1" x14ac:dyDescent="0.25">
      <c r="A57" s="654">
        <f t="shared" si="0"/>
        <v>52</v>
      </c>
      <c r="B57" s="673"/>
      <c r="C57" s="674"/>
      <c r="D57" s="674"/>
      <c r="E57" s="655"/>
      <c r="F57" s="681"/>
      <c r="G57" s="681"/>
      <c r="H57" s="656"/>
    </row>
    <row r="58" spans="1:8" ht="12.75" customHeight="1" x14ac:dyDescent="0.25">
      <c r="A58" s="654">
        <f t="shared" si="0"/>
        <v>53</v>
      </c>
      <c r="B58" s="673"/>
      <c r="C58" s="674"/>
      <c r="D58" s="674"/>
      <c r="E58" s="655"/>
      <c r="F58" s="681"/>
      <c r="G58" s="681"/>
      <c r="H58" s="656"/>
    </row>
    <row r="59" spans="1:8" ht="12.75" customHeight="1" x14ac:dyDescent="0.25">
      <c r="A59" s="654">
        <f t="shared" si="0"/>
        <v>54</v>
      </c>
      <c r="B59" s="650"/>
      <c r="C59" s="650"/>
      <c r="D59" s="647"/>
      <c r="E59" s="655"/>
      <c r="F59" s="681"/>
      <c r="G59" s="681"/>
      <c r="H59" s="656"/>
    </row>
    <row r="60" spans="1:8" ht="12.75" customHeight="1" x14ac:dyDescent="0.25">
      <c r="A60" s="654">
        <f t="shared" si="0"/>
        <v>55</v>
      </c>
      <c r="B60" s="650"/>
      <c r="C60" s="650"/>
      <c r="D60" s="647"/>
      <c r="E60" s="655"/>
      <c r="F60" s="681"/>
      <c r="G60" s="681"/>
      <c r="H60" s="656"/>
    </row>
    <row r="61" spans="1:8" ht="12.75" customHeight="1" x14ac:dyDescent="0.25">
      <c r="A61" s="654">
        <f t="shared" si="0"/>
        <v>56</v>
      </c>
      <c r="B61" s="673"/>
      <c r="C61" s="674"/>
      <c r="D61" s="674"/>
      <c r="E61" s="655"/>
      <c r="F61" s="681"/>
      <c r="G61" s="681"/>
      <c r="H61" s="656"/>
    </row>
    <row r="62" spans="1:8" ht="12.75" customHeight="1" x14ac:dyDescent="0.25">
      <c r="A62" s="654">
        <f t="shared" si="0"/>
        <v>57</v>
      </c>
      <c r="B62" s="673"/>
      <c r="C62" s="674"/>
      <c r="D62" s="674"/>
      <c r="E62" s="655"/>
      <c r="F62" s="681"/>
      <c r="G62" s="681"/>
      <c r="H62" s="656"/>
    </row>
    <row r="63" spans="1:8" ht="12.75" customHeight="1" x14ac:dyDescent="0.25">
      <c r="A63" s="654">
        <f t="shared" si="0"/>
        <v>58</v>
      </c>
      <c r="B63" s="673"/>
      <c r="C63" s="674"/>
      <c r="D63" s="674"/>
      <c r="E63" s="655"/>
      <c r="F63" s="681"/>
      <c r="G63" s="681"/>
      <c r="H63" s="656"/>
    </row>
    <row r="64" spans="1:8" ht="12.75" customHeight="1" x14ac:dyDescent="0.25">
      <c r="A64" s="654">
        <f t="shared" si="0"/>
        <v>59</v>
      </c>
      <c r="B64" s="673"/>
      <c r="C64" s="674"/>
      <c r="D64" s="674"/>
      <c r="E64" s="655"/>
      <c r="F64" s="681"/>
      <c r="G64" s="681"/>
      <c r="H64" s="656"/>
    </row>
    <row r="65" spans="1:8" ht="12.75" customHeight="1" x14ac:dyDescent="0.25">
      <c r="A65" s="654">
        <f t="shared" si="0"/>
        <v>60</v>
      </c>
      <c r="B65" s="673"/>
      <c r="C65" s="674"/>
      <c r="D65" s="674"/>
      <c r="E65" s="655"/>
      <c r="F65" s="681"/>
      <c r="G65" s="681"/>
      <c r="H65" s="656"/>
    </row>
    <row r="66" spans="1:8" ht="12.75" customHeight="1" x14ac:dyDescent="0.25">
      <c r="A66" s="654">
        <f t="shared" si="0"/>
        <v>61</v>
      </c>
      <c r="B66" s="673"/>
      <c r="C66" s="675"/>
      <c r="D66" s="674"/>
      <c r="E66" s="655"/>
      <c r="F66" s="681"/>
      <c r="G66" s="681"/>
      <c r="H66" s="656"/>
    </row>
    <row r="67" spans="1:8" ht="12.75" customHeight="1" x14ac:dyDescent="0.25">
      <c r="A67" s="654">
        <f t="shared" si="0"/>
        <v>62</v>
      </c>
      <c r="B67" s="673"/>
      <c r="C67" s="674"/>
      <c r="D67" s="674"/>
      <c r="E67" s="655"/>
      <c r="F67" s="681"/>
      <c r="G67" s="681"/>
      <c r="H67" s="656"/>
    </row>
    <row r="68" spans="1:8" ht="12.75" customHeight="1" x14ac:dyDescent="0.25">
      <c r="A68" s="654">
        <f t="shared" si="0"/>
        <v>63</v>
      </c>
      <c r="B68" s="673"/>
      <c r="C68" s="674"/>
      <c r="D68" s="674"/>
      <c r="E68" s="655"/>
      <c r="F68" s="681"/>
      <c r="G68" s="681"/>
      <c r="H68" s="656"/>
    </row>
    <row r="69" spans="1:8" ht="12.75" customHeight="1" x14ac:dyDescent="0.25">
      <c r="A69" s="654">
        <f t="shared" ref="A69:A128" si="1">ROW()-5</f>
        <v>64</v>
      </c>
      <c r="B69" s="673"/>
      <c r="C69" s="674"/>
      <c r="D69" s="674"/>
      <c r="E69" s="655"/>
      <c r="F69" s="681"/>
      <c r="G69" s="681"/>
      <c r="H69" s="656"/>
    </row>
    <row r="70" spans="1:8" ht="12.75" customHeight="1" x14ac:dyDescent="0.25">
      <c r="A70" s="654">
        <f t="shared" si="1"/>
        <v>65</v>
      </c>
      <c r="B70" s="673"/>
      <c r="C70" s="674"/>
      <c r="D70" s="674"/>
      <c r="E70" s="655"/>
      <c r="F70" s="681"/>
      <c r="G70" s="681"/>
      <c r="H70" s="656"/>
    </row>
    <row r="71" spans="1:8" ht="12.75" customHeight="1" x14ac:dyDescent="0.25">
      <c r="A71" s="654">
        <f t="shared" si="1"/>
        <v>66</v>
      </c>
      <c r="B71" s="673"/>
      <c r="C71" s="674"/>
      <c r="D71" s="674"/>
      <c r="E71" s="655"/>
      <c r="F71" s="681"/>
      <c r="G71" s="681"/>
      <c r="H71" s="656"/>
    </row>
    <row r="72" spans="1:8" ht="12.75" customHeight="1" x14ac:dyDescent="0.25">
      <c r="A72" s="654">
        <f t="shared" si="1"/>
        <v>67</v>
      </c>
      <c r="B72" s="673"/>
      <c r="C72" s="675"/>
      <c r="D72" s="674"/>
      <c r="E72" s="655"/>
      <c r="F72" s="681"/>
      <c r="G72" s="681"/>
      <c r="H72" s="656"/>
    </row>
    <row r="73" spans="1:8" ht="12.75" customHeight="1" x14ac:dyDescent="0.25">
      <c r="A73" s="654">
        <f t="shared" si="1"/>
        <v>68</v>
      </c>
      <c r="B73" s="673"/>
      <c r="C73" s="674"/>
      <c r="D73" s="674"/>
      <c r="E73" s="655"/>
      <c r="F73" s="681"/>
      <c r="G73" s="681"/>
      <c r="H73" s="656"/>
    </row>
    <row r="74" spans="1:8" ht="12.75" customHeight="1" x14ac:dyDescent="0.25">
      <c r="A74" s="654">
        <f t="shared" si="1"/>
        <v>69</v>
      </c>
      <c r="B74" s="673"/>
      <c r="C74" s="674"/>
      <c r="D74" s="674"/>
      <c r="E74" s="655"/>
      <c r="F74" s="681"/>
      <c r="G74" s="681"/>
      <c r="H74" s="656"/>
    </row>
    <row r="75" spans="1:8" ht="12.75" customHeight="1" x14ac:dyDescent="0.25">
      <c r="A75" s="654">
        <f t="shared" si="1"/>
        <v>70</v>
      </c>
      <c r="B75" s="673"/>
      <c r="C75" s="674"/>
      <c r="D75" s="674"/>
      <c r="E75" s="655"/>
      <c r="F75" s="681"/>
      <c r="G75" s="681"/>
      <c r="H75" s="656"/>
    </row>
    <row r="76" spans="1:8" ht="12.75" customHeight="1" x14ac:dyDescent="0.25">
      <c r="A76" s="654">
        <f t="shared" si="1"/>
        <v>71</v>
      </c>
      <c r="B76" s="673"/>
      <c r="C76" s="675"/>
      <c r="D76" s="674"/>
      <c r="E76" s="655"/>
      <c r="F76" s="681"/>
      <c r="G76" s="681"/>
      <c r="H76" s="656"/>
    </row>
    <row r="77" spans="1:8" ht="12.75" customHeight="1" x14ac:dyDescent="0.25">
      <c r="A77" s="654">
        <f t="shared" si="1"/>
        <v>72</v>
      </c>
      <c r="B77" s="673"/>
      <c r="C77" s="674"/>
      <c r="D77" s="674"/>
      <c r="E77" s="655"/>
      <c r="F77" s="681"/>
      <c r="G77" s="681"/>
      <c r="H77" s="656"/>
    </row>
    <row r="78" spans="1:8" ht="12.75" customHeight="1" x14ac:dyDescent="0.25">
      <c r="A78" s="654">
        <f t="shared" si="1"/>
        <v>73</v>
      </c>
      <c r="B78" s="673"/>
      <c r="C78" s="674"/>
      <c r="D78" s="674"/>
      <c r="E78" s="655"/>
      <c r="F78" s="681"/>
      <c r="G78" s="681"/>
      <c r="H78" s="656"/>
    </row>
    <row r="79" spans="1:8" ht="12.75" customHeight="1" x14ac:dyDescent="0.25">
      <c r="A79" s="654">
        <f t="shared" si="1"/>
        <v>74</v>
      </c>
      <c r="B79" s="673"/>
      <c r="C79" s="674"/>
      <c r="D79" s="674"/>
      <c r="E79" s="655"/>
      <c r="F79" s="681"/>
      <c r="G79" s="681"/>
      <c r="H79" s="656"/>
    </row>
    <row r="80" spans="1:8" ht="12.75" customHeight="1" x14ac:dyDescent="0.25">
      <c r="A80" s="654">
        <f t="shared" si="1"/>
        <v>75</v>
      </c>
      <c r="B80" s="673"/>
      <c r="C80" s="674"/>
      <c r="D80" s="674"/>
      <c r="E80" s="655"/>
      <c r="F80" s="681"/>
      <c r="G80" s="681"/>
      <c r="H80" s="656"/>
    </row>
    <row r="81" spans="1:8" ht="12.75" customHeight="1" x14ac:dyDescent="0.25">
      <c r="A81" s="654">
        <f t="shared" si="1"/>
        <v>76</v>
      </c>
      <c r="B81" s="673"/>
      <c r="C81" s="674"/>
      <c r="D81" s="674"/>
      <c r="E81" s="655"/>
      <c r="F81" s="681"/>
      <c r="G81" s="681"/>
      <c r="H81" s="656"/>
    </row>
    <row r="82" spans="1:8" ht="12.75" customHeight="1" x14ac:dyDescent="0.25">
      <c r="A82" s="654">
        <f t="shared" si="1"/>
        <v>77</v>
      </c>
      <c r="B82" s="673"/>
      <c r="C82" s="675"/>
      <c r="D82" s="674"/>
      <c r="E82" s="655"/>
      <c r="F82" s="681"/>
      <c r="G82" s="681"/>
      <c r="H82" s="656"/>
    </row>
    <row r="83" spans="1:8" ht="12.75" customHeight="1" x14ac:dyDescent="0.25">
      <c r="A83" s="654">
        <f t="shared" si="1"/>
        <v>78</v>
      </c>
      <c r="B83" s="673"/>
      <c r="C83" s="674"/>
      <c r="D83" s="674"/>
      <c r="E83" s="655"/>
      <c r="F83" s="681"/>
      <c r="G83" s="681"/>
      <c r="H83" s="656"/>
    </row>
    <row r="84" spans="1:8" ht="12.75" customHeight="1" x14ac:dyDescent="0.25">
      <c r="A84" s="654">
        <f t="shared" si="1"/>
        <v>79</v>
      </c>
      <c r="B84" s="673"/>
      <c r="C84" s="675"/>
      <c r="D84" s="674"/>
      <c r="E84" s="655"/>
      <c r="F84" s="681"/>
      <c r="G84" s="681"/>
      <c r="H84" s="656"/>
    </row>
    <row r="85" spans="1:8" ht="12.75" customHeight="1" x14ac:dyDescent="0.25">
      <c r="A85" s="654">
        <f t="shared" si="1"/>
        <v>80</v>
      </c>
      <c r="B85" s="673"/>
      <c r="C85" s="674"/>
      <c r="D85" s="674"/>
      <c r="E85" s="655"/>
      <c r="F85" s="681"/>
      <c r="G85" s="681"/>
      <c r="H85" s="656"/>
    </row>
    <row r="86" spans="1:8" ht="12.75" customHeight="1" x14ac:dyDescent="0.25">
      <c r="A86" s="654">
        <f t="shared" si="1"/>
        <v>81</v>
      </c>
      <c r="B86" s="673"/>
      <c r="C86" s="674"/>
      <c r="D86" s="674"/>
      <c r="E86" s="655"/>
      <c r="F86" s="681"/>
      <c r="G86" s="681"/>
      <c r="H86" s="656"/>
    </row>
    <row r="87" spans="1:8" ht="12.75" customHeight="1" x14ac:dyDescent="0.25">
      <c r="A87" s="654">
        <f t="shared" si="1"/>
        <v>82</v>
      </c>
      <c r="B87" s="673"/>
      <c r="C87" s="674"/>
      <c r="D87" s="674"/>
      <c r="E87" s="655"/>
      <c r="F87" s="681"/>
      <c r="G87" s="681"/>
      <c r="H87" s="656"/>
    </row>
    <row r="88" spans="1:8" ht="12.75" customHeight="1" x14ac:dyDescent="0.25">
      <c r="A88" s="654">
        <f t="shared" si="1"/>
        <v>83</v>
      </c>
      <c r="B88" s="673"/>
      <c r="C88" s="674"/>
      <c r="D88" s="674"/>
      <c r="E88" s="655"/>
      <c r="F88" s="681"/>
      <c r="G88" s="681"/>
      <c r="H88" s="656"/>
    </row>
    <row r="89" spans="1:8" ht="12.75" customHeight="1" x14ac:dyDescent="0.25">
      <c r="A89" s="654">
        <f t="shared" si="1"/>
        <v>84</v>
      </c>
      <c r="B89" s="673"/>
      <c r="C89" s="674"/>
      <c r="D89" s="674"/>
      <c r="E89" s="655"/>
      <c r="F89" s="681"/>
      <c r="G89" s="681"/>
      <c r="H89" s="656"/>
    </row>
    <row r="90" spans="1:8" ht="12.75" customHeight="1" x14ac:dyDescent="0.25">
      <c r="A90" s="654">
        <f t="shared" si="1"/>
        <v>85</v>
      </c>
      <c r="B90" s="673"/>
      <c r="C90" s="674"/>
      <c r="D90" s="674"/>
      <c r="E90" s="655"/>
      <c r="F90" s="681"/>
      <c r="G90" s="681"/>
      <c r="H90" s="656"/>
    </row>
    <row r="91" spans="1:8" ht="12.75" customHeight="1" x14ac:dyDescent="0.25">
      <c r="A91" s="654">
        <f t="shared" si="1"/>
        <v>86</v>
      </c>
      <c r="B91" s="673"/>
      <c r="C91" s="674"/>
      <c r="D91" s="674"/>
      <c r="E91" s="655"/>
      <c r="F91" s="681"/>
      <c r="G91" s="681"/>
      <c r="H91" s="656"/>
    </row>
    <row r="92" spans="1:8" ht="12.75" customHeight="1" x14ac:dyDescent="0.25">
      <c r="A92" s="654">
        <f t="shared" si="1"/>
        <v>87</v>
      </c>
      <c r="B92" s="673"/>
      <c r="C92" s="674"/>
      <c r="D92" s="674"/>
      <c r="E92" s="655"/>
      <c r="F92" s="681"/>
      <c r="G92" s="681"/>
      <c r="H92" s="656"/>
    </row>
    <row r="93" spans="1:8" ht="12.75" customHeight="1" x14ac:dyDescent="0.25">
      <c r="A93" s="654">
        <f t="shared" si="1"/>
        <v>88</v>
      </c>
      <c r="B93" s="673"/>
      <c r="C93" s="674"/>
      <c r="D93" s="674"/>
      <c r="E93" s="655"/>
      <c r="F93" s="681"/>
      <c r="G93" s="681"/>
      <c r="H93" s="656"/>
    </row>
    <row r="94" spans="1:8" ht="12.75" customHeight="1" x14ac:dyDescent="0.25">
      <c r="A94" s="654">
        <f t="shared" si="1"/>
        <v>89</v>
      </c>
      <c r="B94" s="673"/>
      <c r="C94" s="674"/>
      <c r="D94" s="674"/>
      <c r="E94" s="655"/>
      <c r="F94" s="681"/>
      <c r="G94" s="681"/>
      <c r="H94" s="656"/>
    </row>
    <row r="95" spans="1:8" ht="12.75" customHeight="1" x14ac:dyDescent="0.25">
      <c r="A95" s="654">
        <f t="shared" si="1"/>
        <v>90</v>
      </c>
      <c r="B95" s="650"/>
      <c r="C95" s="650"/>
      <c r="D95" s="647"/>
      <c r="E95" s="655"/>
      <c r="F95" s="681"/>
      <c r="G95" s="681"/>
      <c r="H95" s="656"/>
    </row>
    <row r="96" spans="1:8" ht="12.75" customHeight="1" x14ac:dyDescent="0.25">
      <c r="A96" s="654">
        <f t="shared" si="1"/>
        <v>91</v>
      </c>
      <c r="B96" s="673"/>
      <c r="C96" s="674"/>
      <c r="D96" s="674"/>
      <c r="E96" s="655"/>
      <c r="F96" s="681"/>
      <c r="G96" s="681"/>
      <c r="H96" s="656"/>
    </row>
    <row r="97" spans="1:8" s="644" customFormat="1" ht="12.75" customHeight="1" x14ac:dyDescent="0.25">
      <c r="A97" s="657">
        <f t="shared" si="1"/>
        <v>92</v>
      </c>
      <c r="B97" s="676"/>
      <c r="C97" s="677"/>
      <c r="D97" s="677"/>
      <c r="E97" s="655"/>
      <c r="F97" s="682"/>
      <c r="G97" s="682"/>
      <c r="H97" s="658"/>
    </row>
    <row r="98" spans="1:8" ht="12.75" customHeight="1" x14ac:dyDescent="0.25">
      <c r="A98" s="654">
        <f t="shared" si="1"/>
        <v>93</v>
      </c>
      <c r="B98" s="673"/>
      <c r="C98" s="674"/>
      <c r="D98" s="674"/>
      <c r="E98" s="655"/>
      <c r="F98" s="681"/>
      <c r="G98" s="681"/>
      <c r="H98" s="656"/>
    </row>
    <row r="99" spans="1:8" ht="12.75" customHeight="1" x14ac:dyDescent="0.25">
      <c r="A99" s="654">
        <f t="shared" si="1"/>
        <v>94</v>
      </c>
      <c r="B99" s="673"/>
      <c r="C99" s="674"/>
      <c r="D99" s="674"/>
      <c r="E99" s="655"/>
      <c r="F99" s="681"/>
      <c r="G99" s="681"/>
      <c r="H99" s="656"/>
    </row>
    <row r="100" spans="1:8" ht="12.75" customHeight="1" x14ac:dyDescent="0.25">
      <c r="A100" s="654">
        <f t="shared" si="1"/>
        <v>95</v>
      </c>
      <c r="B100" s="673"/>
      <c r="C100" s="674"/>
      <c r="D100" s="674"/>
      <c r="E100" s="655"/>
      <c r="F100" s="681"/>
      <c r="G100" s="681"/>
      <c r="H100" s="656"/>
    </row>
    <row r="101" spans="1:8" ht="12.75" customHeight="1" x14ac:dyDescent="0.25">
      <c r="A101" s="654">
        <f t="shared" si="1"/>
        <v>96</v>
      </c>
      <c r="B101" s="673"/>
      <c r="C101" s="674"/>
      <c r="D101" s="674"/>
      <c r="E101" s="655"/>
      <c r="F101" s="681"/>
      <c r="G101" s="681"/>
      <c r="H101" s="656"/>
    </row>
    <row r="102" spans="1:8" ht="12.75" customHeight="1" x14ac:dyDescent="0.25">
      <c r="A102" s="654">
        <f t="shared" si="1"/>
        <v>97</v>
      </c>
      <c r="B102" s="678"/>
      <c r="C102" s="674"/>
      <c r="D102" s="648"/>
      <c r="E102" s="655"/>
      <c r="F102" s="681"/>
      <c r="G102" s="681"/>
      <c r="H102" s="656"/>
    </row>
    <row r="103" spans="1:8" ht="12.75" customHeight="1" x14ac:dyDescent="0.25">
      <c r="A103" s="654">
        <f t="shared" si="1"/>
        <v>98</v>
      </c>
      <c r="B103" s="678"/>
      <c r="C103" s="674"/>
      <c r="D103" s="647"/>
      <c r="E103" s="655"/>
      <c r="F103" s="681"/>
      <c r="G103" s="681"/>
      <c r="H103" s="656"/>
    </row>
    <row r="104" spans="1:8" ht="12.75" customHeight="1" x14ac:dyDescent="0.25">
      <c r="A104" s="654">
        <f t="shared" si="1"/>
        <v>99</v>
      </c>
      <c r="B104" s="678"/>
      <c r="C104" s="674"/>
      <c r="D104" s="647"/>
      <c r="E104" s="655"/>
      <c r="F104" s="681"/>
      <c r="G104" s="681"/>
      <c r="H104" s="656"/>
    </row>
    <row r="105" spans="1:8" ht="12.75" customHeight="1" x14ac:dyDescent="0.25">
      <c r="A105" s="654">
        <f t="shared" si="1"/>
        <v>100</v>
      </c>
      <c r="B105" s="678"/>
      <c r="C105" s="674"/>
      <c r="D105" s="648"/>
      <c r="E105" s="655"/>
      <c r="F105" s="681"/>
      <c r="G105" s="681"/>
      <c r="H105" s="656"/>
    </row>
    <row r="106" spans="1:8" ht="12.75" customHeight="1" x14ac:dyDescent="0.25">
      <c r="A106" s="654">
        <f t="shared" si="1"/>
        <v>101</v>
      </c>
      <c r="B106" s="678"/>
      <c r="C106" s="674"/>
      <c r="D106" s="648"/>
      <c r="E106" s="655"/>
      <c r="F106" s="681"/>
      <c r="G106" s="681"/>
      <c r="H106" s="656"/>
    </row>
    <row r="107" spans="1:8" ht="12.75" customHeight="1" x14ac:dyDescent="0.25">
      <c r="A107" s="654">
        <f t="shared" si="1"/>
        <v>102</v>
      </c>
      <c r="B107" s="678"/>
      <c r="C107" s="674"/>
      <c r="D107" s="648"/>
      <c r="E107" s="655"/>
      <c r="F107" s="681"/>
      <c r="G107" s="681"/>
      <c r="H107" s="656"/>
    </row>
    <row r="108" spans="1:8" ht="12.75" customHeight="1" x14ac:dyDescent="0.25">
      <c r="A108" s="654">
        <f t="shared" si="1"/>
        <v>103</v>
      </c>
      <c r="B108" s="678"/>
      <c r="C108" s="674"/>
      <c r="D108" s="648"/>
      <c r="E108" s="655"/>
      <c r="F108" s="681"/>
      <c r="G108" s="681"/>
      <c r="H108" s="656"/>
    </row>
    <row r="109" spans="1:8" ht="12.75" customHeight="1" x14ac:dyDescent="0.25">
      <c r="A109" s="654">
        <f t="shared" si="1"/>
        <v>104</v>
      </c>
      <c r="B109" s="649"/>
      <c r="C109" s="650"/>
      <c r="D109" s="648"/>
      <c r="E109" s="655"/>
      <c r="F109" s="681"/>
      <c r="G109" s="681"/>
      <c r="H109" s="656"/>
    </row>
    <row r="110" spans="1:8" ht="12.75" customHeight="1" x14ac:dyDescent="0.25">
      <c r="A110" s="654">
        <f t="shared" si="1"/>
        <v>105</v>
      </c>
      <c r="B110" s="649"/>
      <c r="C110" s="650"/>
      <c r="D110" s="648"/>
      <c r="E110" s="655"/>
      <c r="F110" s="681"/>
      <c r="G110" s="681"/>
      <c r="H110" s="656"/>
    </row>
    <row r="111" spans="1:8" ht="12.75" customHeight="1" x14ac:dyDescent="0.25">
      <c r="A111" s="654">
        <f t="shared" si="1"/>
        <v>106</v>
      </c>
      <c r="B111" s="649"/>
      <c r="C111" s="650"/>
      <c r="D111" s="648"/>
      <c r="E111" s="655"/>
      <c r="F111" s="681"/>
      <c r="G111" s="681"/>
      <c r="H111" s="656"/>
    </row>
    <row r="112" spans="1:8" ht="12.75" customHeight="1" x14ac:dyDescent="0.25">
      <c r="A112" s="654">
        <f t="shared" si="1"/>
        <v>107</v>
      </c>
      <c r="B112" s="649"/>
      <c r="C112" s="650"/>
      <c r="D112" s="647"/>
      <c r="E112" s="655"/>
      <c r="F112" s="681"/>
      <c r="G112" s="681"/>
      <c r="H112" s="656"/>
    </row>
    <row r="113" spans="1:8" ht="12.75" customHeight="1" x14ac:dyDescent="0.25">
      <c r="A113" s="654">
        <f t="shared" si="1"/>
        <v>108</v>
      </c>
      <c r="B113" s="649"/>
      <c r="C113" s="650"/>
      <c r="D113" s="647"/>
      <c r="E113" s="655"/>
      <c r="F113" s="681"/>
      <c r="G113" s="681"/>
      <c r="H113" s="656"/>
    </row>
    <row r="114" spans="1:8" ht="12.75" customHeight="1" x14ac:dyDescent="0.25">
      <c r="A114" s="654">
        <f t="shared" si="1"/>
        <v>109</v>
      </c>
      <c r="B114" s="649"/>
      <c r="C114" s="650"/>
      <c r="D114" s="647"/>
      <c r="E114" s="655"/>
      <c r="F114" s="681"/>
      <c r="G114" s="681"/>
      <c r="H114" s="656"/>
    </row>
    <row r="115" spans="1:8" ht="12.75" customHeight="1" x14ac:dyDescent="0.25">
      <c r="A115" s="654">
        <f t="shared" si="1"/>
        <v>110</v>
      </c>
      <c r="B115" s="649"/>
      <c r="C115" s="650"/>
      <c r="D115" s="647"/>
      <c r="E115" s="655"/>
      <c r="F115" s="681"/>
      <c r="G115" s="681"/>
      <c r="H115" s="656"/>
    </row>
    <row r="116" spans="1:8" ht="12.75" customHeight="1" x14ac:dyDescent="0.25">
      <c r="A116" s="654">
        <f t="shared" si="1"/>
        <v>111</v>
      </c>
      <c r="B116" s="649"/>
      <c r="C116" s="650"/>
      <c r="D116" s="647"/>
      <c r="E116" s="655"/>
      <c r="F116" s="681"/>
      <c r="G116" s="681"/>
      <c r="H116" s="656"/>
    </row>
    <row r="117" spans="1:8" ht="12.75" customHeight="1" x14ac:dyDescent="0.25">
      <c r="A117" s="654">
        <f t="shared" si="1"/>
        <v>112</v>
      </c>
      <c r="B117" s="649"/>
      <c r="C117" s="650"/>
      <c r="D117" s="647"/>
      <c r="E117" s="655"/>
      <c r="F117" s="681"/>
      <c r="G117" s="681"/>
      <c r="H117" s="656"/>
    </row>
    <row r="118" spans="1:8" ht="12.75" customHeight="1" x14ac:dyDescent="0.25">
      <c r="A118" s="654">
        <f t="shared" si="1"/>
        <v>113</v>
      </c>
      <c r="B118" s="649"/>
      <c r="C118" s="650"/>
      <c r="D118" s="647"/>
      <c r="E118" s="655"/>
      <c r="F118" s="681"/>
      <c r="G118" s="681"/>
      <c r="H118" s="656"/>
    </row>
    <row r="119" spans="1:8" ht="12.75" customHeight="1" x14ac:dyDescent="0.25">
      <c r="A119" s="654">
        <f t="shared" si="1"/>
        <v>114</v>
      </c>
      <c r="B119" s="649"/>
      <c r="C119" s="650"/>
      <c r="D119" s="647"/>
      <c r="E119" s="655"/>
      <c r="F119" s="681"/>
      <c r="G119" s="681"/>
      <c r="H119" s="656"/>
    </row>
    <row r="120" spans="1:8" ht="12.75" customHeight="1" x14ac:dyDescent="0.25">
      <c r="A120" s="654">
        <f t="shared" si="1"/>
        <v>115</v>
      </c>
      <c r="B120" s="649"/>
      <c r="C120" s="650"/>
      <c r="D120" s="647"/>
      <c r="E120" s="655"/>
      <c r="F120" s="681"/>
      <c r="G120" s="681"/>
      <c r="H120" s="656"/>
    </row>
    <row r="121" spans="1:8" ht="12.75" customHeight="1" x14ac:dyDescent="0.25">
      <c r="A121" s="654">
        <f t="shared" si="1"/>
        <v>116</v>
      </c>
      <c r="B121" s="649"/>
      <c r="C121" s="650"/>
      <c r="D121" s="647"/>
      <c r="E121" s="655"/>
      <c r="F121" s="681"/>
      <c r="G121" s="681"/>
      <c r="H121" s="656"/>
    </row>
    <row r="122" spans="1:8" ht="12.75" customHeight="1" x14ac:dyDescent="0.25">
      <c r="A122" s="654">
        <f t="shared" si="1"/>
        <v>117</v>
      </c>
      <c r="B122" s="649"/>
      <c r="C122" s="650"/>
      <c r="D122" s="647"/>
      <c r="E122" s="655"/>
      <c r="F122" s="681"/>
      <c r="G122" s="681"/>
      <c r="H122" s="656"/>
    </row>
    <row r="123" spans="1:8" ht="12.75" customHeight="1" x14ac:dyDescent="0.25">
      <c r="A123" s="654">
        <f t="shared" si="1"/>
        <v>118</v>
      </c>
      <c r="B123" s="649"/>
      <c r="C123" s="650"/>
      <c r="D123" s="647"/>
      <c r="E123" s="655"/>
      <c r="F123" s="681"/>
      <c r="G123" s="681"/>
      <c r="H123" s="656"/>
    </row>
    <row r="124" spans="1:8" ht="12.75" customHeight="1" x14ac:dyDescent="0.25">
      <c r="A124" s="654">
        <f t="shared" si="1"/>
        <v>119</v>
      </c>
      <c r="B124" s="649"/>
      <c r="C124" s="650"/>
      <c r="D124" s="647"/>
      <c r="E124" s="655"/>
      <c r="F124" s="681"/>
      <c r="G124" s="681"/>
      <c r="H124" s="656"/>
    </row>
    <row r="125" spans="1:8" ht="12.75" customHeight="1" x14ac:dyDescent="0.25">
      <c r="A125" s="654">
        <f t="shared" si="1"/>
        <v>120</v>
      </c>
      <c r="B125" s="649"/>
      <c r="C125" s="650"/>
      <c r="D125" s="647"/>
      <c r="E125" s="655"/>
      <c r="F125" s="681"/>
      <c r="G125" s="681"/>
      <c r="H125" s="656"/>
    </row>
    <row r="126" spans="1:8" ht="12.75" customHeight="1" x14ac:dyDescent="0.25">
      <c r="A126" s="654">
        <f t="shared" si="1"/>
        <v>121</v>
      </c>
      <c r="B126" s="649"/>
      <c r="C126" s="650"/>
      <c r="D126" s="647"/>
      <c r="E126" s="655"/>
      <c r="F126" s="681"/>
      <c r="G126" s="681"/>
      <c r="H126" s="656"/>
    </row>
    <row r="127" spans="1:8" ht="12.75" customHeight="1" x14ac:dyDescent="0.25">
      <c r="A127" s="654">
        <f t="shared" si="1"/>
        <v>122</v>
      </c>
      <c r="B127" s="649"/>
      <c r="C127" s="650"/>
      <c r="D127" s="647"/>
      <c r="E127" s="655"/>
      <c r="F127" s="681"/>
      <c r="G127" s="681"/>
      <c r="H127" s="656"/>
    </row>
    <row r="128" spans="1:8" ht="12.75" customHeight="1" x14ac:dyDescent="0.25">
      <c r="A128" s="654">
        <f t="shared" si="1"/>
        <v>123</v>
      </c>
      <c r="B128" s="649"/>
      <c r="C128" s="650"/>
      <c r="D128" s="647"/>
      <c r="E128" s="655"/>
      <c r="F128" s="681"/>
      <c r="G128" s="681"/>
      <c r="H128" s="656"/>
    </row>
    <row r="129" spans="1:8" ht="12.75" customHeight="1" x14ac:dyDescent="0.25">
      <c r="A129" s="654">
        <f t="shared" ref="A129:A192" si="2">ROW()-5</f>
        <v>124</v>
      </c>
      <c r="B129" s="649"/>
      <c r="C129" s="650"/>
      <c r="D129" s="647"/>
      <c r="E129" s="655"/>
      <c r="F129" s="681"/>
      <c r="G129" s="681"/>
      <c r="H129" s="656"/>
    </row>
    <row r="130" spans="1:8" ht="12.75" customHeight="1" x14ac:dyDescent="0.25">
      <c r="A130" s="654">
        <f t="shared" si="2"/>
        <v>125</v>
      </c>
      <c r="B130" s="649"/>
      <c r="C130" s="650"/>
      <c r="D130" s="647"/>
      <c r="E130" s="655"/>
      <c r="F130" s="681"/>
      <c r="G130" s="681"/>
      <c r="H130" s="656"/>
    </row>
    <row r="131" spans="1:8" ht="12.75" customHeight="1" x14ac:dyDescent="0.25">
      <c r="A131" s="654">
        <f t="shared" si="2"/>
        <v>126</v>
      </c>
      <c r="B131" s="649"/>
      <c r="C131" s="650"/>
      <c r="D131" s="647"/>
      <c r="E131" s="655"/>
      <c r="F131" s="681"/>
      <c r="G131" s="681"/>
      <c r="H131" s="656"/>
    </row>
    <row r="132" spans="1:8" ht="12.75" customHeight="1" x14ac:dyDescent="0.25">
      <c r="A132" s="654">
        <f t="shared" si="2"/>
        <v>127</v>
      </c>
      <c r="B132" s="649"/>
      <c r="C132" s="650"/>
      <c r="D132" s="647"/>
      <c r="E132" s="655"/>
      <c r="F132" s="681"/>
      <c r="G132" s="681"/>
      <c r="H132" s="656"/>
    </row>
    <row r="133" spans="1:8" ht="12.75" customHeight="1" x14ac:dyDescent="0.25">
      <c r="A133" s="654">
        <f t="shared" si="2"/>
        <v>128</v>
      </c>
      <c r="B133" s="649"/>
      <c r="C133" s="650"/>
      <c r="D133" s="647"/>
      <c r="E133" s="655"/>
      <c r="F133" s="681"/>
      <c r="G133" s="681"/>
      <c r="H133" s="656"/>
    </row>
    <row r="134" spans="1:8" ht="12.75" customHeight="1" x14ac:dyDescent="0.25">
      <c r="A134" s="654">
        <f t="shared" si="2"/>
        <v>129</v>
      </c>
      <c r="B134" s="649"/>
      <c r="C134" s="650"/>
      <c r="D134" s="679"/>
      <c r="E134" s="655"/>
      <c r="F134" s="681"/>
      <c r="G134" s="681"/>
      <c r="H134" s="656"/>
    </row>
    <row r="135" spans="1:8" ht="12.75" customHeight="1" x14ac:dyDescent="0.25">
      <c r="A135" s="654">
        <f t="shared" si="2"/>
        <v>130</v>
      </c>
      <c r="B135" s="649"/>
      <c r="C135" s="650"/>
      <c r="D135" s="647"/>
      <c r="E135" s="655"/>
      <c r="F135" s="681"/>
      <c r="G135" s="681"/>
      <c r="H135" s="656"/>
    </row>
    <row r="136" spans="1:8" ht="12.75" customHeight="1" x14ac:dyDescent="0.25">
      <c r="A136" s="654">
        <f t="shared" si="2"/>
        <v>131</v>
      </c>
      <c r="B136" s="649"/>
      <c r="C136" s="650"/>
      <c r="D136" s="647"/>
      <c r="E136" s="655"/>
      <c r="F136" s="681"/>
      <c r="G136" s="681"/>
      <c r="H136" s="656"/>
    </row>
    <row r="137" spans="1:8" ht="12.75" customHeight="1" x14ac:dyDescent="0.25">
      <c r="A137" s="654">
        <f t="shared" si="2"/>
        <v>132</v>
      </c>
      <c r="B137" s="649"/>
      <c r="C137" s="650"/>
      <c r="D137" s="647"/>
      <c r="E137" s="655"/>
      <c r="F137" s="681"/>
      <c r="G137" s="681"/>
      <c r="H137" s="656"/>
    </row>
    <row r="138" spans="1:8" ht="12.75" customHeight="1" x14ac:dyDescent="0.25">
      <c r="A138" s="654">
        <f t="shared" si="2"/>
        <v>133</v>
      </c>
      <c r="B138" s="649"/>
      <c r="C138" s="650"/>
      <c r="D138" s="647"/>
      <c r="E138" s="655"/>
      <c r="F138" s="681"/>
      <c r="G138" s="681"/>
      <c r="H138" s="656"/>
    </row>
    <row r="139" spans="1:8" ht="12.75" customHeight="1" x14ac:dyDescent="0.25">
      <c r="A139" s="654">
        <f t="shared" si="2"/>
        <v>134</v>
      </c>
      <c r="B139" s="649"/>
      <c r="C139" s="650"/>
      <c r="D139" s="647"/>
      <c r="E139" s="655"/>
      <c r="F139" s="681"/>
      <c r="G139" s="681"/>
      <c r="H139" s="656"/>
    </row>
    <row r="140" spans="1:8" ht="12.75" customHeight="1" x14ac:dyDescent="0.25">
      <c r="A140" s="654">
        <f t="shared" si="2"/>
        <v>135</v>
      </c>
      <c r="B140" s="649"/>
      <c r="C140" s="650"/>
      <c r="D140" s="647"/>
      <c r="E140" s="655"/>
      <c r="F140" s="681"/>
      <c r="G140" s="681"/>
      <c r="H140" s="656"/>
    </row>
    <row r="141" spans="1:8" ht="12.75" customHeight="1" x14ac:dyDescent="0.25">
      <c r="A141" s="654">
        <f t="shared" si="2"/>
        <v>136</v>
      </c>
      <c r="B141" s="649"/>
      <c r="C141" s="650"/>
      <c r="D141" s="647"/>
      <c r="E141" s="655"/>
      <c r="F141" s="681"/>
      <c r="G141" s="681"/>
      <c r="H141" s="656"/>
    </row>
    <row r="142" spans="1:8" ht="12.75" customHeight="1" x14ac:dyDescent="0.25">
      <c r="A142" s="654">
        <f t="shared" si="2"/>
        <v>137</v>
      </c>
      <c r="B142" s="649"/>
      <c r="C142" s="650"/>
      <c r="D142" s="647"/>
      <c r="E142" s="655"/>
      <c r="F142" s="681"/>
      <c r="G142" s="681"/>
      <c r="H142" s="656"/>
    </row>
    <row r="143" spans="1:8" ht="12.75" customHeight="1" x14ac:dyDescent="0.25">
      <c r="A143" s="654">
        <f t="shared" si="2"/>
        <v>138</v>
      </c>
      <c r="B143" s="649"/>
      <c r="C143" s="650"/>
      <c r="D143" s="647"/>
      <c r="E143" s="655"/>
      <c r="F143" s="681"/>
      <c r="G143" s="681"/>
      <c r="H143" s="656"/>
    </row>
    <row r="144" spans="1:8" ht="12.75" customHeight="1" x14ac:dyDescent="0.25">
      <c r="A144" s="654">
        <f t="shared" si="2"/>
        <v>139</v>
      </c>
      <c r="B144" s="649"/>
      <c r="C144" s="650"/>
      <c r="D144" s="647"/>
      <c r="E144" s="655"/>
      <c r="F144" s="681"/>
      <c r="G144" s="681"/>
      <c r="H144" s="656"/>
    </row>
    <row r="145" spans="1:8" ht="12.75" customHeight="1" x14ac:dyDescent="0.25">
      <c r="A145" s="654">
        <f t="shared" si="2"/>
        <v>140</v>
      </c>
      <c r="B145" s="649"/>
      <c r="C145" s="650"/>
      <c r="D145" s="647"/>
      <c r="E145" s="655"/>
      <c r="F145" s="681"/>
      <c r="G145" s="681"/>
      <c r="H145" s="656"/>
    </row>
    <row r="146" spans="1:8" ht="12.75" customHeight="1" x14ac:dyDescent="0.25">
      <c r="A146" s="654">
        <f t="shared" si="2"/>
        <v>141</v>
      </c>
      <c r="B146" s="649"/>
      <c r="C146" s="650"/>
      <c r="D146" s="647"/>
      <c r="E146" s="655"/>
      <c r="F146" s="681"/>
      <c r="G146" s="681"/>
      <c r="H146" s="656"/>
    </row>
    <row r="147" spans="1:8" ht="12.75" customHeight="1" x14ac:dyDescent="0.25">
      <c r="A147" s="654">
        <f t="shared" si="2"/>
        <v>142</v>
      </c>
      <c r="B147" s="649"/>
      <c r="C147" s="650"/>
      <c r="D147" s="647"/>
      <c r="E147" s="655"/>
      <c r="F147" s="681"/>
      <c r="G147" s="681"/>
      <c r="H147" s="656"/>
    </row>
    <row r="148" spans="1:8" ht="12.75" customHeight="1" x14ac:dyDescent="0.25">
      <c r="A148" s="654">
        <f t="shared" si="2"/>
        <v>143</v>
      </c>
      <c r="B148" s="649"/>
      <c r="C148" s="650"/>
      <c r="D148" s="647"/>
      <c r="E148" s="655"/>
      <c r="F148" s="681"/>
      <c r="G148" s="681"/>
      <c r="H148" s="656"/>
    </row>
    <row r="149" spans="1:8" ht="12.75" customHeight="1" x14ac:dyDescent="0.25">
      <c r="A149" s="654">
        <f t="shared" si="2"/>
        <v>144</v>
      </c>
      <c r="B149" s="649"/>
      <c r="C149" s="650"/>
      <c r="D149" s="647"/>
      <c r="E149" s="655"/>
      <c r="F149" s="681"/>
      <c r="G149" s="681"/>
      <c r="H149" s="656"/>
    </row>
    <row r="150" spans="1:8" ht="12.75" customHeight="1" x14ac:dyDescent="0.25">
      <c r="A150" s="654">
        <f t="shared" si="2"/>
        <v>145</v>
      </c>
      <c r="B150" s="649"/>
      <c r="C150" s="650"/>
      <c r="D150" s="647"/>
      <c r="E150" s="655"/>
      <c r="F150" s="681"/>
      <c r="G150" s="681"/>
      <c r="H150" s="656"/>
    </row>
    <row r="151" spans="1:8" ht="12.75" customHeight="1" x14ac:dyDescent="0.25">
      <c r="A151" s="654">
        <f t="shared" si="2"/>
        <v>146</v>
      </c>
      <c r="B151" s="649"/>
      <c r="C151" s="650"/>
      <c r="D151" s="647"/>
      <c r="E151" s="655"/>
      <c r="F151" s="681"/>
      <c r="G151" s="681"/>
      <c r="H151" s="656"/>
    </row>
    <row r="152" spans="1:8" ht="12.75" customHeight="1" x14ac:dyDescent="0.25">
      <c r="A152" s="654">
        <f t="shared" si="2"/>
        <v>147</v>
      </c>
      <c r="B152" s="649"/>
      <c r="C152" s="677"/>
      <c r="D152" s="647"/>
      <c r="E152" s="655"/>
      <c r="F152" s="681"/>
      <c r="G152" s="681"/>
      <c r="H152" s="656"/>
    </row>
    <row r="153" spans="1:8" ht="12.75" customHeight="1" x14ac:dyDescent="0.25">
      <c r="A153" s="654">
        <f t="shared" si="2"/>
        <v>148</v>
      </c>
      <c r="B153" s="649"/>
      <c r="C153" s="650"/>
      <c r="D153" s="647"/>
      <c r="E153" s="655"/>
      <c r="F153" s="681"/>
      <c r="G153" s="681"/>
      <c r="H153" s="656"/>
    </row>
    <row r="154" spans="1:8" ht="12.75" customHeight="1" x14ac:dyDescent="0.25">
      <c r="A154" s="654">
        <f t="shared" si="2"/>
        <v>149</v>
      </c>
      <c r="B154" s="649"/>
      <c r="C154" s="677"/>
      <c r="D154" s="647"/>
      <c r="E154" s="655"/>
      <c r="F154" s="681"/>
      <c r="G154" s="681"/>
      <c r="H154" s="656"/>
    </row>
    <row r="155" spans="1:8" ht="12.75" customHeight="1" x14ac:dyDescent="0.25">
      <c r="A155" s="654">
        <f t="shared" si="2"/>
        <v>150</v>
      </c>
      <c r="B155" s="649"/>
      <c r="D155" s="647"/>
      <c r="E155" s="655"/>
      <c r="F155" s="681"/>
      <c r="G155" s="681"/>
      <c r="H155" s="656"/>
    </row>
    <row r="156" spans="1:8" ht="12.75" customHeight="1" x14ac:dyDescent="0.25">
      <c r="A156" s="654">
        <f t="shared" si="2"/>
        <v>151</v>
      </c>
      <c r="B156" s="649"/>
      <c r="C156" s="674"/>
      <c r="D156" s="647"/>
      <c r="E156" s="655"/>
      <c r="F156" s="681"/>
      <c r="G156" s="681"/>
      <c r="H156" s="656"/>
    </row>
    <row r="157" spans="1:8" ht="12.75" customHeight="1" x14ac:dyDescent="0.25">
      <c r="A157" s="654">
        <f t="shared" si="2"/>
        <v>152</v>
      </c>
      <c r="B157" s="649"/>
      <c r="C157" s="677"/>
      <c r="D157" s="647"/>
      <c r="E157" s="655"/>
      <c r="F157" s="681"/>
      <c r="G157" s="681"/>
      <c r="H157" s="656"/>
    </row>
    <row r="158" spans="1:8" ht="12.75" customHeight="1" x14ac:dyDescent="0.25">
      <c r="A158" s="654">
        <f t="shared" si="2"/>
        <v>153</v>
      </c>
      <c r="B158" s="649"/>
      <c r="C158" s="677"/>
      <c r="D158" s="647"/>
      <c r="E158" s="655"/>
      <c r="F158" s="681"/>
      <c r="G158" s="681"/>
      <c r="H158" s="656"/>
    </row>
    <row r="159" spans="1:8" ht="12.75" customHeight="1" x14ac:dyDescent="0.25">
      <c r="A159" s="654">
        <f t="shared" si="2"/>
        <v>154</v>
      </c>
      <c r="B159" s="649"/>
      <c r="C159" s="677"/>
      <c r="D159" s="647"/>
      <c r="E159" s="655"/>
      <c r="F159" s="681"/>
      <c r="G159" s="681"/>
      <c r="H159" s="656"/>
    </row>
    <row r="160" spans="1:8" ht="12.75" customHeight="1" x14ac:dyDescent="0.25">
      <c r="A160" s="654">
        <f t="shared" si="2"/>
        <v>155</v>
      </c>
      <c r="B160" s="649"/>
      <c r="C160" s="677"/>
      <c r="D160" s="647"/>
      <c r="E160" s="655"/>
      <c r="F160" s="681"/>
      <c r="G160" s="681"/>
      <c r="H160" s="656"/>
    </row>
    <row r="161" spans="1:8" ht="12.75" customHeight="1" x14ac:dyDescent="0.25">
      <c r="A161" s="654">
        <f t="shared" si="2"/>
        <v>156</v>
      </c>
      <c r="B161" s="649"/>
      <c r="C161" s="677"/>
      <c r="D161" s="647"/>
      <c r="E161" s="655"/>
      <c r="F161" s="681"/>
      <c r="G161" s="681"/>
      <c r="H161" s="656"/>
    </row>
    <row r="162" spans="1:8" ht="12.75" customHeight="1" x14ac:dyDescent="0.25">
      <c r="A162" s="654">
        <f t="shared" si="2"/>
        <v>157</v>
      </c>
      <c r="B162" s="649"/>
      <c r="C162" s="677"/>
      <c r="D162" s="647"/>
      <c r="E162" s="655"/>
      <c r="F162" s="681"/>
      <c r="G162" s="681"/>
      <c r="H162" s="656"/>
    </row>
    <row r="163" spans="1:8" ht="12.75" customHeight="1" x14ac:dyDescent="0.25">
      <c r="A163" s="654">
        <f t="shared" si="2"/>
        <v>158</v>
      </c>
      <c r="B163" s="649"/>
      <c r="C163" s="677"/>
      <c r="D163" s="647"/>
      <c r="E163" s="655"/>
      <c r="F163" s="681"/>
      <c r="G163" s="681"/>
      <c r="H163" s="656"/>
    </row>
    <row r="164" spans="1:8" ht="12.75" customHeight="1" x14ac:dyDescent="0.25">
      <c r="A164" s="654">
        <f t="shared" si="2"/>
        <v>159</v>
      </c>
      <c r="B164" s="649"/>
      <c r="C164" s="674"/>
      <c r="D164" s="647"/>
      <c r="E164" s="655"/>
      <c r="F164" s="681"/>
      <c r="G164" s="681"/>
      <c r="H164" s="656"/>
    </row>
    <row r="165" spans="1:8" ht="12.75" customHeight="1" x14ac:dyDescent="0.25">
      <c r="A165" s="654">
        <f t="shared" si="2"/>
        <v>160</v>
      </c>
      <c r="B165" s="649"/>
      <c r="C165" s="674"/>
      <c r="D165" s="647"/>
      <c r="E165" s="655"/>
      <c r="F165" s="681"/>
      <c r="G165" s="681"/>
      <c r="H165" s="656"/>
    </row>
    <row r="166" spans="1:8" ht="12.75" customHeight="1" x14ac:dyDescent="0.25">
      <c r="A166" s="654">
        <f t="shared" si="2"/>
        <v>161</v>
      </c>
      <c r="B166" s="649"/>
      <c r="C166" s="674"/>
      <c r="D166" s="647"/>
      <c r="E166" s="655"/>
      <c r="F166" s="681"/>
      <c r="G166" s="681"/>
      <c r="H166" s="656"/>
    </row>
    <row r="167" spans="1:8" ht="12.75" customHeight="1" x14ac:dyDescent="0.25">
      <c r="A167" s="654">
        <f t="shared" si="2"/>
        <v>162</v>
      </c>
      <c r="B167" s="649"/>
      <c r="C167" s="674"/>
      <c r="D167" s="647"/>
      <c r="E167" s="655"/>
      <c r="F167" s="681"/>
      <c r="G167" s="681"/>
      <c r="H167" s="656"/>
    </row>
    <row r="168" spans="1:8" ht="12.75" customHeight="1" x14ac:dyDescent="0.25">
      <c r="A168" s="654">
        <f t="shared" si="2"/>
        <v>163</v>
      </c>
      <c r="B168" s="649"/>
      <c r="C168" s="674"/>
      <c r="D168" s="647"/>
      <c r="E168" s="655"/>
      <c r="F168" s="681"/>
      <c r="G168" s="681"/>
      <c r="H168" s="656"/>
    </row>
    <row r="169" spans="1:8" ht="12.75" customHeight="1" x14ac:dyDescent="0.25">
      <c r="A169" s="654">
        <f t="shared" si="2"/>
        <v>164</v>
      </c>
      <c r="B169" s="649"/>
      <c r="C169" s="650"/>
      <c r="D169" s="647"/>
      <c r="E169" s="655"/>
      <c r="F169" s="681"/>
      <c r="G169" s="681"/>
      <c r="H169" s="656"/>
    </row>
    <row r="170" spans="1:8" ht="12.75" customHeight="1" x14ac:dyDescent="0.25">
      <c r="A170" s="654">
        <f t="shared" si="2"/>
        <v>165</v>
      </c>
      <c r="B170" s="649"/>
      <c r="C170" s="650"/>
      <c r="D170" s="647"/>
      <c r="E170" s="655"/>
      <c r="F170" s="681"/>
      <c r="G170" s="681"/>
      <c r="H170" s="656"/>
    </row>
    <row r="171" spans="1:8" ht="12.75" customHeight="1" x14ac:dyDescent="0.25">
      <c r="A171" s="654">
        <f t="shared" si="2"/>
        <v>166</v>
      </c>
      <c r="B171" s="649"/>
      <c r="C171" s="650"/>
      <c r="D171" s="647"/>
      <c r="E171" s="655"/>
      <c r="F171" s="681"/>
      <c r="G171" s="681"/>
      <c r="H171" s="656"/>
    </row>
    <row r="172" spans="1:8" ht="12.75" customHeight="1" x14ac:dyDescent="0.25">
      <c r="A172" s="654">
        <f t="shared" si="2"/>
        <v>167</v>
      </c>
      <c r="B172" s="649"/>
      <c r="C172" s="650"/>
      <c r="D172" s="647"/>
      <c r="E172" s="655"/>
      <c r="F172" s="681"/>
      <c r="G172" s="681"/>
      <c r="H172" s="656"/>
    </row>
    <row r="173" spans="1:8" ht="12.75" customHeight="1" x14ac:dyDescent="0.25">
      <c r="A173" s="654">
        <f t="shared" si="2"/>
        <v>168</v>
      </c>
      <c r="B173" s="649"/>
      <c r="C173" s="650"/>
      <c r="D173" s="647"/>
      <c r="E173" s="655"/>
      <c r="F173" s="681"/>
      <c r="G173" s="681"/>
      <c r="H173" s="656"/>
    </row>
    <row r="174" spans="1:8" ht="12.75" customHeight="1" x14ac:dyDescent="0.25">
      <c r="A174" s="654">
        <f t="shared" si="2"/>
        <v>169</v>
      </c>
      <c r="B174" s="649"/>
      <c r="C174" s="650"/>
      <c r="D174" s="647"/>
      <c r="E174" s="655"/>
      <c r="F174" s="681"/>
      <c r="G174" s="681"/>
      <c r="H174" s="656"/>
    </row>
    <row r="175" spans="1:8" ht="12.75" customHeight="1" x14ac:dyDescent="0.25">
      <c r="A175" s="654">
        <f t="shared" si="2"/>
        <v>170</v>
      </c>
      <c r="B175" s="649"/>
      <c r="C175" s="650"/>
      <c r="D175" s="647"/>
      <c r="E175" s="655"/>
      <c r="F175" s="681"/>
      <c r="G175" s="681"/>
      <c r="H175" s="656"/>
    </row>
    <row r="176" spans="1:8" ht="12.75" customHeight="1" x14ac:dyDescent="0.25">
      <c r="A176" s="654">
        <f t="shared" si="2"/>
        <v>171</v>
      </c>
      <c r="B176" s="649"/>
      <c r="C176" s="650"/>
      <c r="D176" s="647"/>
      <c r="E176" s="655"/>
      <c r="F176" s="681"/>
      <c r="G176" s="681"/>
      <c r="H176" s="656"/>
    </row>
    <row r="177" spans="1:8" ht="12.75" customHeight="1" x14ac:dyDescent="0.25">
      <c r="A177" s="654">
        <f t="shared" si="2"/>
        <v>172</v>
      </c>
      <c r="B177" s="649"/>
      <c r="C177" s="650"/>
      <c r="D177" s="647"/>
      <c r="E177" s="655"/>
      <c r="F177" s="681"/>
      <c r="G177" s="681"/>
      <c r="H177" s="656"/>
    </row>
    <row r="178" spans="1:8" ht="12.75" customHeight="1" x14ac:dyDescent="0.25">
      <c r="A178" s="654">
        <f t="shared" si="2"/>
        <v>173</v>
      </c>
      <c r="B178" s="649"/>
      <c r="C178" s="650"/>
      <c r="D178" s="647"/>
      <c r="E178" s="655"/>
      <c r="F178" s="681"/>
      <c r="G178" s="681"/>
      <c r="H178" s="656"/>
    </row>
    <row r="179" spans="1:8" ht="12.75" customHeight="1" x14ac:dyDescent="0.25">
      <c r="A179" s="654">
        <f t="shared" si="2"/>
        <v>174</v>
      </c>
      <c r="B179" s="649"/>
      <c r="C179" s="650"/>
      <c r="D179" s="647"/>
      <c r="E179" s="655"/>
      <c r="F179" s="681"/>
      <c r="G179" s="681"/>
      <c r="H179" s="656"/>
    </row>
    <row r="180" spans="1:8" ht="12.75" customHeight="1" x14ac:dyDescent="0.25">
      <c r="A180" s="654">
        <f t="shared" si="2"/>
        <v>175</v>
      </c>
      <c r="B180" s="649"/>
      <c r="C180" s="650"/>
      <c r="D180" s="647"/>
      <c r="E180" s="655"/>
      <c r="F180" s="681"/>
      <c r="G180" s="681"/>
      <c r="H180" s="656"/>
    </row>
    <row r="181" spans="1:8" ht="12.75" customHeight="1" x14ac:dyDescent="0.25">
      <c r="A181" s="654">
        <f t="shared" si="2"/>
        <v>176</v>
      </c>
      <c r="B181" s="649"/>
      <c r="C181" s="650"/>
      <c r="D181" s="647"/>
      <c r="E181" s="655"/>
      <c r="F181" s="681"/>
      <c r="G181" s="681"/>
      <c r="H181" s="656"/>
    </row>
    <row r="182" spans="1:8" ht="12.75" customHeight="1" x14ac:dyDescent="0.25">
      <c r="A182" s="654">
        <f t="shared" si="2"/>
        <v>177</v>
      </c>
      <c r="B182" s="649"/>
      <c r="C182" s="650"/>
      <c r="D182" s="647"/>
      <c r="E182" s="655"/>
      <c r="F182" s="681"/>
      <c r="G182" s="681"/>
      <c r="H182" s="656"/>
    </row>
    <row r="183" spans="1:8" ht="12.75" customHeight="1" x14ac:dyDescent="0.25">
      <c r="A183" s="654">
        <f t="shared" si="2"/>
        <v>178</v>
      </c>
      <c r="B183" s="649"/>
      <c r="C183" s="650"/>
      <c r="D183" s="647"/>
      <c r="E183" s="655"/>
      <c r="F183" s="681"/>
      <c r="G183" s="681"/>
      <c r="H183" s="656"/>
    </row>
    <row r="184" spans="1:8" ht="12.75" customHeight="1" x14ac:dyDescent="0.25">
      <c r="A184" s="654">
        <f t="shared" si="2"/>
        <v>179</v>
      </c>
      <c r="B184" s="649"/>
      <c r="C184" s="650"/>
      <c r="D184" s="647"/>
      <c r="E184" s="655"/>
      <c r="F184" s="681"/>
      <c r="G184" s="681"/>
      <c r="H184" s="656"/>
    </row>
    <row r="185" spans="1:8" ht="12.75" customHeight="1" x14ac:dyDescent="0.25">
      <c r="A185" s="654">
        <f t="shared" si="2"/>
        <v>180</v>
      </c>
      <c r="B185" s="649"/>
      <c r="C185" s="650"/>
      <c r="D185" s="647"/>
      <c r="E185" s="655"/>
      <c r="F185" s="681"/>
      <c r="G185" s="681"/>
      <c r="H185" s="656"/>
    </row>
    <row r="186" spans="1:8" ht="12.75" customHeight="1" x14ac:dyDescent="0.25">
      <c r="A186" s="654">
        <f t="shared" si="2"/>
        <v>181</v>
      </c>
      <c r="B186" s="649"/>
      <c r="C186" s="650"/>
      <c r="D186" s="647"/>
      <c r="E186" s="655"/>
      <c r="F186" s="681"/>
      <c r="G186" s="681"/>
      <c r="H186" s="656"/>
    </row>
    <row r="187" spans="1:8" ht="12.75" customHeight="1" x14ac:dyDescent="0.25">
      <c r="A187" s="654">
        <f t="shared" si="2"/>
        <v>182</v>
      </c>
      <c r="B187" s="649"/>
      <c r="C187" s="650"/>
      <c r="D187" s="647"/>
      <c r="E187" s="655"/>
      <c r="F187" s="681"/>
      <c r="G187" s="681"/>
      <c r="H187" s="656"/>
    </row>
    <row r="188" spans="1:8" ht="12.75" customHeight="1" x14ac:dyDescent="0.25">
      <c r="A188" s="654">
        <f t="shared" si="2"/>
        <v>183</v>
      </c>
      <c r="B188" s="649"/>
      <c r="C188" s="650"/>
      <c r="D188" s="647"/>
      <c r="E188" s="655"/>
      <c r="F188" s="681"/>
      <c r="G188" s="681"/>
      <c r="H188" s="656"/>
    </row>
    <row r="189" spans="1:8" ht="12.75" customHeight="1" x14ac:dyDescent="0.25">
      <c r="A189" s="654">
        <f t="shared" si="2"/>
        <v>184</v>
      </c>
      <c r="B189" s="649"/>
      <c r="C189" s="650"/>
      <c r="D189" s="647"/>
      <c r="E189" s="655"/>
      <c r="F189" s="681"/>
      <c r="G189" s="681"/>
      <c r="H189" s="656"/>
    </row>
    <row r="190" spans="1:8" ht="12.75" customHeight="1" x14ac:dyDescent="0.25">
      <c r="A190" s="654">
        <f t="shared" si="2"/>
        <v>185</v>
      </c>
      <c r="B190" s="649"/>
      <c r="C190" s="650"/>
      <c r="D190" s="647"/>
      <c r="E190" s="655"/>
      <c r="F190" s="681"/>
      <c r="G190" s="681"/>
      <c r="H190" s="656"/>
    </row>
    <row r="191" spans="1:8" ht="12.75" customHeight="1" x14ac:dyDescent="0.25">
      <c r="A191" s="654">
        <f t="shared" si="2"/>
        <v>186</v>
      </c>
      <c r="B191" s="649"/>
      <c r="C191" s="650"/>
      <c r="D191" s="647"/>
      <c r="E191" s="655"/>
      <c r="F191" s="681"/>
      <c r="G191" s="681"/>
      <c r="H191" s="656"/>
    </row>
    <row r="192" spans="1:8" ht="12.75" customHeight="1" x14ac:dyDescent="0.25">
      <c r="A192" s="654">
        <f t="shared" si="2"/>
        <v>187</v>
      </c>
      <c r="B192" s="649"/>
      <c r="C192" s="650"/>
      <c r="D192" s="647"/>
      <c r="E192" s="655"/>
      <c r="F192" s="681"/>
      <c r="G192" s="681"/>
      <c r="H192" s="656"/>
    </row>
    <row r="193" spans="1:8" ht="12.75" customHeight="1" x14ac:dyDescent="0.25">
      <c r="A193" s="654">
        <f t="shared" ref="A193:A256" si="3">ROW()-5</f>
        <v>188</v>
      </c>
      <c r="B193" s="649"/>
      <c r="C193" s="650"/>
      <c r="D193" s="647"/>
      <c r="E193" s="655"/>
      <c r="F193" s="681"/>
      <c r="G193" s="681"/>
      <c r="H193" s="656"/>
    </row>
    <row r="194" spans="1:8" ht="12.75" customHeight="1" x14ac:dyDescent="0.25">
      <c r="A194" s="654">
        <f t="shared" si="3"/>
        <v>189</v>
      </c>
      <c r="B194" s="649"/>
      <c r="C194" s="650"/>
      <c r="D194" s="647"/>
      <c r="E194" s="655"/>
      <c r="F194" s="681"/>
      <c r="G194" s="681"/>
      <c r="H194" s="656"/>
    </row>
    <row r="195" spans="1:8" ht="12.75" customHeight="1" x14ac:dyDescent="0.25">
      <c r="A195" s="654">
        <f t="shared" si="3"/>
        <v>190</v>
      </c>
      <c r="B195" s="649"/>
      <c r="C195" s="650"/>
      <c r="D195" s="647"/>
      <c r="E195" s="655"/>
      <c r="F195" s="681"/>
      <c r="G195" s="681"/>
      <c r="H195" s="656"/>
    </row>
    <row r="196" spans="1:8" ht="12.75" customHeight="1" x14ac:dyDescent="0.25">
      <c r="A196" s="654">
        <f t="shared" si="3"/>
        <v>191</v>
      </c>
      <c r="B196" s="649"/>
      <c r="C196" s="650"/>
      <c r="D196" s="647"/>
      <c r="E196" s="655"/>
      <c r="F196" s="681"/>
      <c r="G196" s="681"/>
      <c r="H196" s="656"/>
    </row>
    <row r="197" spans="1:8" ht="12.75" customHeight="1" x14ac:dyDescent="0.25">
      <c r="A197" s="654">
        <f t="shared" si="3"/>
        <v>192</v>
      </c>
      <c r="B197" s="649"/>
      <c r="C197" s="650"/>
      <c r="D197" s="647"/>
      <c r="E197" s="655"/>
      <c r="F197" s="681"/>
      <c r="G197" s="681"/>
      <c r="H197" s="656"/>
    </row>
    <row r="198" spans="1:8" ht="12.75" customHeight="1" x14ac:dyDescent="0.25">
      <c r="A198" s="654">
        <f t="shared" si="3"/>
        <v>193</v>
      </c>
      <c r="B198" s="649"/>
      <c r="C198" s="650"/>
      <c r="D198" s="647"/>
      <c r="E198" s="655"/>
      <c r="F198" s="681"/>
      <c r="G198" s="681"/>
      <c r="H198" s="656"/>
    </row>
    <row r="199" spans="1:8" ht="12.75" customHeight="1" x14ac:dyDescent="0.25">
      <c r="A199" s="654">
        <f t="shared" si="3"/>
        <v>194</v>
      </c>
      <c r="B199" s="649"/>
      <c r="C199" s="650"/>
      <c r="D199" s="647"/>
      <c r="E199" s="655"/>
      <c r="F199" s="681"/>
      <c r="G199" s="681"/>
      <c r="H199" s="656"/>
    </row>
    <row r="200" spans="1:8" ht="12.75" customHeight="1" x14ac:dyDescent="0.25">
      <c r="A200" s="654">
        <f t="shared" si="3"/>
        <v>195</v>
      </c>
      <c r="B200" s="649"/>
      <c r="C200" s="650"/>
      <c r="D200" s="647"/>
      <c r="E200" s="655"/>
      <c r="F200" s="681"/>
      <c r="G200" s="681"/>
      <c r="H200" s="656"/>
    </row>
    <row r="201" spans="1:8" ht="12.75" customHeight="1" x14ac:dyDescent="0.25">
      <c r="A201" s="654">
        <f t="shared" si="3"/>
        <v>196</v>
      </c>
      <c r="B201" s="649"/>
      <c r="C201" s="650"/>
      <c r="D201" s="647"/>
      <c r="E201" s="655"/>
      <c r="F201" s="681"/>
      <c r="G201" s="681"/>
      <c r="H201" s="656"/>
    </row>
    <row r="202" spans="1:8" ht="12.75" customHeight="1" x14ac:dyDescent="0.25">
      <c r="A202" s="654">
        <f t="shared" si="3"/>
        <v>197</v>
      </c>
      <c r="B202" s="649"/>
      <c r="C202" s="650"/>
      <c r="D202" s="647"/>
      <c r="E202" s="655"/>
      <c r="F202" s="681"/>
      <c r="G202" s="681"/>
      <c r="H202" s="656"/>
    </row>
    <row r="203" spans="1:8" ht="12.75" customHeight="1" x14ac:dyDescent="0.25">
      <c r="A203" s="654">
        <f t="shared" si="3"/>
        <v>198</v>
      </c>
      <c r="B203" s="649"/>
      <c r="C203" s="650"/>
      <c r="D203" s="647"/>
      <c r="E203" s="655"/>
      <c r="F203" s="681"/>
      <c r="G203" s="681"/>
      <c r="H203" s="656"/>
    </row>
    <row r="204" spans="1:8" ht="12.75" customHeight="1" x14ac:dyDescent="0.25">
      <c r="A204" s="654">
        <f t="shared" si="3"/>
        <v>199</v>
      </c>
      <c r="B204" s="649"/>
      <c r="C204" s="650"/>
      <c r="D204" s="647"/>
      <c r="E204" s="655"/>
      <c r="F204" s="681"/>
      <c r="G204" s="681"/>
      <c r="H204" s="656"/>
    </row>
    <row r="205" spans="1:8" ht="12.75" customHeight="1" x14ac:dyDescent="0.25">
      <c r="A205" s="654">
        <f t="shared" si="3"/>
        <v>200</v>
      </c>
      <c r="B205" s="649"/>
      <c r="C205" s="650"/>
      <c r="D205" s="647"/>
      <c r="E205" s="655"/>
      <c r="F205" s="681"/>
      <c r="G205" s="681"/>
      <c r="H205" s="656"/>
    </row>
    <row r="206" spans="1:8" ht="12.75" customHeight="1" x14ac:dyDescent="0.25">
      <c r="A206" s="654">
        <f t="shared" si="3"/>
        <v>201</v>
      </c>
      <c r="B206" s="649"/>
      <c r="C206" s="650"/>
      <c r="D206" s="647"/>
      <c r="E206" s="655"/>
      <c r="F206" s="681"/>
      <c r="G206" s="681"/>
      <c r="H206" s="656"/>
    </row>
    <row r="207" spans="1:8" ht="12.75" customHeight="1" x14ac:dyDescent="0.25">
      <c r="A207" s="654">
        <f t="shared" si="3"/>
        <v>202</v>
      </c>
      <c r="B207" s="649"/>
      <c r="C207" s="650"/>
      <c r="D207" s="647"/>
      <c r="E207" s="655"/>
      <c r="F207" s="681"/>
      <c r="G207" s="681"/>
      <c r="H207" s="656"/>
    </row>
    <row r="208" spans="1:8" ht="12.75" customHeight="1" x14ac:dyDescent="0.25">
      <c r="A208" s="654">
        <f t="shared" si="3"/>
        <v>203</v>
      </c>
      <c r="B208" s="649"/>
      <c r="C208" s="650"/>
      <c r="D208" s="647"/>
      <c r="E208" s="655"/>
      <c r="F208" s="681"/>
      <c r="G208" s="681"/>
      <c r="H208" s="656"/>
    </row>
    <row r="209" spans="1:8" ht="12.75" customHeight="1" x14ac:dyDescent="0.25">
      <c r="A209" s="654">
        <f t="shared" si="3"/>
        <v>204</v>
      </c>
      <c r="B209" s="649"/>
      <c r="C209" s="650"/>
      <c r="D209" s="647"/>
      <c r="E209" s="655"/>
      <c r="F209" s="681"/>
      <c r="G209" s="681"/>
      <c r="H209" s="656"/>
    </row>
    <row r="210" spans="1:8" ht="12.75" customHeight="1" x14ac:dyDescent="0.25">
      <c r="A210" s="654">
        <f t="shared" si="3"/>
        <v>205</v>
      </c>
      <c r="B210" s="649"/>
      <c r="C210" s="650"/>
      <c r="D210" s="647"/>
      <c r="E210" s="655"/>
      <c r="F210" s="681"/>
      <c r="G210" s="681"/>
      <c r="H210" s="656"/>
    </row>
    <row r="211" spans="1:8" ht="12.75" customHeight="1" x14ac:dyDescent="0.25">
      <c r="A211" s="654">
        <f t="shared" si="3"/>
        <v>206</v>
      </c>
      <c r="B211" s="649"/>
      <c r="C211" s="650"/>
      <c r="D211" s="647"/>
      <c r="E211" s="655"/>
      <c r="F211" s="681"/>
      <c r="G211" s="681"/>
      <c r="H211" s="656"/>
    </row>
    <row r="212" spans="1:8" ht="12.75" customHeight="1" x14ac:dyDescent="0.25">
      <c r="A212" s="654">
        <f t="shared" si="3"/>
        <v>207</v>
      </c>
      <c r="B212" s="649"/>
      <c r="C212" s="650"/>
      <c r="D212" s="647"/>
      <c r="E212" s="655"/>
      <c r="F212" s="681"/>
      <c r="G212" s="681"/>
      <c r="H212" s="656"/>
    </row>
    <row r="213" spans="1:8" ht="12.75" customHeight="1" x14ac:dyDescent="0.25">
      <c r="A213" s="654">
        <f t="shared" si="3"/>
        <v>208</v>
      </c>
      <c r="B213" s="649"/>
      <c r="C213" s="650"/>
      <c r="D213" s="647"/>
      <c r="E213" s="655"/>
      <c r="F213" s="681"/>
      <c r="G213" s="681"/>
      <c r="H213" s="656"/>
    </row>
    <row r="214" spans="1:8" ht="12.75" customHeight="1" x14ac:dyDescent="0.25">
      <c r="A214" s="654">
        <f t="shared" si="3"/>
        <v>209</v>
      </c>
      <c r="B214" s="649"/>
      <c r="C214" s="650"/>
      <c r="D214" s="647"/>
      <c r="E214" s="655"/>
      <c r="F214" s="681"/>
      <c r="G214" s="681"/>
      <c r="H214" s="656"/>
    </row>
    <row r="215" spans="1:8" ht="12.75" customHeight="1" x14ac:dyDescent="0.25">
      <c r="A215" s="654">
        <f t="shared" si="3"/>
        <v>210</v>
      </c>
      <c r="B215" s="649"/>
      <c r="C215" s="650"/>
      <c r="D215" s="647"/>
      <c r="E215" s="655"/>
      <c r="F215" s="681"/>
      <c r="G215" s="681"/>
      <c r="H215" s="656"/>
    </row>
    <row r="216" spans="1:8" ht="12.75" customHeight="1" x14ac:dyDescent="0.25">
      <c r="A216" s="654">
        <f t="shared" si="3"/>
        <v>211</v>
      </c>
      <c r="B216" s="649"/>
      <c r="C216" s="650"/>
      <c r="D216" s="647"/>
      <c r="E216" s="655"/>
      <c r="F216" s="681"/>
      <c r="G216" s="681"/>
      <c r="H216" s="656"/>
    </row>
    <row r="217" spans="1:8" ht="12.75" customHeight="1" x14ac:dyDescent="0.25">
      <c r="A217" s="654">
        <f t="shared" si="3"/>
        <v>212</v>
      </c>
      <c r="B217" s="649"/>
      <c r="C217" s="650"/>
      <c r="D217" s="647"/>
      <c r="E217" s="655"/>
      <c r="F217" s="681"/>
      <c r="G217" s="681"/>
      <c r="H217" s="656"/>
    </row>
    <row r="218" spans="1:8" ht="12.75" customHeight="1" x14ac:dyDescent="0.25">
      <c r="A218" s="654">
        <f t="shared" si="3"/>
        <v>213</v>
      </c>
      <c r="B218" s="649"/>
      <c r="C218" s="650"/>
      <c r="D218" s="647"/>
      <c r="E218" s="655"/>
      <c r="F218" s="681"/>
      <c r="G218" s="681"/>
      <c r="H218" s="656"/>
    </row>
    <row r="219" spans="1:8" ht="12.75" customHeight="1" x14ac:dyDescent="0.25">
      <c r="A219" s="654">
        <f t="shared" si="3"/>
        <v>214</v>
      </c>
      <c r="B219" s="649"/>
      <c r="C219" s="650"/>
      <c r="D219" s="647"/>
      <c r="E219" s="655"/>
      <c r="F219" s="681"/>
      <c r="G219" s="681"/>
      <c r="H219" s="656"/>
    </row>
    <row r="220" spans="1:8" ht="12.75" customHeight="1" x14ac:dyDescent="0.25">
      <c r="A220" s="654">
        <f t="shared" si="3"/>
        <v>215</v>
      </c>
      <c r="B220" s="649"/>
      <c r="C220" s="650"/>
      <c r="D220" s="647"/>
      <c r="E220" s="655"/>
      <c r="F220" s="681"/>
      <c r="G220" s="681"/>
      <c r="H220" s="656"/>
    </row>
    <row r="221" spans="1:8" ht="12.75" customHeight="1" x14ac:dyDescent="0.25">
      <c r="A221" s="654">
        <f t="shared" si="3"/>
        <v>216</v>
      </c>
      <c r="B221" s="649"/>
      <c r="C221" s="650"/>
      <c r="D221" s="647"/>
      <c r="E221" s="655"/>
      <c r="F221" s="681"/>
      <c r="G221" s="681"/>
      <c r="H221" s="656"/>
    </row>
    <row r="222" spans="1:8" ht="12.75" customHeight="1" x14ac:dyDescent="0.25">
      <c r="A222" s="654">
        <f t="shared" si="3"/>
        <v>217</v>
      </c>
      <c r="B222" s="649"/>
      <c r="C222" s="650"/>
      <c r="D222" s="647"/>
      <c r="E222" s="655"/>
      <c r="F222" s="681"/>
      <c r="G222" s="681"/>
      <c r="H222" s="656"/>
    </row>
    <row r="223" spans="1:8" ht="12.75" customHeight="1" x14ac:dyDescent="0.25">
      <c r="A223" s="654">
        <f t="shared" si="3"/>
        <v>218</v>
      </c>
      <c r="B223" s="649"/>
      <c r="C223" s="650"/>
      <c r="D223" s="647"/>
      <c r="E223" s="655"/>
      <c r="F223" s="681"/>
      <c r="G223" s="681"/>
      <c r="H223" s="656"/>
    </row>
    <row r="224" spans="1:8" ht="12.75" customHeight="1" x14ac:dyDescent="0.25">
      <c r="A224" s="654">
        <f t="shared" si="3"/>
        <v>219</v>
      </c>
      <c r="B224" s="649"/>
      <c r="C224" s="650"/>
      <c r="D224" s="647"/>
      <c r="E224" s="655"/>
      <c r="F224" s="681"/>
      <c r="G224" s="681"/>
      <c r="H224" s="656"/>
    </row>
    <row r="225" spans="1:8" ht="12.75" customHeight="1" x14ac:dyDescent="0.25">
      <c r="A225" s="654">
        <f t="shared" si="3"/>
        <v>220</v>
      </c>
      <c r="B225" s="649"/>
      <c r="C225" s="650"/>
      <c r="D225" s="647"/>
      <c r="E225" s="655"/>
      <c r="F225" s="681"/>
      <c r="G225" s="681"/>
      <c r="H225" s="656"/>
    </row>
    <row r="226" spans="1:8" ht="12.75" customHeight="1" x14ac:dyDescent="0.25">
      <c r="A226" s="654">
        <f t="shared" si="3"/>
        <v>221</v>
      </c>
      <c r="B226" s="649"/>
      <c r="C226" s="650"/>
      <c r="D226" s="647"/>
      <c r="E226" s="655"/>
      <c r="F226" s="681"/>
      <c r="G226" s="681"/>
      <c r="H226" s="656"/>
    </row>
    <row r="227" spans="1:8" ht="12.75" customHeight="1" x14ac:dyDescent="0.25">
      <c r="A227" s="654">
        <f t="shared" si="3"/>
        <v>222</v>
      </c>
      <c r="B227" s="649"/>
      <c r="C227" s="650"/>
      <c r="D227" s="647"/>
      <c r="E227" s="655"/>
      <c r="F227" s="681"/>
      <c r="G227" s="681"/>
      <c r="H227" s="656"/>
    </row>
    <row r="228" spans="1:8" ht="12.75" customHeight="1" x14ac:dyDescent="0.25">
      <c r="A228" s="654">
        <f t="shared" si="3"/>
        <v>223</v>
      </c>
      <c r="B228" s="649"/>
      <c r="C228" s="650"/>
      <c r="D228" s="647"/>
      <c r="E228" s="655"/>
      <c r="F228" s="681"/>
      <c r="G228" s="681"/>
      <c r="H228" s="656"/>
    </row>
    <row r="229" spans="1:8" ht="12.75" customHeight="1" x14ac:dyDescent="0.25">
      <c r="A229" s="654">
        <f t="shared" si="3"/>
        <v>224</v>
      </c>
      <c r="B229" s="649"/>
      <c r="C229" s="650"/>
      <c r="D229" s="647"/>
      <c r="E229" s="655"/>
      <c r="F229" s="681"/>
      <c r="G229" s="681"/>
      <c r="H229" s="656"/>
    </row>
    <row r="230" spans="1:8" ht="12.75" customHeight="1" x14ac:dyDescent="0.25">
      <c r="A230" s="654">
        <f t="shared" si="3"/>
        <v>225</v>
      </c>
      <c r="B230" s="649"/>
      <c r="C230" s="650"/>
      <c r="D230" s="647"/>
      <c r="E230" s="655"/>
      <c r="F230" s="681"/>
      <c r="G230" s="681"/>
      <c r="H230" s="656"/>
    </row>
    <row r="231" spans="1:8" ht="12.75" customHeight="1" x14ac:dyDescent="0.25">
      <c r="A231" s="654">
        <f t="shared" si="3"/>
        <v>226</v>
      </c>
      <c r="B231" s="649"/>
      <c r="C231" s="650"/>
      <c r="D231" s="647"/>
      <c r="E231" s="655"/>
      <c r="F231" s="681"/>
      <c r="G231" s="681"/>
      <c r="H231" s="656"/>
    </row>
    <row r="232" spans="1:8" ht="12.75" customHeight="1" x14ac:dyDescent="0.25">
      <c r="A232" s="654">
        <f t="shared" si="3"/>
        <v>227</v>
      </c>
      <c r="B232" s="649"/>
      <c r="C232" s="650"/>
      <c r="D232" s="647"/>
      <c r="E232" s="655"/>
      <c r="F232" s="681"/>
      <c r="G232" s="681"/>
      <c r="H232" s="656"/>
    </row>
    <row r="233" spans="1:8" ht="12.75" customHeight="1" x14ac:dyDescent="0.25">
      <c r="A233" s="654">
        <f t="shared" si="3"/>
        <v>228</v>
      </c>
      <c r="B233" s="649"/>
      <c r="C233" s="650"/>
      <c r="D233" s="647"/>
      <c r="E233" s="655"/>
      <c r="F233" s="681"/>
      <c r="G233" s="681"/>
      <c r="H233" s="656"/>
    </row>
    <row r="234" spans="1:8" ht="12.75" customHeight="1" x14ac:dyDescent="0.25">
      <c r="A234" s="654">
        <f t="shared" si="3"/>
        <v>229</v>
      </c>
      <c r="B234" s="649"/>
      <c r="C234" s="650"/>
      <c r="D234" s="647"/>
      <c r="E234" s="655"/>
      <c r="F234" s="681"/>
      <c r="G234" s="681"/>
      <c r="H234" s="656"/>
    </row>
    <row r="235" spans="1:8" ht="12.75" customHeight="1" x14ac:dyDescent="0.25">
      <c r="A235" s="654">
        <f t="shared" si="3"/>
        <v>230</v>
      </c>
      <c r="B235" s="649"/>
      <c r="C235" s="650"/>
      <c r="D235" s="647"/>
      <c r="E235" s="655"/>
      <c r="F235" s="681"/>
      <c r="G235" s="681"/>
      <c r="H235" s="656"/>
    </row>
    <row r="236" spans="1:8" ht="12.75" customHeight="1" x14ac:dyDescent="0.25">
      <c r="A236" s="654">
        <f t="shared" si="3"/>
        <v>231</v>
      </c>
      <c r="B236" s="649"/>
      <c r="C236" s="650"/>
      <c r="D236" s="647"/>
      <c r="E236" s="655"/>
      <c r="F236" s="681"/>
      <c r="G236" s="681"/>
      <c r="H236" s="656"/>
    </row>
    <row r="237" spans="1:8" ht="12.75" customHeight="1" x14ac:dyDescent="0.25">
      <c r="A237" s="654">
        <f t="shared" si="3"/>
        <v>232</v>
      </c>
      <c r="B237" s="649"/>
      <c r="C237" s="650"/>
      <c r="D237" s="647"/>
      <c r="E237" s="655"/>
      <c r="F237" s="681"/>
      <c r="G237" s="681"/>
      <c r="H237" s="656"/>
    </row>
    <row r="238" spans="1:8" ht="12.75" customHeight="1" x14ac:dyDescent="0.25">
      <c r="A238" s="654">
        <f t="shared" si="3"/>
        <v>233</v>
      </c>
      <c r="B238" s="649"/>
      <c r="C238" s="650"/>
      <c r="D238" s="647"/>
      <c r="E238" s="655"/>
      <c r="F238" s="681"/>
      <c r="G238" s="681"/>
      <c r="H238" s="656"/>
    </row>
    <row r="239" spans="1:8" ht="12.75" customHeight="1" x14ac:dyDescent="0.25">
      <c r="A239" s="654">
        <f t="shared" si="3"/>
        <v>234</v>
      </c>
      <c r="B239" s="649"/>
      <c r="C239" s="650"/>
      <c r="D239" s="647"/>
      <c r="E239" s="655"/>
      <c r="F239" s="681"/>
      <c r="G239" s="681"/>
      <c r="H239" s="656"/>
    </row>
    <row r="240" spans="1:8" ht="12.75" customHeight="1" x14ac:dyDescent="0.25">
      <c r="A240" s="654">
        <f t="shared" si="3"/>
        <v>235</v>
      </c>
      <c r="B240" s="649"/>
      <c r="C240" s="650"/>
      <c r="D240" s="647"/>
      <c r="E240" s="655"/>
      <c r="F240" s="681"/>
      <c r="G240" s="681"/>
      <c r="H240" s="656"/>
    </row>
    <row r="241" spans="1:8" ht="12.75" customHeight="1" x14ac:dyDescent="0.25">
      <c r="A241" s="654">
        <f t="shared" si="3"/>
        <v>236</v>
      </c>
      <c r="B241" s="649"/>
      <c r="C241" s="650"/>
      <c r="D241" s="647"/>
      <c r="E241" s="655"/>
      <c r="F241" s="681"/>
      <c r="G241" s="681"/>
      <c r="H241" s="656"/>
    </row>
    <row r="242" spans="1:8" ht="12.75" customHeight="1" x14ac:dyDescent="0.25">
      <c r="A242" s="654">
        <f t="shared" si="3"/>
        <v>237</v>
      </c>
      <c r="B242" s="649"/>
      <c r="C242" s="650"/>
      <c r="D242" s="647"/>
      <c r="E242" s="655"/>
      <c r="F242" s="681"/>
      <c r="G242" s="681"/>
      <c r="H242" s="656"/>
    </row>
    <row r="243" spans="1:8" ht="12.75" customHeight="1" x14ac:dyDescent="0.25">
      <c r="A243" s="654">
        <f t="shared" si="3"/>
        <v>238</v>
      </c>
      <c r="B243" s="649"/>
      <c r="C243" s="650"/>
      <c r="D243" s="647"/>
      <c r="E243" s="655"/>
      <c r="F243" s="681"/>
      <c r="G243" s="681"/>
      <c r="H243" s="656"/>
    </row>
    <row r="244" spans="1:8" ht="12.75" customHeight="1" x14ac:dyDescent="0.25">
      <c r="A244" s="654">
        <f t="shared" si="3"/>
        <v>239</v>
      </c>
      <c r="B244" s="649"/>
      <c r="C244" s="650"/>
      <c r="D244" s="647"/>
      <c r="E244" s="655"/>
      <c r="F244" s="681"/>
      <c r="G244" s="681"/>
      <c r="H244" s="656"/>
    </row>
    <row r="245" spans="1:8" ht="12.75" customHeight="1" x14ac:dyDescent="0.25">
      <c r="A245" s="654">
        <f t="shared" si="3"/>
        <v>240</v>
      </c>
      <c r="B245" s="649"/>
      <c r="C245" s="650"/>
      <c r="D245" s="647"/>
      <c r="E245" s="655"/>
      <c r="F245" s="681"/>
      <c r="G245" s="681"/>
      <c r="H245" s="656"/>
    </row>
    <row r="246" spans="1:8" ht="12.75" customHeight="1" x14ac:dyDescent="0.25">
      <c r="A246" s="654">
        <f t="shared" si="3"/>
        <v>241</v>
      </c>
      <c r="B246" s="649"/>
      <c r="C246" s="650"/>
      <c r="D246" s="647"/>
      <c r="E246" s="655"/>
      <c r="F246" s="681"/>
      <c r="G246" s="681"/>
      <c r="H246" s="656"/>
    </row>
    <row r="247" spans="1:8" ht="12.75" customHeight="1" x14ac:dyDescent="0.25">
      <c r="A247" s="654">
        <f t="shared" si="3"/>
        <v>242</v>
      </c>
      <c r="B247" s="649"/>
      <c r="C247" s="650"/>
      <c r="D247" s="647"/>
      <c r="E247" s="655"/>
      <c r="F247" s="681"/>
      <c r="G247" s="681"/>
      <c r="H247" s="656"/>
    </row>
    <row r="248" spans="1:8" ht="12.75" customHeight="1" x14ac:dyDescent="0.25">
      <c r="A248" s="654">
        <f t="shared" si="3"/>
        <v>243</v>
      </c>
      <c r="B248" s="649"/>
      <c r="C248" s="650"/>
      <c r="D248" s="647"/>
      <c r="E248" s="655"/>
      <c r="F248" s="681"/>
      <c r="G248" s="681"/>
      <c r="H248" s="656"/>
    </row>
    <row r="249" spans="1:8" ht="12.75" customHeight="1" x14ac:dyDescent="0.25">
      <c r="A249" s="654">
        <f t="shared" si="3"/>
        <v>244</v>
      </c>
      <c r="B249" s="649"/>
      <c r="C249" s="650"/>
      <c r="D249" s="647"/>
      <c r="E249" s="655"/>
      <c r="F249" s="681"/>
      <c r="G249" s="681"/>
      <c r="H249" s="656"/>
    </row>
    <row r="250" spans="1:8" ht="12.75" customHeight="1" x14ac:dyDescent="0.25">
      <c r="A250" s="654">
        <f t="shared" si="3"/>
        <v>245</v>
      </c>
      <c r="B250" s="649"/>
      <c r="C250" s="650"/>
      <c r="D250" s="647"/>
      <c r="E250" s="655"/>
      <c r="F250" s="681"/>
      <c r="G250" s="681"/>
      <c r="H250" s="656"/>
    </row>
    <row r="251" spans="1:8" ht="12.75" customHeight="1" x14ac:dyDescent="0.25">
      <c r="A251" s="651">
        <f t="shared" si="3"/>
        <v>246</v>
      </c>
      <c r="B251" s="645"/>
      <c r="C251" s="646"/>
      <c r="D251" s="652"/>
      <c r="E251" s="655"/>
      <c r="F251" s="683"/>
      <c r="G251" s="683"/>
      <c r="H251" s="653"/>
    </row>
    <row r="252" spans="1:8" ht="12.75" customHeight="1" x14ac:dyDescent="0.25">
      <c r="A252" s="631">
        <f t="shared" si="3"/>
        <v>247</v>
      </c>
      <c r="B252" s="632"/>
      <c r="C252" s="633"/>
      <c r="D252" s="634"/>
      <c r="E252" s="655"/>
      <c r="F252" s="684"/>
      <c r="G252" s="684"/>
      <c r="H252" s="635"/>
    </row>
    <row r="253" spans="1:8" ht="12.75" customHeight="1" x14ac:dyDescent="0.25">
      <c r="A253" s="631">
        <f t="shared" si="3"/>
        <v>248</v>
      </c>
      <c r="B253" s="632"/>
      <c r="C253" s="633"/>
      <c r="D253" s="634"/>
      <c r="E253" s="655"/>
      <c r="F253" s="684"/>
      <c r="G253" s="684"/>
      <c r="H253" s="635"/>
    </row>
    <row r="254" spans="1:8" ht="12.75" customHeight="1" x14ac:dyDescent="0.25">
      <c r="A254" s="631">
        <f t="shared" si="3"/>
        <v>249</v>
      </c>
      <c r="B254" s="632"/>
      <c r="C254" s="633"/>
      <c r="D254" s="634"/>
      <c r="E254" s="655"/>
      <c r="F254" s="684"/>
      <c r="G254" s="684"/>
      <c r="H254" s="635"/>
    </row>
    <row r="255" spans="1:8" ht="12.75" customHeight="1" x14ac:dyDescent="0.25">
      <c r="A255" s="631">
        <f t="shared" si="3"/>
        <v>250</v>
      </c>
      <c r="B255" s="632"/>
      <c r="C255" s="633"/>
      <c r="D255" s="634"/>
      <c r="E255" s="655"/>
      <c r="F255" s="684"/>
      <c r="G255" s="684"/>
      <c r="H255" s="635"/>
    </row>
    <row r="256" spans="1:8" ht="12.75" customHeight="1" x14ac:dyDescent="0.25">
      <c r="A256" s="631">
        <f t="shared" si="3"/>
        <v>251</v>
      </c>
      <c r="B256" s="632"/>
      <c r="C256" s="633"/>
      <c r="D256" s="634"/>
      <c r="E256" s="655"/>
      <c r="F256" s="684"/>
      <c r="G256" s="684"/>
      <c r="H256" s="635"/>
    </row>
    <row r="257" spans="1:8" ht="12.75" customHeight="1" x14ac:dyDescent="0.25">
      <c r="A257" s="631">
        <f t="shared" ref="A257:A320" si="4">ROW()-5</f>
        <v>252</v>
      </c>
      <c r="B257" s="632"/>
      <c r="C257" s="633"/>
      <c r="D257" s="634"/>
      <c r="E257" s="655"/>
      <c r="F257" s="684"/>
      <c r="G257" s="684"/>
      <c r="H257" s="635"/>
    </row>
    <row r="258" spans="1:8" ht="12.75" customHeight="1" x14ac:dyDescent="0.25">
      <c r="A258" s="631">
        <f t="shared" si="4"/>
        <v>253</v>
      </c>
      <c r="B258" s="632"/>
      <c r="C258" s="633"/>
      <c r="D258" s="634"/>
      <c r="E258" s="655"/>
      <c r="F258" s="684"/>
      <c r="G258" s="684"/>
      <c r="H258" s="635"/>
    </row>
    <row r="259" spans="1:8" ht="12.75" customHeight="1" x14ac:dyDescent="0.25">
      <c r="A259" s="631">
        <f t="shared" si="4"/>
        <v>254</v>
      </c>
      <c r="B259" s="632"/>
      <c r="C259" s="633"/>
      <c r="D259" s="634"/>
      <c r="E259" s="655"/>
      <c r="F259" s="684"/>
      <c r="G259" s="684"/>
      <c r="H259" s="635"/>
    </row>
    <row r="260" spans="1:8" ht="12.75" customHeight="1" x14ac:dyDescent="0.25">
      <c r="A260" s="631">
        <f t="shared" si="4"/>
        <v>255</v>
      </c>
      <c r="B260" s="632"/>
      <c r="C260" s="633"/>
      <c r="D260" s="634"/>
      <c r="E260" s="655"/>
      <c r="F260" s="684"/>
      <c r="G260" s="684"/>
      <c r="H260" s="635"/>
    </row>
    <row r="261" spans="1:8" ht="12.75" customHeight="1" x14ac:dyDescent="0.25">
      <c r="A261" s="631">
        <f t="shared" si="4"/>
        <v>256</v>
      </c>
      <c r="B261" s="632"/>
      <c r="C261" s="633"/>
      <c r="D261" s="634"/>
      <c r="E261" s="655"/>
      <c r="F261" s="684"/>
      <c r="G261" s="684"/>
      <c r="H261" s="635"/>
    </row>
    <row r="262" spans="1:8" ht="12.75" customHeight="1" x14ac:dyDescent="0.25">
      <c r="A262" s="631">
        <f t="shared" si="4"/>
        <v>257</v>
      </c>
      <c r="B262" s="632"/>
      <c r="C262" s="633"/>
      <c r="D262" s="634"/>
      <c r="E262" s="655"/>
      <c r="F262" s="684"/>
      <c r="G262" s="684"/>
      <c r="H262" s="635"/>
    </row>
    <row r="263" spans="1:8" ht="12.75" customHeight="1" x14ac:dyDescent="0.25">
      <c r="A263" s="631">
        <f t="shared" si="4"/>
        <v>258</v>
      </c>
      <c r="B263" s="632"/>
      <c r="C263" s="633"/>
      <c r="D263" s="634"/>
      <c r="E263" s="655"/>
      <c r="F263" s="684"/>
      <c r="G263" s="684"/>
      <c r="H263" s="635"/>
    </row>
    <row r="264" spans="1:8" ht="12.75" customHeight="1" x14ac:dyDescent="0.25">
      <c r="A264" s="631">
        <f t="shared" si="4"/>
        <v>259</v>
      </c>
      <c r="B264" s="632"/>
      <c r="C264" s="633"/>
      <c r="D264" s="634"/>
      <c r="E264" s="655"/>
      <c r="F264" s="684"/>
      <c r="G264" s="684"/>
      <c r="H264" s="635"/>
    </row>
    <row r="265" spans="1:8" ht="12.75" customHeight="1" x14ac:dyDescent="0.25">
      <c r="A265" s="631">
        <f t="shared" si="4"/>
        <v>260</v>
      </c>
      <c r="B265" s="632"/>
      <c r="C265" s="633"/>
      <c r="D265" s="634"/>
      <c r="E265" s="655"/>
      <c r="F265" s="684"/>
      <c r="G265" s="684"/>
      <c r="H265" s="635"/>
    </row>
    <row r="266" spans="1:8" ht="12.75" customHeight="1" x14ac:dyDescent="0.25">
      <c r="A266" s="631">
        <f t="shared" si="4"/>
        <v>261</v>
      </c>
      <c r="B266" s="632"/>
      <c r="C266" s="633"/>
      <c r="D266" s="634"/>
      <c r="E266" s="655"/>
      <c r="F266" s="684"/>
      <c r="G266" s="684"/>
      <c r="H266" s="635"/>
    </row>
    <row r="267" spans="1:8" ht="12.75" customHeight="1" x14ac:dyDescent="0.25">
      <c r="A267" s="631">
        <f t="shared" si="4"/>
        <v>262</v>
      </c>
      <c r="B267" s="632"/>
      <c r="C267" s="633"/>
      <c r="D267" s="634"/>
      <c r="E267" s="655"/>
      <c r="F267" s="684"/>
      <c r="G267" s="684"/>
      <c r="H267" s="635"/>
    </row>
    <row r="268" spans="1:8" ht="12.75" customHeight="1" x14ac:dyDescent="0.25">
      <c r="A268" s="631">
        <f t="shared" si="4"/>
        <v>263</v>
      </c>
      <c r="B268" s="632"/>
      <c r="C268" s="633"/>
      <c r="D268" s="634"/>
      <c r="E268" s="655"/>
      <c r="F268" s="684"/>
      <c r="G268" s="684"/>
      <c r="H268" s="635"/>
    </row>
    <row r="269" spans="1:8" ht="12.75" customHeight="1" x14ac:dyDescent="0.25">
      <c r="A269" s="631">
        <f t="shared" si="4"/>
        <v>264</v>
      </c>
      <c r="B269" s="632"/>
      <c r="C269" s="633"/>
      <c r="D269" s="634"/>
      <c r="E269" s="655"/>
      <c r="F269" s="684"/>
      <c r="G269" s="684"/>
      <c r="H269" s="635"/>
    </row>
    <row r="270" spans="1:8" ht="12.75" customHeight="1" x14ac:dyDescent="0.25">
      <c r="A270" s="631">
        <f t="shared" si="4"/>
        <v>265</v>
      </c>
      <c r="B270" s="632"/>
      <c r="C270" s="633"/>
      <c r="D270" s="634"/>
      <c r="E270" s="655"/>
      <c r="F270" s="684"/>
      <c r="G270" s="684"/>
      <c r="H270" s="635"/>
    </row>
    <row r="271" spans="1:8" ht="12.75" customHeight="1" x14ac:dyDescent="0.25">
      <c r="A271" s="631">
        <f t="shared" si="4"/>
        <v>266</v>
      </c>
      <c r="B271" s="632"/>
      <c r="C271" s="633"/>
      <c r="D271" s="634"/>
      <c r="E271" s="655"/>
      <c r="F271" s="684"/>
      <c r="G271" s="684"/>
      <c r="H271" s="635"/>
    </row>
    <row r="272" spans="1:8" ht="12.75" customHeight="1" x14ac:dyDescent="0.25">
      <c r="A272" s="631">
        <f t="shared" si="4"/>
        <v>267</v>
      </c>
      <c r="B272" s="632"/>
      <c r="C272" s="633"/>
      <c r="D272" s="634"/>
      <c r="E272" s="655"/>
      <c r="F272" s="684"/>
      <c r="G272" s="684"/>
      <c r="H272" s="635"/>
    </row>
    <row r="273" spans="1:8" ht="12.75" customHeight="1" x14ac:dyDescent="0.25">
      <c r="A273" s="631">
        <f t="shared" si="4"/>
        <v>268</v>
      </c>
      <c r="B273" s="632"/>
      <c r="C273" s="633"/>
      <c r="D273" s="634"/>
      <c r="E273" s="655"/>
      <c r="F273" s="684"/>
      <c r="G273" s="684"/>
      <c r="H273" s="635"/>
    </row>
    <row r="274" spans="1:8" ht="12.75" customHeight="1" x14ac:dyDescent="0.25">
      <c r="A274" s="631">
        <f t="shared" si="4"/>
        <v>269</v>
      </c>
      <c r="B274" s="632"/>
      <c r="C274" s="633"/>
      <c r="D274" s="634"/>
      <c r="E274" s="655"/>
      <c r="F274" s="684"/>
      <c r="G274" s="684"/>
      <c r="H274" s="635"/>
    </row>
    <row r="275" spans="1:8" ht="12.75" customHeight="1" x14ac:dyDescent="0.25">
      <c r="A275" s="631">
        <f t="shared" si="4"/>
        <v>270</v>
      </c>
      <c r="B275" s="632"/>
      <c r="C275" s="633"/>
      <c r="D275" s="634"/>
      <c r="E275" s="655"/>
      <c r="F275" s="684"/>
      <c r="G275" s="684"/>
      <c r="H275" s="635"/>
    </row>
    <row r="276" spans="1:8" ht="12.75" customHeight="1" x14ac:dyDescent="0.25">
      <c r="A276" s="631">
        <f t="shared" si="4"/>
        <v>271</v>
      </c>
      <c r="B276" s="632"/>
      <c r="C276" s="633"/>
      <c r="D276" s="634"/>
      <c r="E276" s="655"/>
      <c r="F276" s="684"/>
      <c r="G276" s="684"/>
      <c r="H276" s="635"/>
    </row>
    <row r="277" spans="1:8" ht="12.75" customHeight="1" x14ac:dyDescent="0.25">
      <c r="A277" s="631">
        <f t="shared" si="4"/>
        <v>272</v>
      </c>
      <c r="B277" s="632"/>
      <c r="C277" s="633"/>
      <c r="D277" s="634"/>
      <c r="E277" s="655"/>
      <c r="F277" s="684"/>
      <c r="G277" s="684"/>
      <c r="H277" s="635"/>
    </row>
    <row r="278" spans="1:8" ht="12.75" customHeight="1" x14ac:dyDescent="0.25">
      <c r="A278" s="631">
        <f t="shared" si="4"/>
        <v>273</v>
      </c>
      <c r="B278" s="632"/>
      <c r="C278" s="633"/>
      <c r="D278" s="634"/>
      <c r="E278" s="655"/>
      <c r="F278" s="684"/>
      <c r="G278" s="684"/>
      <c r="H278" s="635"/>
    </row>
    <row r="279" spans="1:8" ht="12.75" customHeight="1" x14ac:dyDescent="0.25">
      <c r="A279" s="631">
        <f t="shared" si="4"/>
        <v>274</v>
      </c>
      <c r="B279" s="632"/>
      <c r="C279" s="633"/>
      <c r="D279" s="634"/>
      <c r="E279" s="655"/>
      <c r="F279" s="684"/>
      <c r="G279" s="684"/>
      <c r="H279" s="635"/>
    </row>
    <row r="280" spans="1:8" ht="12.75" customHeight="1" x14ac:dyDescent="0.25">
      <c r="A280" s="631">
        <f t="shared" si="4"/>
        <v>275</v>
      </c>
      <c r="B280" s="632"/>
      <c r="C280" s="633"/>
      <c r="D280" s="634"/>
      <c r="E280" s="655"/>
      <c r="F280" s="684"/>
      <c r="G280" s="684"/>
      <c r="H280" s="635"/>
    </row>
    <row r="281" spans="1:8" ht="12.75" customHeight="1" x14ac:dyDescent="0.25">
      <c r="A281" s="631">
        <f t="shared" si="4"/>
        <v>276</v>
      </c>
      <c r="B281" s="632"/>
      <c r="C281" s="633"/>
      <c r="D281" s="634"/>
      <c r="E281" s="655"/>
      <c r="F281" s="684"/>
      <c r="G281" s="684"/>
      <c r="H281" s="635"/>
    </row>
    <row r="282" spans="1:8" ht="12.75" customHeight="1" x14ac:dyDescent="0.25">
      <c r="A282" s="631">
        <f t="shared" si="4"/>
        <v>277</v>
      </c>
      <c r="B282" s="632"/>
      <c r="C282" s="633"/>
      <c r="D282" s="634"/>
      <c r="E282" s="655"/>
      <c r="F282" s="684"/>
      <c r="G282" s="684"/>
      <c r="H282" s="635"/>
    </row>
    <row r="283" spans="1:8" ht="12.75" customHeight="1" x14ac:dyDescent="0.25">
      <c r="A283" s="631">
        <f t="shared" si="4"/>
        <v>278</v>
      </c>
      <c r="B283" s="632"/>
      <c r="C283" s="633"/>
      <c r="D283" s="634"/>
      <c r="E283" s="655"/>
      <c r="F283" s="684"/>
      <c r="G283" s="684"/>
      <c r="H283" s="635"/>
    </row>
    <row r="284" spans="1:8" ht="12.75" customHeight="1" x14ac:dyDescent="0.25">
      <c r="A284" s="631">
        <f t="shared" si="4"/>
        <v>279</v>
      </c>
      <c r="B284" s="632"/>
      <c r="C284" s="633"/>
      <c r="D284" s="634"/>
      <c r="E284" s="655"/>
      <c r="F284" s="684"/>
      <c r="G284" s="684"/>
      <c r="H284" s="635"/>
    </row>
    <row r="285" spans="1:8" ht="12.75" customHeight="1" x14ac:dyDescent="0.25">
      <c r="A285" s="631">
        <f t="shared" si="4"/>
        <v>280</v>
      </c>
      <c r="B285" s="632"/>
      <c r="C285" s="633"/>
      <c r="D285" s="634"/>
      <c r="E285" s="655"/>
      <c r="F285" s="684"/>
      <c r="G285" s="684"/>
      <c r="H285" s="635"/>
    </row>
    <row r="286" spans="1:8" ht="12.75" customHeight="1" x14ac:dyDescent="0.25">
      <c r="A286" s="631">
        <f t="shared" si="4"/>
        <v>281</v>
      </c>
      <c r="B286" s="632"/>
      <c r="C286" s="633"/>
      <c r="D286" s="634"/>
      <c r="E286" s="655"/>
      <c r="F286" s="684"/>
      <c r="G286" s="684"/>
      <c r="H286" s="635"/>
    </row>
    <row r="287" spans="1:8" ht="12.75" customHeight="1" x14ac:dyDescent="0.25">
      <c r="A287" s="631">
        <f t="shared" si="4"/>
        <v>282</v>
      </c>
      <c r="B287" s="632"/>
      <c r="C287" s="633"/>
      <c r="D287" s="634"/>
      <c r="E287" s="655"/>
      <c r="F287" s="684"/>
      <c r="G287" s="684"/>
      <c r="H287" s="635"/>
    </row>
    <row r="288" spans="1:8" ht="12.75" customHeight="1" x14ac:dyDescent="0.25">
      <c r="A288" s="631">
        <f t="shared" si="4"/>
        <v>283</v>
      </c>
      <c r="B288" s="632"/>
      <c r="C288" s="633"/>
      <c r="D288" s="634"/>
      <c r="E288" s="655"/>
      <c r="F288" s="684"/>
      <c r="G288" s="684"/>
      <c r="H288" s="635"/>
    </row>
    <row r="289" spans="1:8" ht="12.75" customHeight="1" x14ac:dyDescent="0.25">
      <c r="A289" s="631">
        <f t="shared" si="4"/>
        <v>284</v>
      </c>
      <c r="B289" s="632"/>
      <c r="C289" s="633"/>
      <c r="D289" s="634"/>
      <c r="E289" s="655"/>
      <c r="F289" s="684"/>
      <c r="G289" s="684"/>
      <c r="H289" s="635"/>
    </row>
    <row r="290" spans="1:8" ht="12.75" customHeight="1" x14ac:dyDescent="0.25">
      <c r="A290" s="631">
        <f t="shared" si="4"/>
        <v>285</v>
      </c>
      <c r="B290" s="632"/>
      <c r="C290" s="633"/>
      <c r="D290" s="634"/>
      <c r="E290" s="655"/>
      <c r="F290" s="684"/>
      <c r="G290" s="684"/>
      <c r="H290" s="635"/>
    </row>
    <row r="291" spans="1:8" ht="12.75" customHeight="1" x14ac:dyDescent="0.25">
      <c r="A291" s="631">
        <f t="shared" si="4"/>
        <v>286</v>
      </c>
      <c r="B291" s="632"/>
      <c r="C291" s="633"/>
      <c r="D291" s="634"/>
      <c r="E291" s="655"/>
      <c r="F291" s="684"/>
      <c r="G291" s="684"/>
      <c r="H291" s="635"/>
    </row>
    <row r="292" spans="1:8" ht="12.75" customHeight="1" x14ac:dyDescent="0.25">
      <c r="A292" s="631">
        <f t="shared" si="4"/>
        <v>287</v>
      </c>
      <c r="B292" s="632"/>
      <c r="C292" s="633"/>
      <c r="D292" s="634"/>
      <c r="E292" s="655"/>
      <c r="F292" s="684"/>
      <c r="G292" s="684"/>
      <c r="H292" s="635"/>
    </row>
    <row r="293" spans="1:8" ht="12.75" customHeight="1" x14ac:dyDescent="0.25">
      <c r="A293" s="631">
        <f t="shared" si="4"/>
        <v>288</v>
      </c>
      <c r="B293" s="632"/>
      <c r="C293" s="633"/>
      <c r="D293" s="634"/>
      <c r="E293" s="655"/>
      <c r="F293" s="684"/>
      <c r="G293" s="684"/>
      <c r="H293" s="635"/>
    </row>
    <row r="294" spans="1:8" ht="12.75" customHeight="1" x14ac:dyDescent="0.25">
      <c r="A294" s="631">
        <f t="shared" si="4"/>
        <v>289</v>
      </c>
      <c r="B294" s="632"/>
      <c r="C294" s="633"/>
      <c r="D294" s="634"/>
      <c r="E294" s="655"/>
      <c r="F294" s="684"/>
      <c r="G294" s="684"/>
      <c r="H294" s="635"/>
    </row>
    <row r="295" spans="1:8" ht="12.75" customHeight="1" x14ac:dyDescent="0.25">
      <c r="A295" s="631">
        <f t="shared" si="4"/>
        <v>290</v>
      </c>
      <c r="B295" s="632"/>
      <c r="C295" s="633"/>
      <c r="D295" s="634"/>
      <c r="E295" s="655"/>
      <c r="F295" s="684"/>
      <c r="G295" s="684"/>
      <c r="H295" s="635"/>
    </row>
    <row r="296" spans="1:8" ht="12.75" customHeight="1" x14ac:dyDescent="0.25">
      <c r="A296" s="631">
        <f t="shared" si="4"/>
        <v>291</v>
      </c>
      <c r="B296" s="632"/>
      <c r="C296" s="633"/>
      <c r="D296" s="634"/>
      <c r="E296" s="655"/>
      <c r="F296" s="684"/>
      <c r="G296" s="684"/>
      <c r="H296" s="635"/>
    </row>
    <row r="297" spans="1:8" ht="12.75" customHeight="1" x14ac:dyDescent="0.25">
      <c r="A297" s="631">
        <f t="shared" si="4"/>
        <v>292</v>
      </c>
      <c r="B297" s="632"/>
      <c r="C297" s="633"/>
      <c r="D297" s="634"/>
      <c r="E297" s="655"/>
      <c r="F297" s="684"/>
      <c r="G297" s="684"/>
      <c r="H297" s="635"/>
    </row>
    <row r="298" spans="1:8" ht="12.75" customHeight="1" x14ac:dyDescent="0.25">
      <c r="A298" s="631">
        <f t="shared" si="4"/>
        <v>293</v>
      </c>
      <c r="B298" s="632"/>
      <c r="C298" s="633"/>
      <c r="D298" s="634"/>
      <c r="E298" s="655"/>
      <c r="F298" s="684"/>
      <c r="G298" s="684"/>
      <c r="H298" s="635"/>
    </row>
    <row r="299" spans="1:8" ht="12.75" customHeight="1" x14ac:dyDescent="0.25">
      <c r="A299" s="631">
        <f t="shared" si="4"/>
        <v>294</v>
      </c>
      <c r="B299" s="632"/>
      <c r="C299" s="633"/>
      <c r="D299" s="634"/>
      <c r="E299" s="655"/>
      <c r="F299" s="684"/>
      <c r="G299" s="684"/>
      <c r="H299" s="635"/>
    </row>
    <row r="300" spans="1:8" ht="12.75" customHeight="1" x14ac:dyDescent="0.25">
      <c r="A300" s="631">
        <f t="shared" si="4"/>
        <v>295</v>
      </c>
      <c r="B300" s="632"/>
      <c r="C300" s="633"/>
      <c r="D300" s="634"/>
      <c r="E300" s="655"/>
      <c r="F300" s="684"/>
      <c r="G300" s="684"/>
      <c r="H300" s="635"/>
    </row>
    <row r="301" spans="1:8" ht="12.75" customHeight="1" x14ac:dyDescent="0.25">
      <c r="A301" s="631">
        <f t="shared" si="4"/>
        <v>296</v>
      </c>
      <c r="B301" s="632"/>
      <c r="C301" s="633"/>
      <c r="D301" s="634"/>
      <c r="E301" s="655"/>
      <c r="F301" s="684"/>
      <c r="G301" s="684"/>
      <c r="H301" s="635"/>
    </row>
    <row r="302" spans="1:8" ht="12.75" customHeight="1" x14ac:dyDescent="0.25">
      <c r="A302" s="631">
        <f t="shared" si="4"/>
        <v>297</v>
      </c>
      <c r="B302" s="632"/>
      <c r="C302" s="633"/>
      <c r="D302" s="634"/>
      <c r="E302" s="655"/>
      <c r="F302" s="684"/>
      <c r="G302" s="684"/>
      <c r="H302" s="635"/>
    </row>
    <row r="303" spans="1:8" ht="12.75" customHeight="1" x14ac:dyDescent="0.25">
      <c r="A303" s="631">
        <f t="shared" si="4"/>
        <v>298</v>
      </c>
      <c r="B303" s="632"/>
      <c r="C303" s="633"/>
      <c r="D303" s="634"/>
      <c r="E303" s="655"/>
      <c r="F303" s="684"/>
      <c r="G303" s="684"/>
      <c r="H303" s="635"/>
    </row>
    <row r="304" spans="1:8" ht="12.75" customHeight="1" x14ac:dyDescent="0.25">
      <c r="A304" s="631">
        <f t="shared" si="4"/>
        <v>299</v>
      </c>
      <c r="B304" s="632"/>
      <c r="C304" s="633"/>
      <c r="D304" s="634"/>
      <c r="E304" s="655"/>
      <c r="F304" s="684"/>
      <c r="G304" s="684"/>
      <c r="H304" s="635"/>
    </row>
    <row r="305" spans="1:8" ht="12.75" customHeight="1" x14ac:dyDescent="0.25">
      <c r="A305" s="631">
        <f t="shared" si="4"/>
        <v>300</v>
      </c>
      <c r="B305" s="632"/>
      <c r="C305" s="633"/>
      <c r="D305" s="634"/>
      <c r="E305" s="655"/>
      <c r="F305" s="684"/>
      <c r="G305" s="684"/>
      <c r="H305" s="635"/>
    </row>
    <row r="306" spans="1:8" ht="12.75" customHeight="1" x14ac:dyDescent="0.25">
      <c r="A306" s="631">
        <f t="shared" si="4"/>
        <v>301</v>
      </c>
      <c r="B306" s="632"/>
      <c r="C306" s="633"/>
      <c r="D306" s="634"/>
      <c r="E306" s="655"/>
      <c r="F306" s="684"/>
      <c r="G306" s="684"/>
      <c r="H306" s="635"/>
    </row>
    <row r="307" spans="1:8" ht="12.75" customHeight="1" x14ac:dyDescent="0.25">
      <c r="A307" s="631">
        <f t="shared" si="4"/>
        <v>302</v>
      </c>
      <c r="B307" s="632"/>
      <c r="C307" s="633"/>
      <c r="D307" s="634"/>
      <c r="E307" s="655"/>
      <c r="F307" s="684"/>
      <c r="G307" s="684"/>
      <c r="H307" s="635"/>
    </row>
    <row r="308" spans="1:8" ht="12.75" customHeight="1" x14ac:dyDescent="0.25">
      <c r="A308" s="631">
        <f t="shared" si="4"/>
        <v>303</v>
      </c>
      <c r="B308" s="632"/>
      <c r="C308" s="633"/>
      <c r="D308" s="634"/>
      <c r="E308" s="655"/>
      <c r="F308" s="684"/>
      <c r="G308" s="684"/>
      <c r="H308" s="635"/>
    </row>
    <row r="309" spans="1:8" ht="12.75" customHeight="1" x14ac:dyDescent="0.25">
      <c r="A309" s="631">
        <f t="shared" si="4"/>
        <v>304</v>
      </c>
      <c r="B309" s="632"/>
      <c r="C309" s="633"/>
      <c r="D309" s="634"/>
      <c r="E309" s="655"/>
      <c r="F309" s="684"/>
      <c r="G309" s="684"/>
      <c r="H309" s="635"/>
    </row>
    <row r="310" spans="1:8" ht="12.75" customHeight="1" x14ac:dyDescent="0.25">
      <c r="A310" s="631">
        <f t="shared" si="4"/>
        <v>305</v>
      </c>
      <c r="B310" s="632"/>
      <c r="C310" s="633"/>
      <c r="D310" s="634"/>
      <c r="E310" s="655"/>
      <c r="F310" s="684"/>
      <c r="G310" s="684"/>
      <c r="H310" s="635"/>
    </row>
    <row r="311" spans="1:8" ht="12.75" customHeight="1" x14ac:dyDescent="0.25">
      <c r="A311" s="631">
        <f t="shared" si="4"/>
        <v>306</v>
      </c>
      <c r="B311" s="632"/>
      <c r="C311" s="633"/>
      <c r="D311" s="634"/>
      <c r="E311" s="655"/>
      <c r="F311" s="684"/>
      <c r="G311" s="684"/>
      <c r="H311" s="635"/>
    </row>
    <row r="312" spans="1:8" ht="12.75" customHeight="1" x14ac:dyDescent="0.25">
      <c r="A312" s="631">
        <f t="shared" si="4"/>
        <v>307</v>
      </c>
      <c r="B312" s="632"/>
      <c r="C312" s="633"/>
      <c r="D312" s="634"/>
      <c r="E312" s="655"/>
      <c r="F312" s="684"/>
      <c r="G312" s="684"/>
      <c r="H312" s="635"/>
    </row>
    <row r="313" spans="1:8" ht="12.75" customHeight="1" x14ac:dyDescent="0.25">
      <c r="A313" s="631">
        <f t="shared" si="4"/>
        <v>308</v>
      </c>
      <c r="B313" s="632"/>
      <c r="C313" s="633"/>
      <c r="D313" s="634"/>
      <c r="E313" s="655"/>
      <c r="F313" s="684"/>
      <c r="G313" s="684"/>
      <c r="H313" s="635"/>
    </row>
    <row r="314" spans="1:8" ht="12.75" customHeight="1" x14ac:dyDescent="0.25">
      <c r="A314" s="631">
        <f t="shared" si="4"/>
        <v>309</v>
      </c>
      <c r="B314" s="632"/>
      <c r="C314" s="633"/>
      <c r="D314" s="634"/>
      <c r="E314" s="655"/>
      <c r="F314" s="684"/>
      <c r="G314" s="684"/>
      <c r="H314" s="635"/>
    </row>
    <row r="315" spans="1:8" ht="12.75" customHeight="1" x14ac:dyDescent="0.25">
      <c r="A315" s="631">
        <f t="shared" si="4"/>
        <v>310</v>
      </c>
      <c r="B315" s="632"/>
      <c r="C315" s="633"/>
      <c r="D315" s="634"/>
      <c r="E315" s="655"/>
      <c r="F315" s="684"/>
      <c r="G315" s="684"/>
      <c r="H315" s="635"/>
    </row>
    <row r="316" spans="1:8" ht="12.75" customHeight="1" x14ac:dyDescent="0.25">
      <c r="A316" s="631">
        <f t="shared" si="4"/>
        <v>311</v>
      </c>
      <c r="B316" s="632"/>
      <c r="C316" s="633"/>
      <c r="D316" s="634"/>
      <c r="E316" s="655"/>
      <c r="F316" s="684"/>
      <c r="G316" s="684"/>
      <c r="H316" s="635"/>
    </row>
    <row r="317" spans="1:8" ht="12.75" customHeight="1" x14ac:dyDescent="0.25">
      <c r="A317" s="631">
        <f t="shared" si="4"/>
        <v>312</v>
      </c>
      <c r="B317" s="632"/>
      <c r="C317" s="633"/>
      <c r="D317" s="634"/>
      <c r="E317" s="655"/>
      <c r="F317" s="684"/>
      <c r="G317" s="684"/>
      <c r="H317" s="635"/>
    </row>
    <row r="318" spans="1:8" ht="12.75" customHeight="1" x14ac:dyDescent="0.25">
      <c r="A318" s="631">
        <f t="shared" si="4"/>
        <v>313</v>
      </c>
      <c r="B318" s="632"/>
      <c r="C318" s="633"/>
      <c r="D318" s="634"/>
      <c r="E318" s="655"/>
      <c r="F318" s="684"/>
      <c r="G318" s="684"/>
      <c r="H318" s="635"/>
    </row>
    <row r="319" spans="1:8" ht="12.75" customHeight="1" x14ac:dyDescent="0.25">
      <c r="A319" s="631">
        <f t="shared" si="4"/>
        <v>314</v>
      </c>
      <c r="B319" s="632"/>
      <c r="C319" s="633"/>
      <c r="D319" s="634"/>
      <c r="E319" s="655"/>
      <c r="F319" s="684"/>
      <c r="G319" s="684"/>
      <c r="H319" s="635"/>
    </row>
    <row r="320" spans="1:8" ht="12.75" customHeight="1" x14ac:dyDescent="0.25">
      <c r="A320" s="631">
        <f t="shared" si="4"/>
        <v>315</v>
      </c>
      <c r="B320" s="632"/>
      <c r="C320" s="633"/>
      <c r="D320" s="634"/>
      <c r="E320" s="655"/>
      <c r="F320" s="684"/>
      <c r="G320" s="684"/>
      <c r="H320" s="635"/>
    </row>
    <row r="321" spans="1:8" ht="12.75" customHeight="1" x14ac:dyDescent="0.25">
      <c r="A321" s="631">
        <f t="shared" ref="A321:A384" si="5">ROW()-5</f>
        <v>316</v>
      </c>
      <c r="B321" s="632"/>
      <c r="C321" s="633"/>
      <c r="D321" s="634"/>
      <c r="E321" s="655"/>
      <c r="F321" s="684"/>
      <c r="G321" s="684"/>
      <c r="H321" s="635"/>
    </row>
    <row r="322" spans="1:8" ht="12.75" customHeight="1" x14ac:dyDescent="0.25">
      <c r="A322" s="631">
        <f t="shared" si="5"/>
        <v>317</v>
      </c>
      <c r="B322" s="632"/>
      <c r="C322" s="633"/>
      <c r="D322" s="634"/>
      <c r="E322" s="655"/>
      <c r="F322" s="684"/>
      <c r="G322" s="684"/>
      <c r="H322" s="635"/>
    </row>
    <row r="323" spans="1:8" ht="12.75" customHeight="1" x14ac:dyDescent="0.25">
      <c r="A323" s="631">
        <f t="shared" si="5"/>
        <v>318</v>
      </c>
      <c r="B323" s="632"/>
      <c r="C323" s="633"/>
      <c r="D323" s="634"/>
      <c r="E323" s="655"/>
      <c r="F323" s="684"/>
      <c r="G323" s="684"/>
      <c r="H323" s="635"/>
    </row>
    <row r="324" spans="1:8" ht="12.75" customHeight="1" x14ac:dyDescent="0.25">
      <c r="A324" s="631">
        <f t="shared" si="5"/>
        <v>319</v>
      </c>
      <c r="B324" s="632"/>
      <c r="C324" s="633"/>
      <c r="D324" s="634"/>
      <c r="E324" s="655"/>
      <c r="F324" s="684"/>
      <c r="G324" s="684"/>
      <c r="H324" s="635"/>
    </row>
    <row r="325" spans="1:8" ht="12.75" customHeight="1" x14ac:dyDescent="0.25">
      <c r="A325" s="631">
        <f t="shared" si="5"/>
        <v>320</v>
      </c>
      <c r="B325" s="632"/>
      <c r="C325" s="633"/>
      <c r="D325" s="634"/>
      <c r="E325" s="655"/>
      <c r="F325" s="684"/>
      <c r="G325" s="684"/>
      <c r="H325" s="635"/>
    </row>
    <row r="326" spans="1:8" ht="12.75" customHeight="1" x14ac:dyDescent="0.25">
      <c r="A326" s="631">
        <f t="shared" si="5"/>
        <v>321</v>
      </c>
      <c r="B326" s="632"/>
      <c r="C326" s="633"/>
      <c r="D326" s="634"/>
      <c r="E326" s="655"/>
      <c r="F326" s="684"/>
      <c r="G326" s="684"/>
      <c r="H326" s="635"/>
    </row>
    <row r="327" spans="1:8" ht="12.75" customHeight="1" x14ac:dyDescent="0.25">
      <c r="A327" s="631">
        <f t="shared" si="5"/>
        <v>322</v>
      </c>
      <c r="B327" s="632"/>
      <c r="C327" s="633"/>
      <c r="D327" s="634"/>
      <c r="E327" s="655"/>
      <c r="F327" s="684"/>
      <c r="G327" s="684"/>
      <c r="H327" s="635"/>
    </row>
    <row r="328" spans="1:8" ht="12.75" customHeight="1" x14ac:dyDescent="0.25">
      <c r="A328" s="631">
        <f t="shared" si="5"/>
        <v>323</v>
      </c>
      <c r="B328" s="632"/>
      <c r="C328" s="633"/>
      <c r="D328" s="634"/>
      <c r="E328" s="655"/>
      <c r="F328" s="684"/>
      <c r="G328" s="684"/>
      <c r="H328" s="635"/>
    </row>
    <row r="329" spans="1:8" ht="12.75" customHeight="1" x14ac:dyDescent="0.25">
      <c r="A329" s="631">
        <f t="shared" si="5"/>
        <v>324</v>
      </c>
      <c r="B329" s="632"/>
      <c r="C329" s="633"/>
      <c r="D329" s="634"/>
      <c r="E329" s="655"/>
      <c r="F329" s="684"/>
      <c r="G329" s="684"/>
      <c r="H329" s="635"/>
    </row>
    <row r="330" spans="1:8" ht="12.75" customHeight="1" x14ac:dyDescent="0.25">
      <c r="A330" s="631">
        <f t="shared" si="5"/>
        <v>325</v>
      </c>
      <c r="B330" s="632"/>
      <c r="C330" s="633"/>
      <c r="D330" s="634"/>
      <c r="E330" s="655"/>
      <c r="F330" s="684"/>
      <c r="G330" s="684"/>
      <c r="H330" s="635"/>
    </row>
    <row r="331" spans="1:8" ht="12.75" customHeight="1" x14ac:dyDescent="0.25">
      <c r="A331" s="631">
        <f t="shared" si="5"/>
        <v>326</v>
      </c>
      <c r="B331" s="632"/>
      <c r="C331" s="633"/>
      <c r="D331" s="634"/>
      <c r="E331" s="655"/>
      <c r="F331" s="684"/>
      <c r="G331" s="684"/>
      <c r="H331" s="635"/>
    </row>
    <row r="332" spans="1:8" ht="12.75" customHeight="1" x14ac:dyDescent="0.25">
      <c r="A332" s="631">
        <f t="shared" si="5"/>
        <v>327</v>
      </c>
      <c r="B332" s="632"/>
      <c r="C332" s="633"/>
      <c r="D332" s="634"/>
      <c r="E332" s="655"/>
      <c r="F332" s="684"/>
      <c r="G332" s="684"/>
      <c r="H332" s="635"/>
    </row>
    <row r="333" spans="1:8" ht="12.75" customHeight="1" x14ac:dyDescent="0.25">
      <c r="A333" s="631">
        <f t="shared" si="5"/>
        <v>328</v>
      </c>
      <c r="B333" s="632"/>
      <c r="C333" s="633"/>
      <c r="D333" s="634"/>
      <c r="E333" s="655"/>
      <c r="F333" s="684"/>
      <c r="G333" s="684"/>
      <c r="H333" s="635"/>
    </row>
    <row r="334" spans="1:8" ht="12.75" customHeight="1" x14ac:dyDescent="0.25">
      <c r="A334" s="631">
        <f t="shared" si="5"/>
        <v>329</v>
      </c>
      <c r="B334" s="632"/>
      <c r="C334" s="633"/>
      <c r="D334" s="634"/>
      <c r="E334" s="655"/>
      <c r="F334" s="684"/>
      <c r="G334" s="684"/>
      <c r="H334" s="635"/>
    </row>
    <row r="335" spans="1:8" ht="12.75" customHeight="1" x14ac:dyDescent="0.25">
      <c r="A335" s="631">
        <f t="shared" si="5"/>
        <v>330</v>
      </c>
      <c r="B335" s="632"/>
      <c r="C335" s="633"/>
      <c r="D335" s="634"/>
      <c r="E335" s="655"/>
      <c r="F335" s="684"/>
      <c r="G335" s="684"/>
      <c r="H335" s="635"/>
    </row>
    <row r="336" spans="1:8" ht="12.75" customHeight="1" x14ac:dyDescent="0.25">
      <c r="A336" s="631">
        <f t="shared" si="5"/>
        <v>331</v>
      </c>
      <c r="B336" s="632"/>
      <c r="C336" s="633"/>
      <c r="D336" s="634"/>
      <c r="E336" s="655"/>
      <c r="F336" s="684"/>
      <c r="G336" s="684"/>
      <c r="H336" s="635"/>
    </row>
    <row r="337" spans="1:8" ht="12.75" customHeight="1" x14ac:dyDescent="0.25">
      <c r="A337" s="631">
        <f t="shared" si="5"/>
        <v>332</v>
      </c>
      <c r="B337" s="632"/>
      <c r="C337" s="633"/>
      <c r="D337" s="634"/>
      <c r="E337" s="655"/>
      <c r="F337" s="684"/>
      <c r="G337" s="684"/>
      <c r="H337" s="635"/>
    </row>
    <row r="338" spans="1:8" ht="12.75" customHeight="1" x14ac:dyDescent="0.25">
      <c r="A338" s="631">
        <f t="shared" si="5"/>
        <v>333</v>
      </c>
      <c r="B338" s="632"/>
      <c r="C338" s="633"/>
      <c r="D338" s="634"/>
      <c r="E338" s="655"/>
      <c r="F338" s="684"/>
      <c r="G338" s="684"/>
      <c r="H338" s="635"/>
    </row>
    <row r="339" spans="1:8" ht="12.75" customHeight="1" x14ac:dyDescent="0.25">
      <c r="A339" s="631">
        <f t="shared" si="5"/>
        <v>334</v>
      </c>
      <c r="B339" s="632"/>
      <c r="C339" s="633"/>
      <c r="D339" s="634"/>
      <c r="E339" s="655"/>
      <c r="F339" s="684"/>
      <c r="G339" s="684"/>
      <c r="H339" s="635"/>
    </row>
    <row r="340" spans="1:8" ht="12.75" customHeight="1" x14ac:dyDescent="0.25">
      <c r="A340" s="631">
        <f t="shared" si="5"/>
        <v>335</v>
      </c>
      <c r="B340" s="632"/>
      <c r="C340" s="633"/>
      <c r="D340" s="634"/>
      <c r="E340" s="655"/>
      <c r="F340" s="684"/>
      <c r="G340" s="684"/>
      <c r="H340" s="635"/>
    </row>
    <row r="341" spans="1:8" ht="12.75" customHeight="1" x14ac:dyDescent="0.25">
      <c r="A341" s="631">
        <f t="shared" si="5"/>
        <v>336</v>
      </c>
      <c r="B341" s="632"/>
      <c r="C341" s="633"/>
      <c r="D341" s="634"/>
      <c r="E341" s="655"/>
      <c r="F341" s="684"/>
      <c r="G341" s="684"/>
      <c r="H341" s="635"/>
    </row>
    <row r="342" spans="1:8" ht="12.75" customHeight="1" x14ac:dyDescent="0.25">
      <c r="A342" s="631">
        <f t="shared" si="5"/>
        <v>337</v>
      </c>
      <c r="B342" s="632"/>
      <c r="C342" s="633"/>
      <c r="D342" s="634"/>
      <c r="E342" s="655"/>
      <c r="F342" s="684"/>
      <c r="G342" s="684"/>
      <c r="H342" s="635"/>
    </row>
    <row r="343" spans="1:8" ht="12.75" customHeight="1" x14ac:dyDescent="0.25">
      <c r="A343" s="631">
        <f t="shared" si="5"/>
        <v>338</v>
      </c>
      <c r="B343" s="632"/>
      <c r="C343" s="633"/>
      <c r="D343" s="634"/>
      <c r="E343" s="655"/>
      <c r="F343" s="684"/>
      <c r="G343" s="684"/>
      <c r="H343" s="635"/>
    </row>
    <row r="344" spans="1:8" ht="12.75" customHeight="1" x14ac:dyDescent="0.25">
      <c r="A344" s="631">
        <f t="shared" si="5"/>
        <v>339</v>
      </c>
      <c r="B344" s="632"/>
      <c r="C344" s="633"/>
      <c r="D344" s="634"/>
      <c r="E344" s="655"/>
      <c r="F344" s="684"/>
      <c r="G344" s="684"/>
      <c r="H344" s="635"/>
    </row>
    <row r="345" spans="1:8" ht="12.75" customHeight="1" x14ac:dyDescent="0.25">
      <c r="A345" s="631">
        <f t="shared" si="5"/>
        <v>340</v>
      </c>
      <c r="B345" s="632"/>
      <c r="C345" s="633"/>
      <c r="D345" s="634"/>
      <c r="E345" s="655"/>
      <c r="F345" s="684"/>
      <c r="G345" s="684"/>
      <c r="H345" s="635"/>
    </row>
    <row r="346" spans="1:8" ht="12.75" customHeight="1" x14ac:dyDescent="0.25">
      <c r="A346" s="631">
        <f t="shared" si="5"/>
        <v>341</v>
      </c>
      <c r="B346" s="632"/>
      <c r="C346" s="633"/>
      <c r="D346" s="634"/>
      <c r="E346" s="655"/>
      <c r="F346" s="684"/>
      <c r="G346" s="684"/>
      <c r="H346" s="635"/>
    </row>
    <row r="347" spans="1:8" ht="12.75" customHeight="1" x14ac:dyDescent="0.25">
      <c r="A347" s="631">
        <f t="shared" si="5"/>
        <v>342</v>
      </c>
      <c r="B347" s="632"/>
      <c r="C347" s="633"/>
      <c r="D347" s="634"/>
      <c r="E347" s="655"/>
      <c r="F347" s="684"/>
      <c r="G347" s="684"/>
      <c r="H347" s="635"/>
    </row>
    <row r="348" spans="1:8" ht="12.75" customHeight="1" x14ac:dyDescent="0.25">
      <c r="A348" s="631">
        <f t="shared" si="5"/>
        <v>343</v>
      </c>
      <c r="B348" s="632"/>
      <c r="C348" s="633"/>
      <c r="D348" s="634"/>
      <c r="E348" s="655"/>
      <c r="F348" s="684"/>
      <c r="G348" s="684"/>
      <c r="H348" s="635"/>
    </row>
    <row r="349" spans="1:8" ht="12.75" customHeight="1" x14ac:dyDescent="0.25">
      <c r="A349" s="631">
        <f t="shared" si="5"/>
        <v>344</v>
      </c>
      <c r="B349" s="632"/>
      <c r="C349" s="633"/>
      <c r="D349" s="634"/>
      <c r="E349" s="655"/>
      <c r="F349" s="684"/>
      <c r="G349" s="684"/>
      <c r="H349" s="635"/>
    </row>
    <row r="350" spans="1:8" ht="12.75" customHeight="1" x14ac:dyDescent="0.25">
      <c r="A350" s="631">
        <f t="shared" si="5"/>
        <v>345</v>
      </c>
      <c r="B350" s="632"/>
      <c r="C350" s="633"/>
      <c r="D350" s="634"/>
      <c r="E350" s="655"/>
      <c r="F350" s="684"/>
      <c r="G350" s="684"/>
      <c r="H350" s="635"/>
    </row>
    <row r="351" spans="1:8" ht="12.75" customHeight="1" x14ac:dyDescent="0.25">
      <c r="A351" s="631">
        <f t="shared" si="5"/>
        <v>346</v>
      </c>
      <c r="B351" s="632"/>
      <c r="C351" s="633"/>
      <c r="D351" s="634"/>
      <c r="E351" s="655"/>
      <c r="F351" s="684"/>
      <c r="G351" s="684"/>
      <c r="H351" s="635"/>
    </row>
    <row r="352" spans="1:8" ht="12.75" customHeight="1" x14ac:dyDescent="0.25">
      <c r="A352" s="631">
        <f t="shared" si="5"/>
        <v>347</v>
      </c>
      <c r="B352" s="632"/>
      <c r="C352" s="633"/>
      <c r="D352" s="634"/>
      <c r="E352" s="655"/>
      <c r="F352" s="684"/>
      <c r="G352" s="684"/>
      <c r="H352" s="635"/>
    </row>
    <row r="353" spans="1:8" ht="12.75" customHeight="1" x14ac:dyDescent="0.25">
      <c r="A353" s="631">
        <f t="shared" si="5"/>
        <v>348</v>
      </c>
      <c r="B353" s="632"/>
      <c r="C353" s="633"/>
      <c r="D353" s="634"/>
      <c r="E353" s="655"/>
      <c r="F353" s="684"/>
      <c r="G353" s="684"/>
      <c r="H353" s="635"/>
    </row>
    <row r="354" spans="1:8" ht="12.75" customHeight="1" x14ac:dyDescent="0.25">
      <c r="A354" s="631">
        <f t="shared" si="5"/>
        <v>349</v>
      </c>
      <c r="B354" s="632"/>
      <c r="C354" s="633"/>
      <c r="D354" s="634"/>
      <c r="E354" s="655"/>
      <c r="F354" s="684"/>
      <c r="G354" s="684"/>
      <c r="H354" s="635"/>
    </row>
    <row r="355" spans="1:8" ht="12.75" customHeight="1" x14ac:dyDescent="0.25">
      <c r="A355" s="631">
        <f t="shared" si="5"/>
        <v>350</v>
      </c>
      <c r="B355" s="632"/>
      <c r="C355" s="633"/>
      <c r="D355" s="634"/>
      <c r="E355" s="655"/>
      <c r="F355" s="684"/>
      <c r="G355" s="684"/>
      <c r="H355" s="635"/>
    </row>
    <row r="356" spans="1:8" ht="12.75" customHeight="1" x14ac:dyDescent="0.25">
      <c r="A356" s="631">
        <f t="shared" si="5"/>
        <v>351</v>
      </c>
      <c r="B356" s="632"/>
      <c r="C356" s="633"/>
      <c r="D356" s="634"/>
      <c r="E356" s="655"/>
      <c r="F356" s="684"/>
      <c r="G356" s="684"/>
      <c r="H356" s="635"/>
    </row>
    <row r="357" spans="1:8" ht="12.75" customHeight="1" x14ac:dyDescent="0.25">
      <c r="A357" s="631">
        <f t="shared" si="5"/>
        <v>352</v>
      </c>
      <c r="B357" s="632"/>
      <c r="C357" s="633"/>
      <c r="D357" s="634"/>
      <c r="E357" s="655"/>
      <c r="F357" s="684"/>
      <c r="G357" s="684"/>
      <c r="H357" s="635"/>
    </row>
    <row r="358" spans="1:8" ht="12.75" customHeight="1" x14ac:dyDescent="0.25">
      <c r="A358" s="631">
        <f t="shared" si="5"/>
        <v>353</v>
      </c>
      <c r="B358" s="632"/>
      <c r="C358" s="633"/>
      <c r="D358" s="634"/>
      <c r="E358" s="655"/>
      <c r="F358" s="684"/>
      <c r="G358" s="684"/>
      <c r="H358" s="635"/>
    </row>
    <row r="359" spans="1:8" ht="12.75" customHeight="1" x14ac:dyDescent="0.25">
      <c r="A359" s="631">
        <f t="shared" si="5"/>
        <v>354</v>
      </c>
      <c r="B359" s="632"/>
      <c r="C359" s="633"/>
      <c r="D359" s="634"/>
      <c r="E359" s="655"/>
      <c r="F359" s="684"/>
      <c r="G359" s="684"/>
      <c r="H359" s="635"/>
    </row>
    <row r="360" spans="1:8" ht="12.75" customHeight="1" x14ac:dyDescent="0.25">
      <c r="A360" s="631">
        <f t="shared" si="5"/>
        <v>355</v>
      </c>
      <c r="B360" s="632"/>
      <c r="C360" s="633"/>
      <c r="D360" s="634"/>
      <c r="E360" s="655"/>
      <c r="F360" s="684"/>
      <c r="G360" s="684"/>
      <c r="H360" s="635"/>
    </row>
    <row r="361" spans="1:8" ht="12.75" customHeight="1" x14ac:dyDescent="0.25">
      <c r="A361" s="631">
        <f t="shared" si="5"/>
        <v>356</v>
      </c>
      <c r="B361" s="632"/>
      <c r="C361" s="633"/>
      <c r="D361" s="634"/>
      <c r="E361" s="655"/>
      <c r="F361" s="684"/>
      <c r="G361" s="684"/>
      <c r="H361" s="635"/>
    </row>
    <row r="362" spans="1:8" ht="12.75" customHeight="1" x14ac:dyDescent="0.25">
      <c r="A362" s="631">
        <f t="shared" si="5"/>
        <v>357</v>
      </c>
      <c r="B362" s="632"/>
      <c r="C362" s="633"/>
      <c r="D362" s="634"/>
      <c r="E362" s="655"/>
      <c r="F362" s="684"/>
      <c r="G362" s="684"/>
      <c r="H362" s="635"/>
    </row>
    <row r="363" spans="1:8" ht="12.75" customHeight="1" x14ac:dyDescent="0.25">
      <c r="A363" s="631">
        <f t="shared" si="5"/>
        <v>358</v>
      </c>
      <c r="B363" s="632"/>
      <c r="C363" s="633"/>
      <c r="D363" s="634"/>
      <c r="E363" s="655"/>
      <c r="F363" s="684"/>
      <c r="G363" s="684"/>
      <c r="H363" s="635"/>
    </row>
    <row r="364" spans="1:8" ht="12.75" customHeight="1" x14ac:dyDescent="0.25">
      <c r="A364" s="631">
        <f t="shared" si="5"/>
        <v>359</v>
      </c>
      <c r="B364" s="632"/>
      <c r="C364" s="633"/>
      <c r="D364" s="634"/>
      <c r="E364" s="655"/>
      <c r="F364" s="684"/>
      <c r="G364" s="684"/>
      <c r="H364" s="635"/>
    </row>
    <row r="365" spans="1:8" ht="12.75" customHeight="1" x14ac:dyDescent="0.25">
      <c r="A365" s="631">
        <f t="shared" si="5"/>
        <v>360</v>
      </c>
      <c r="B365" s="632"/>
      <c r="C365" s="633"/>
      <c r="D365" s="634"/>
      <c r="E365" s="655"/>
      <c r="F365" s="684"/>
      <c r="G365" s="684"/>
      <c r="H365" s="635"/>
    </row>
    <row r="366" spans="1:8" ht="12.75" customHeight="1" x14ac:dyDescent="0.25">
      <c r="A366" s="631">
        <f t="shared" si="5"/>
        <v>361</v>
      </c>
      <c r="B366" s="632"/>
      <c r="C366" s="633"/>
      <c r="D366" s="634"/>
      <c r="E366" s="655"/>
      <c r="F366" s="684"/>
      <c r="G366" s="684"/>
      <c r="H366" s="635"/>
    </row>
    <row r="367" spans="1:8" ht="12.75" customHeight="1" x14ac:dyDescent="0.25">
      <c r="A367" s="631">
        <f t="shared" si="5"/>
        <v>362</v>
      </c>
      <c r="B367" s="632"/>
      <c r="C367" s="633"/>
      <c r="D367" s="634"/>
      <c r="E367" s="655"/>
      <c r="F367" s="684"/>
      <c r="G367" s="684"/>
      <c r="H367" s="635"/>
    </row>
    <row r="368" spans="1:8" ht="12.75" customHeight="1" x14ac:dyDescent="0.25">
      <c r="A368" s="631">
        <f t="shared" si="5"/>
        <v>363</v>
      </c>
      <c r="B368" s="632"/>
      <c r="C368" s="633"/>
      <c r="D368" s="634"/>
      <c r="E368" s="655"/>
      <c r="F368" s="684"/>
      <c r="G368" s="684"/>
      <c r="H368" s="635"/>
    </row>
    <row r="369" spans="1:8" ht="12.75" customHeight="1" x14ac:dyDescent="0.25">
      <c r="A369" s="631">
        <f t="shared" si="5"/>
        <v>364</v>
      </c>
      <c r="B369" s="632"/>
      <c r="C369" s="633"/>
      <c r="D369" s="634"/>
      <c r="E369" s="655"/>
      <c r="F369" s="684"/>
      <c r="G369" s="684"/>
      <c r="H369" s="635"/>
    </row>
    <row r="370" spans="1:8" ht="12.75" customHeight="1" x14ac:dyDescent="0.25">
      <c r="A370" s="631">
        <f t="shared" si="5"/>
        <v>365</v>
      </c>
      <c r="B370" s="632"/>
      <c r="C370" s="633"/>
      <c r="D370" s="634"/>
      <c r="E370" s="655"/>
      <c r="F370" s="684"/>
      <c r="G370" s="684"/>
      <c r="H370" s="635"/>
    </row>
    <row r="371" spans="1:8" ht="12.75" customHeight="1" x14ac:dyDescent="0.25">
      <c r="A371" s="631">
        <f t="shared" si="5"/>
        <v>366</v>
      </c>
      <c r="B371" s="632"/>
      <c r="C371" s="633"/>
      <c r="D371" s="634"/>
      <c r="E371" s="655"/>
      <c r="F371" s="684"/>
      <c r="G371" s="684"/>
      <c r="H371" s="635"/>
    </row>
    <row r="372" spans="1:8" ht="12.75" customHeight="1" x14ac:dyDescent="0.25">
      <c r="A372" s="631">
        <f t="shared" si="5"/>
        <v>367</v>
      </c>
      <c r="B372" s="632"/>
      <c r="C372" s="633"/>
      <c r="D372" s="634"/>
      <c r="E372" s="655"/>
      <c r="F372" s="684"/>
      <c r="G372" s="684"/>
      <c r="H372" s="635"/>
    </row>
    <row r="373" spans="1:8" ht="12.75" customHeight="1" x14ac:dyDescent="0.25">
      <c r="A373" s="631">
        <f t="shared" si="5"/>
        <v>368</v>
      </c>
      <c r="B373" s="632"/>
      <c r="C373" s="633"/>
      <c r="D373" s="634"/>
      <c r="E373" s="655"/>
      <c r="F373" s="684"/>
      <c r="G373" s="684"/>
      <c r="H373" s="635"/>
    </row>
    <row r="374" spans="1:8" ht="12.75" customHeight="1" x14ac:dyDescent="0.25">
      <c r="A374" s="631">
        <f t="shared" si="5"/>
        <v>369</v>
      </c>
      <c r="B374" s="632"/>
      <c r="C374" s="633"/>
      <c r="D374" s="634"/>
      <c r="E374" s="655"/>
      <c r="F374" s="684"/>
      <c r="G374" s="684"/>
      <c r="H374" s="635"/>
    </row>
    <row r="375" spans="1:8" ht="12.75" customHeight="1" x14ac:dyDescent="0.25">
      <c r="A375" s="631">
        <f t="shared" si="5"/>
        <v>370</v>
      </c>
      <c r="B375" s="632"/>
      <c r="C375" s="633"/>
      <c r="D375" s="634"/>
      <c r="E375" s="655"/>
      <c r="F375" s="684"/>
      <c r="G375" s="684"/>
      <c r="H375" s="635"/>
    </row>
    <row r="376" spans="1:8" ht="12.75" customHeight="1" x14ac:dyDescent="0.25">
      <c r="A376" s="631">
        <f t="shared" si="5"/>
        <v>371</v>
      </c>
      <c r="B376" s="632"/>
      <c r="C376" s="633"/>
      <c r="D376" s="634"/>
      <c r="E376" s="655"/>
      <c r="F376" s="684"/>
      <c r="G376" s="684"/>
      <c r="H376" s="635"/>
    </row>
    <row r="377" spans="1:8" ht="12.75" customHeight="1" x14ac:dyDescent="0.25">
      <c r="A377" s="631">
        <f t="shared" si="5"/>
        <v>372</v>
      </c>
      <c r="B377" s="632"/>
      <c r="C377" s="633"/>
      <c r="D377" s="634"/>
      <c r="E377" s="655"/>
      <c r="F377" s="684"/>
      <c r="G377" s="684"/>
      <c r="H377" s="635"/>
    </row>
    <row r="378" spans="1:8" ht="12.75" customHeight="1" x14ac:dyDescent="0.25">
      <c r="A378" s="631">
        <f t="shared" si="5"/>
        <v>373</v>
      </c>
      <c r="B378" s="632"/>
      <c r="C378" s="633"/>
      <c r="D378" s="634"/>
      <c r="E378" s="655"/>
      <c r="F378" s="684"/>
      <c r="G378" s="684"/>
      <c r="H378" s="635"/>
    </row>
    <row r="379" spans="1:8" ht="12.75" customHeight="1" x14ac:dyDescent="0.25">
      <c r="A379" s="631">
        <f t="shared" si="5"/>
        <v>374</v>
      </c>
      <c r="B379" s="632"/>
      <c r="C379" s="633"/>
      <c r="D379" s="634"/>
      <c r="E379" s="655"/>
      <c r="F379" s="684"/>
      <c r="G379" s="684"/>
      <c r="H379" s="635"/>
    </row>
    <row r="380" spans="1:8" ht="12.75" customHeight="1" x14ac:dyDescent="0.25">
      <c r="A380" s="631">
        <f t="shared" si="5"/>
        <v>375</v>
      </c>
      <c r="B380" s="632"/>
      <c r="C380" s="633"/>
      <c r="D380" s="634"/>
      <c r="E380" s="655"/>
      <c r="F380" s="684"/>
      <c r="G380" s="684"/>
      <c r="H380" s="635"/>
    </row>
    <row r="381" spans="1:8" ht="12.75" customHeight="1" x14ac:dyDescent="0.25">
      <c r="A381" s="631">
        <f t="shared" si="5"/>
        <v>376</v>
      </c>
      <c r="B381" s="632"/>
      <c r="C381" s="633"/>
      <c r="D381" s="634"/>
      <c r="E381" s="655"/>
      <c r="F381" s="684"/>
      <c r="G381" s="684"/>
      <c r="H381" s="635"/>
    </row>
    <row r="382" spans="1:8" ht="12.75" customHeight="1" x14ac:dyDescent="0.25">
      <c r="A382" s="631">
        <f t="shared" si="5"/>
        <v>377</v>
      </c>
      <c r="B382" s="632"/>
      <c r="C382" s="633"/>
      <c r="D382" s="634"/>
      <c r="E382" s="655"/>
      <c r="F382" s="684"/>
      <c r="G382" s="684"/>
      <c r="H382" s="635"/>
    </row>
    <row r="383" spans="1:8" ht="12.75" customHeight="1" x14ac:dyDescent="0.25">
      <c r="A383" s="631">
        <f t="shared" si="5"/>
        <v>378</v>
      </c>
      <c r="B383" s="632"/>
      <c r="C383" s="633"/>
      <c r="D383" s="634"/>
      <c r="E383" s="655"/>
      <c r="F383" s="684"/>
      <c r="G383" s="684"/>
      <c r="H383" s="635"/>
    </row>
    <row r="384" spans="1:8" ht="12.75" customHeight="1" x14ac:dyDescent="0.25">
      <c r="A384" s="631">
        <f t="shared" si="5"/>
        <v>379</v>
      </c>
      <c r="B384" s="632"/>
      <c r="C384" s="633"/>
      <c r="D384" s="634"/>
      <c r="E384" s="655"/>
      <c r="F384" s="684"/>
      <c r="G384" s="684"/>
      <c r="H384" s="635"/>
    </row>
    <row r="385" spans="1:8" ht="12.75" customHeight="1" x14ac:dyDescent="0.25">
      <c r="A385" s="631">
        <f t="shared" ref="A385:A448" si="6">ROW()-5</f>
        <v>380</v>
      </c>
      <c r="B385" s="632"/>
      <c r="C385" s="633"/>
      <c r="D385" s="634"/>
      <c r="E385" s="655"/>
      <c r="F385" s="684"/>
      <c r="G385" s="684"/>
      <c r="H385" s="635"/>
    </row>
    <row r="386" spans="1:8" ht="12.75" customHeight="1" x14ac:dyDescent="0.25">
      <c r="A386" s="631">
        <f t="shared" si="6"/>
        <v>381</v>
      </c>
      <c r="B386" s="632"/>
      <c r="C386" s="633"/>
      <c r="D386" s="634"/>
      <c r="E386" s="655"/>
      <c r="F386" s="684"/>
      <c r="G386" s="684"/>
      <c r="H386" s="635"/>
    </row>
    <row r="387" spans="1:8" ht="12.75" customHeight="1" x14ac:dyDescent="0.25">
      <c r="A387" s="631">
        <f t="shared" si="6"/>
        <v>382</v>
      </c>
      <c r="B387" s="632"/>
      <c r="C387" s="633"/>
      <c r="D387" s="634"/>
      <c r="E387" s="655"/>
      <c r="F387" s="684"/>
      <c r="G387" s="684"/>
      <c r="H387" s="635"/>
    </row>
    <row r="388" spans="1:8" ht="12.75" customHeight="1" x14ac:dyDescent="0.25">
      <c r="A388" s="631">
        <f t="shared" si="6"/>
        <v>383</v>
      </c>
      <c r="B388" s="632"/>
      <c r="C388" s="633"/>
      <c r="D388" s="634"/>
      <c r="E388" s="655"/>
      <c r="F388" s="684"/>
      <c r="G388" s="684"/>
      <c r="H388" s="635"/>
    </row>
    <row r="389" spans="1:8" ht="12.75" customHeight="1" x14ac:dyDescent="0.25">
      <c r="A389" s="631">
        <f t="shared" si="6"/>
        <v>384</v>
      </c>
      <c r="B389" s="632"/>
      <c r="C389" s="633"/>
      <c r="D389" s="634"/>
      <c r="E389" s="655"/>
      <c r="F389" s="684"/>
      <c r="G389" s="684"/>
      <c r="H389" s="635"/>
    </row>
    <row r="390" spans="1:8" ht="12.75" customHeight="1" x14ac:dyDescent="0.25">
      <c r="A390" s="631">
        <f t="shared" si="6"/>
        <v>385</v>
      </c>
      <c r="B390" s="632"/>
      <c r="C390" s="633"/>
      <c r="D390" s="634"/>
      <c r="E390" s="655"/>
      <c r="F390" s="684"/>
      <c r="G390" s="684"/>
      <c r="H390" s="635"/>
    </row>
    <row r="391" spans="1:8" ht="12.75" customHeight="1" x14ac:dyDescent="0.25">
      <c r="A391" s="631">
        <f t="shared" si="6"/>
        <v>386</v>
      </c>
      <c r="B391" s="632"/>
      <c r="C391" s="633"/>
      <c r="D391" s="634"/>
      <c r="E391" s="655"/>
      <c r="F391" s="684"/>
      <c r="G391" s="684"/>
      <c r="H391" s="635"/>
    </row>
    <row r="392" spans="1:8" ht="12.75" customHeight="1" x14ac:dyDescent="0.25">
      <c r="A392" s="631">
        <f t="shared" si="6"/>
        <v>387</v>
      </c>
      <c r="B392" s="632"/>
      <c r="C392" s="633"/>
      <c r="D392" s="634"/>
      <c r="E392" s="655"/>
      <c r="F392" s="684"/>
      <c r="G392" s="684"/>
      <c r="H392" s="635"/>
    </row>
    <row r="393" spans="1:8" ht="12.75" customHeight="1" x14ac:dyDescent="0.25">
      <c r="A393" s="631">
        <f t="shared" si="6"/>
        <v>388</v>
      </c>
      <c r="B393" s="632"/>
      <c r="C393" s="633"/>
      <c r="D393" s="634"/>
      <c r="E393" s="655"/>
      <c r="F393" s="684"/>
      <c r="G393" s="684"/>
      <c r="H393" s="635"/>
    </row>
    <row r="394" spans="1:8" ht="12.75" customHeight="1" x14ac:dyDescent="0.25">
      <c r="A394" s="631">
        <f t="shared" si="6"/>
        <v>389</v>
      </c>
      <c r="B394" s="632"/>
      <c r="C394" s="633"/>
      <c r="D394" s="634"/>
      <c r="E394" s="655"/>
      <c r="F394" s="684"/>
      <c r="G394" s="684"/>
      <c r="H394" s="635"/>
    </row>
    <row r="395" spans="1:8" ht="12.75" customHeight="1" x14ac:dyDescent="0.25">
      <c r="A395" s="631">
        <f t="shared" si="6"/>
        <v>390</v>
      </c>
      <c r="B395" s="632"/>
      <c r="C395" s="633"/>
      <c r="D395" s="634"/>
      <c r="E395" s="655"/>
      <c r="F395" s="684"/>
      <c r="G395" s="684"/>
      <c r="H395" s="635"/>
    </row>
    <row r="396" spans="1:8" ht="12.75" customHeight="1" x14ac:dyDescent="0.25">
      <c r="A396" s="631">
        <f t="shared" si="6"/>
        <v>391</v>
      </c>
      <c r="B396" s="632"/>
      <c r="C396" s="633"/>
      <c r="D396" s="634"/>
      <c r="E396" s="655"/>
      <c r="F396" s="684"/>
      <c r="G396" s="684"/>
      <c r="H396" s="635"/>
    </row>
    <row r="397" spans="1:8" ht="12.75" customHeight="1" x14ac:dyDescent="0.25">
      <c r="A397" s="631">
        <f t="shared" si="6"/>
        <v>392</v>
      </c>
      <c r="B397" s="632"/>
      <c r="C397" s="633"/>
      <c r="D397" s="634"/>
      <c r="E397" s="655"/>
      <c r="F397" s="684"/>
      <c r="G397" s="684"/>
      <c r="H397" s="635"/>
    </row>
    <row r="398" spans="1:8" ht="12.75" customHeight="1" x14ac:dyDescent="0.25">
      <c r="A398" s="631">
        <f t="shared" si="6"/>
        <v>393</v>
      </c>
      <c r="B398" s="632"/>
      <c r="C398" s="633"/>
      <c r="D398" s="634"/>
      <c r="E398" s="655"/>
      <c r="F398" s="684"/>
      <c r="G398" s="684"/>
      <c r="H398" s="635"/>
    </row>
    <row r="399" spans="1:8" ht="12.75" customHeight="1" x14ac:dyDescent="0.25">
      <c r="A399" s="631">
        <f t="shared" si="6"/>
        <v>394</v>
      </c>
      <c r="B399" s="632"/>
      <c r="C399" s="633"/>
      <c r="D399" s="634"/>
      <c r="E399" s="655"/>
      <c r="F399" s="684"/>
      <c r="G399" s="684"/>
      <c r="H399" s="635"/>
    </row>
    <row r="400" spans="1:8" ht="12.75" customHeight="1" x14ac:dyDescent="0.25">
      <c r="A400" s="631">
        <f t="shared" si="6"/>
        <v>395</v>
      </c>
      <c r="B400" s="632"/>
      <c r="C400" s="633"/>
      <c r="D400" s="634"/>
      <c r="E400" s="655"/>
      <c r="F400" s="684"/>
      <c r="G400" s="684"/>
      <c r="H400" s="635"/>
    </row>
    <row r="401" spans="1:8" ht="12.75" customHeight="1" x14ac:dyDescent="0.25">
      <c r="A401" s="631">
        <f t="shared" si="6"/>
        <v>396</v>
      </c>
      <c r="B401" s="632"/>
      <c r="C401" s="633"/>
      <c r="D401" s="634"/>
      <c r="E401" s="655"/>
      <c r="F401" s="684"/>
      <c r="G401" s="684"/>
      <c r="H401" s="635"/>
    </row>
    <row r="402" spans="1:8" ht="12.75" customHeight="1" x14ac:dyDescent="0.25">
      <c r="A402" s="631">
        <f t="shared" si="6"/>
        <v>397</v>
      </c>
      <c r="B402" s="632"/>
      <c r="C402" s="633"/>
      <c r="D402" s="634"/>
      <c r="E402" s="655"/>
      <c r="F402" s="684"/>
      <c r="G402" s="684"/>
      <c r="H402" s="635"/>
    </row>
    <row r="403" spans="1:8" ht="12.75" customHeight="1" x14ac:dyDescent="0.25">
      <c r="A403" s="631">
        <f t="shared" si="6"/>
        <v>398</v>
      </c>
      <c r="B403" s="632"/>
      <c r="C403" s="633"/>
      <c r="D403" s="634"/>
      <c r="E403" s="655"/>
      <c r="F403" s="684"/>
      <c r="G403" s="684"/>
      <c r="H403" s="635"/>
    </row>
    <row r="404" spans="1:8" ht="12.75" customHeight="1" x14ac:dyDescent="0.25">
      <c r="A404" s="631">
        <f t="shared" si="6"/>
        <v>399</v>
      </c>
      <c r="B404" s="632"/>
      <c r="C404" s="633"/>
      <c r="D404" s="634"/>
      <c r="E404" s="655"/>
      <c r="F404" s="684"/>
      <c r="G404" s="684"/>
      <c r="H404" s="635"/>
    </row>
    <row r="405" spans="1:8" ht="12.75" customHeight="1" x14ac:dyDescent="0.25">
      <c r="A405" s="631">
        <f t="shared" si="6"/>
        <v>400</v>
      </c>
      <c r="B405" s="632"/>
      <c r="C405" s="633"/>
      <c r="D405" s="634"/>
      <c r="E405" s="655"/>
      <c r="F405" s="684"/>
      <c r="G405" s="684"/>
      <c r="H405" s="635"/>
    </row>
    <row r="406" spans="1:8" ht="12.75" customHeight="1" x14ac:dyDescent="0.25">
      <c r="A406" s="631">
        <f t="shared" si="6"/>
        <v>401</v>
      </c>
      <c r="B406" s="632"/>
      <c r="C406" s="633"/>
      <c r="D406" s="634"/>
      <c r="E406" s="655"/>
      <c r="F406" s="684"/>
      <c r="G406" s="684"/>
      <c r="H406" s="635"/>
    </row>
    <row r="407" spans="1:8" ht="12.75" customHeight="1" x14ac:dyDescent="0.25">
      <c r="A407" s="631">
        <f t="shared" si="6"/>
        <v>402</v>
      </c>
      <c r="B407" s="632"/>
      <c r="C407" s="633"/>
      <c r="D407" s="634"/>
      <c r="E407" s="655"/>
      <c r="F407" s="684"/>
      <c r="G407" s="684"/>
      <c r="H407" s="635"/>
    </row>
    <row r="408" spans="1:8" ht="12.75" customHeight="1" x14ac:dyDescent="0.25">
      <c r="A408" s="631">
        <f t="shared" si="6"/>
        <v>403</v>
      </c>
      <c r="B408" s="632"/>
      <c r="C408" s="633"/>
      <c r="D408" s="634"/>
      <c r="E408" s="655"/>
      <c r="F408" s="684"/>
      <c r="G408" s="684"/>
      <c r="H408" s="635"/>
    </row>
    <row r="409" spans="1:8" ht="12.75" customHeight="1" x14ac:dyDescent="0.25">
      <c r="A409" s="631">
        <f t="shared" si="6"/>
        <v>404</v>
      </c>
      <c r="B409" s="632"/>
      <c r="C409" s="633"/>
      <c r="D409" s="634"/>
      <c r="E409" s="655"/>
      <c r="F409" s="684"/>
      <c r="G409" s="684"/>
      <c r="H409" s="635"/>
    </row>
    <row r="410" spans="1:8" ht="12.75" customHeight="1" x14ac:dyDescent="0.25">
      <c r="A410" s="631">
        <f t="shared" si="6"/>
        <v>405</v>
      </c>
      <c r="B410" s="632"/>
      <c r="C410" s="633"/>
      <c r="D410" s="634"/>
      <c r="E410" s="655"/>
      <c r="F410" s="684"/>
      <c r="G410" s="684"/>
      <c r="H410" s="635"/>
    </row>
    <row r="411" spans="1:8" ht="12.75" customHeight="1" x14ac:dyDescent="0.25">
      <c r="A411" s="631">
        <f t="shared" si="6"/>
        <v>406</v>
      </c>
      <c r="B411" s="632"/>
      <c r="C411" s="633"/>
      <c r="D411" s="634"/>
      <c r="E411" s="655"/>
      <c r="F411" s="684"/>
      <c r="G411" s="684"/>
      <c r="H411" s="635"/>
    </row>
    <row r="412" spans="1:8" ht="12.75" customHeight="1" x14ac:dyDescent="0.25">
      <c r="A412" s="631">
        <f t="shared" si="6"/>
        <v>407</v>
      </c>
      <c r="B412" s="632"/>
      <c r="C412" s="633"/>
      <c r="D412" s="634"/>
      <c r="E412" s="655"/>
      <c r="F412" s="684"/>
      <c r="G412" s="684"/>
      <c r="H412" s="635"/>
    </row>
    <row r="413" spans="1:8" ht="12.75" customHeight="1" x14ac:dyDescent="0.25">
      <c r="A413" s="631">
        <f t="shared" si="6"/>
        <v>408</v>
      </c>
      <c r="B413" s="632"/>
      <c r="C413" s="633"/>
      <c r="D413" s="634"/>
      <c r="E413" s="655"/>
      <c r="F413" s="684"/>
      <c r="G413" s="684"/>
      <c r="H413" s="635"/>
    </row>
    <row r="414" spans="1:8" ht="12.75" customHeight="1" x14ac:dyDescent="0.25">
      <c r="A414" s="631">
        <f t="shared" si="6"/>
        <v>409</v>
      </c>
      <c r="B414" s="632"/>
      <c r="C414" s="633"/>
      <c r="D414" s="634"/>
      <c r="E414" s="655"/>
      <c r="F414" s="684"/>
      <c r="G414" s="684"/>
      <c r="H414" s="635"/>
    </row>
    <row r="415" spans="1:8" ht="12.75" customHeight="1" x14ac:dyDescent="0.25">
      <c r="A415" s="631">
        <f t="shared" si="6"/>
        <v>410</v>
      </c>
      <c r="B415" s="632"/>
      <c r="C415" s="633"/>
      <c r="D415" s="634"/>
      <c r="E415" s="655"/>
      <c r="F415" s="684"/>
      <c r="G415" s="684"/>
      <c r="H415" s="635"/>
    </row>
    <row r="416" spans="1:8" ht="12.75" customHeight="1" x14ac:dyDescent="0.25">
      <c r="A416" s="631">
        <f t="shared" si="6"/>
        <v>411</v>
      </c>
      <c r="B416" s="632"/>
      <c r="C416" s="633"/>
      <c r="D416" s="634"/>
      <c r="E416" s="655"/>
      <c r="F416" s="684"/>
      <c r="G416" s="684"/>
      <c r="H416" s="635"/>
    </row>
    <row r="417" spans="1:8" ht="12.75" customHeight="1" x14ac:dyDescent="0.25">
      <c r="A417" s="631">
        <f t="shared" si="6"/>
        <v>412</v>
      </c>
      <c r="B417" s="632"/>
      <c r="C417" s="633"/>
      <c r="D417" s="634"/>
      <c r="E417" s="655"/>
      <c r="F417" s="684"/>
      <c r="G417" s="684"/>
      <c r="H417" s="635"/>
    </row>
    <row r="418" spans="1:8" ht="12.75" customHeight="1" x14ac:dyDescent="0.25">
      <c r="A418" s="631">
        <f t="shared" si="6"/>
        <v>413</v>
      </c>
      <c r="B418" s="632"/>
      <c r="C418" s="633"/>
      <c r="D418" s="634"/>
      <c r="E418" s="655"/>
      <c r="F418" s="684"/>
      <c r="G418" s="684"/>
      <c r="H418" s="635"/>
    </row>
    <row r="419" spans="1:8" ht="12.75" customHeight="1" x14ac:dyDescent="0.25">
      <c r="A419" s="631">
        <f t="shared" si="6"/>
        <v>414</v>
      </c>
      <c r="B419" s="632"/>
      <c r="C419" s="633"/>
      <c r="D419" s="634"/>
      <c r="E419" s="655"/>
      <c r="F419" s="684"/>
      <c r="G419" s="684"/>
      <c r="H419" s="635"/>
    </row>
    <row r="420" spans="1:8" ht="12.75" customHeight="1" x14ac:dyDescent="0.25">
      <c r="A420" s="631">
        <f t="shared" si="6"/>
        <v>415</v>
      </c>
      <c r="B420" s="632"/>
      <c r="C420" s="633"/>
      <c r="D420" s="634"/>
      <c r="E420" s="655"/>
      <c r="F420" s="684"/>
      <c r="G420" s="684"/>
      <c r="H420" s="635"/>
    </row>
    <row r="421" spans="1:8" ht="12.75" customHeight="1" x14ac:dyDescent="0.25">
      <c r="A421" s="631">
        <f t="shared" si="6"/>
        <v>416</v>
      </c>
      <c r="B421" s="632"/>
      <c r="C421" s="633"/>
      <c r="D421" s="634"/>
      <c r="E421" s="655"/>
      <c r="F421" s="684"/>
      <c r="G421" s="684"/>
      <c r="H421" s="635"/>
    </row>
    <row r="422" spans="1:8" ht="12.75" customHeight="1" x14ac:dyDescent="0.25">
      <c r="A422" s="631">
        <f t="shared" si="6"/>
        <v>417</v>
      </c>
      <c r="B422" s="632"/>
      <c r="C422" s="633"/>
      <c r="D422" s="634"/>
      <c r="E422" s="655"/>
      <c r="F422" s="684"/>
      <c r="G422" s="684"/>
      <c r="H422" s="635"/>
    </row>
    <row r="423" spans="1:8" ht="12.75" customHeight="1" x14ac:dyDescent="0.25">
      <c r="A423" s="631">
        <f t="shared" si="6"/>
        <v>418</v>
      </c>
      <c r="B423" s="632"/>
      <c r="C423" s="633"/>
      <c r="D423" s="634"/>
      <c r="E423" s="655"/>
      <c r="F423" s="684"/>
      <c r="G423" s="684"/>
      <c r="H423" s="635"/>
    </row>
    <row r="424" spans="1:8" ht="12.75" customHeight="1" x14ac:dyDescent="0.25">
      <c r="A424" s="631">
        <f t="shared" si="6"/>
        <v>419</v>
      </c>
      <c r="B424" s="632"/>
      <c r="C424" s="633"/>
      <c r="D424" s="634"/>
      <c r="E424" s="655"/>
      <c r="F424" s="684"/>
      <c r="G424" s="684"/>
      <c r="H424" s="635"/>
    </row>
    <row r="425" spans="1:8" ht="12.75" customHeight="1" x14ac:dyDescent="0.25">
      <c r="A425" s="631">
        <f t="shared" si="6"/>
        <v>420</v>
      </c>
      <c r="B425" s="632"/>
      <c r="C425" s="633"/>
      <c r="D425" s="634"/>
      <c r="E425" s="655"/>
      <c r="F425" s="684"/>
      <c r="G425" s="684"/>
      <c r="H425" s="635"/>
    </row>
    <row r="426" spans="1:8" ht="12.75" customHeight="1" x14ac:dyDescent="0.25">
      <c r="A426" s="631">
        <f t="shared" si="6"/>
        <v>421</v>
      </c>
      <c r="B426" s="632"/>
      <c r="C426" s="633"/>
      <c r="D426" s="634"/>
      <c r="E426" s="655"/>
      <c r="F426" s="684"/>
      <c r="G426" s="684"/>
      <c r="H426" s="635"/>
    </row>
    <row r="427" spans="1:8" ht="12.75" customHeight="1" x14ac:dyDescent="0.25">
      <c r="A427" s="631">
        <f t="shared" si="6"/>
        <v>422</v>
      </c>
      <c r="B427" s="632"/>
      <c r="C427" s="633"/>
      <c r="D427" s="634"/>
      <c r="E427" s="655"/>
      <c r="F427" s="684"/>
      <c r="G427" s="684"/>
      <c r="H427" s="635"/>
    </row>
    <row r="428" spans="1:8" ht="12.75" customHeight="1" x14ac:dyDescent="0.25">
      <c r="A428" s="631">
        <f t="shared" si="6"/>
        <v>423</v>
      </c>
      <c r="B428" s="632"/>
      <c r="C428" s="633"/>
      <c r="D428" s="634"/>
      <c r="E428" s="655"/>
      <c r="F428" s="684"/>
      <c r="G428" s="684"/>
      <c r="H428" s="635"/>
    </row>
    <row r="429" spans="1:8" ht="12.75" customHeight="1" x14ac:dyDescent="0.25">
      <c r="A429" s="631">
        <f t="shared" si="6"/>
        <v>424</v>
      </c>
      <c r="B429" s="632"/>
      <c r="C429" s="633"/>
      <c r="D429" s="634"/>
      <c r="E429" s="655"/>
      <c r="F429" s="684"/>
      <c r="G429" s="684"/>
      <c r="H429" s="635"/>
    </row>
    <row r="430" spans="1:8" ht="12.75" customHeight="1" x14ac:dyDescent="0.25">
      <c r="A430" s="631">
        <f t="shared" si="6"/>
        <v>425</v>
      </c>
      <c r="B430" s="632"/>
      <c r="C430" s="633"/>
      <c r="D430" s="634"/>
      <c r="E430" s="655"/>
      <c r="F430" s="684"/>
      <c r="G430" s="684"/>
      <c r="H430" s="635"/>
    </row>
    <row r="431" spans="1:8" ht="12.75" customHeight="1" x14ac:dyDescent="0.25">
      <c r="A431" s="631">
        <f t="shared" si="6"/>
        <v>426</v>
      </c>
      <c r="B431" s="632"/>
      <c r="C431" s="633"/>
      <c r="D431" s="634"/>
      <c r="E431" s="655"/>
      <c r="F431" s="684"/>
      <c r="G431" s="684"/>
      <c r="H431" s="635"/>
    </row>
    <row r="432" spans="1:8" ht="12.75" customHeight="1" x14ac:dyDescent="0.25">
      <c r="A432" s="631">
        <f t="shared" si="6"/>
        <v>427</v>
      </c>
      <c r="B432" s="632"/>
      <c r="C432" s="633"/>
      <c r="D432" s="634"/>
      <c r="E432" s="655"/>
      <c r="F432" s="684"/>
      <c r="G432" s="684"/>
      <c r="H432" s="635"/>
    </row>
    <row r="433" spans="1:8" ht="12.75" customHeight="1" x14ac:dyDescent="0.25">
      <c r="A433" s="631">
        <f t="shared" si="6"/>
        <v>428</v>
      </c>
      <c r="B433" s="632"/>
      <c r="C433" s="633"/>
      <c r="D433" s="634"/>
      <c r="E433" s="655"/>
      <c r="F433" s="684"/>
      <c r="G433" s="684"/>
      <c r="H433" s="635"/>
    </row>
    <row r="434" spans="1:8" ht="12.75" customHeight="1" x14ac:dyDescent="0.25">
      <c r="A434" s="631">
        <f t="shared" si="6"/>
        <v>429</v>
      </c>
      <c r="B434" s="632"/>
      <c r="C434" s="633"/>
      <c r="D434" s="634"/>
      <c r="E434" s="655"/>
      <c r="F434" s="684"/>
      <c r="G434" s="684"/>
      <c r="H434" s="635"/>
    </row>
    <row r="435" spans="1:8" ht="12.75" customHeight="1" x14ac:dyDescent="0.25">
      <c r="A435" s="631">
        <f t="shared" si="6"/>
        <v>430</v>
      </c>
      <c r="B435" s="632"/>
      <c r="C435" s="633"/>
      <c r="D435" s="634"/>
      <c r="E435" s="655"/>
      <c r="F435" s="684"/>
      <c r="G435" s="684"/>
      <c r="H435" s="635"/>
    </row>
    <row r="436" spans="1:8" ht="12.75" customHeight="1" x14ac:dyDescent="0.25">
      <c r="A436" s="631">
        <f t="shared" si="6"/>
        <v>431</v>
      </c>
      <c r="B436" s="632"/>
      <c r="C436" s="633"/>
      <c r="D436" s="634"/>
      <c r="E436" s="655"/>
      <c r="F436" s="684"/>
      <c r="G436" s="684"/>
      <c r="H436" s="635"/>
    </row>
    <row r="437" spans="1:8" ht="12.75" customHeight="1" x14ac:dyDescent="0.25">
      <c r="A437" s="631">
        <f t="shared" si="6"/>
        <v>432</v>
      </c>
      <c r="B437" s="632"/>
      <c r="C437" s="633"/>
      <c r="D437" s="634"/>
      <c r="E437" s="655"/>
      <c r="F437" s="684"/>
      <c r="G437" s="684"/>
      <c r="H437" s="635"/>
    </row>
    <row r="438" spans="1:8" ht="12.75" customHeight="1" x14ac:dyDescent="0.25">
      <c r="A438" s="631">
        <f t="shared" si="6"/>
        <v>433</v>
      </c>
      <c r="B438" s="632"/>
      <c r="C438" s="633"/>
      <c r="D438" s="634"/>
      <c r="E438" s="655"/>
      <c r="F438" s="684"/>
      <c r="G438" s="684"/>
      <c r="H438" s="635"/>
    </row>
    <row r="439" spans="1:8" ht="12.75" customHeight="1" x14ac:dyDescent="0.25">
      <c r="A439" s="631">
        <f t="shared" si="6"/>
        <v>434</v>
      </c>
      <c r="B439" s="632"/>
      <c r="C439" s="633"/>
      <c r="D439" s="634"/>
      <c r="E439" s="655"/>
      <c r="F439" s="684"/>
      <c r="G439" s="684"/>
      <c r="H439" s="635"/>
    </row>
    <row r="440" spans="1:8" ht="12.75" customHeight="1" x14ac:dyDescent="0.25">
      <c r="A440" s="631">
        <f t="shared" si="6"/>
        <v>435</v>
      </c>
      <c r="B440" s="632"/>
      <c r="C440" s="633"/>
      <c r="D440" s="634"/>
      <c r="E440" s="655"/>
      <c r="F440" s="684"/>
      <c r="G440" s="684"/>
      <c r="H440" s="635"/>
    </row>
    <row r="441" spans="1:8" ht="12.75" customHeight="1" x14ac:dyDescent="0.25">
      <c r="A441" s="631">
        <f t="shared" si="6"/>
        <v>436</v>
      </c>
      <c r="B441" s="632"/>
      <c r="C441" s="633"/>
      <c r="D441" s="634"/>
      <c r="E441" s="655"/>
      <c r="F441" s="684"/>
      <c r="G441" s="684"/>
      <c r="H441" s="635"/>
    </row>
    <row r="442" spans="1:8" ht="12.75" customHeight="1" x14ac:dyDescent="0.25">
      <c r="A442" s="631">
        <f t="shared" si="6"/>
        <v>437</v>
      </c>
      <c r="B442" s="632"/>
      <c r="C442" s="633"/>
      <c r="D442" s="634"/>
      <c r="E442" s="655"/>
      <c r="F442" s="684"/>
      <c r="G442" s="684"/>
      <c r="H442" s="635"/>
    </row>
    <row r="443" spans="1:8" ht="12.75" customHeight="1" x14ac:dyDescent="0.25">
      <c r="A443" s="631">
        <f t="shared" si="6"/>
        <v>438</v>
      </c>
      <c r="B443" s="632"/>
      <c r="C443" s="633"/>
      <c r="D443" s="634"/>
      <c r="E443" s="655"/>
      <c r="F443" s="684"/>
      <c r="G443" s="684"/>
      <c r="H443" s="635"/>
    </row>
    <row r="444" spans="1:8" ht="12.75" customHeight="1" x14ac:dyDescent="0.25">
      <c r="A444" s="631">
        <f t="shared" si="6"/>
        <v>439</v>
      </c>
      <c r="B444" s="632"/>
      <c r="C444" s="633"/>
      <c r="D444" s="634"/>
      <c r="E444" s="655"/>
      <c r="F444" s="684"/>
      <c r="G444" s="684"/>
      <c r="H444" s="635"/>
    </row>
    <row r="445" spans="1:8" ht="12.75" customHeight="1" x14ac:dyDescent="0.25">
      <c r="A445" s="631">
        <f t="shared" si="6"/>
        <v>440</v>
      </c>
      <c r="B445" s="632"/>
      <c r="C445" s="633"/>
      <c r="D445" s="634"/>
      <c r="E445" s="655"/>
      <c r="F445" s="684"/>
      <c r="G445" s="684"/>
      <c r="H445" s="635"/>
    </row>
    <row r="446" spans="1:8" ht="12.75" customHeight="1" x14ac:dyDescent="0.25">
      <c r="A446" s="631">
        <f t="shared" si="6"/>
        <v>441</v>
      </c>
      <c r="B446" s="632"/>
      <c r="C446" s="633"/>
      <c r="D446" s="634"/>
      <c r="E446" s="655"/>
      <c r="F446" s="684"/>
      <c r="G446" s="684"/>
      <c r="H446" s="635"/>
    </row>
    <row r="447" spans="1:8" ht="12.75" customHeight="1" x14ac:dyDescent="0.25">
      <c r="A447" s="631">
        <f t="shared" si="6"/>
        <v>442</v>
      </c>
      <c r="B447" s="632"/>
      <c r="C447" s="633"/>
      <c r="D447" s="634"/>
      <c r="E447" s="655"/>
      <c r="F447" s="684"/>
      <c r="G447" s="684"/>
      <c r="H447" s="635"/>
    </row>
    <row r="448" spans="1:8" ht="12.75" customHeight="1" x14ac:dyDescent="0.25">
      <c r="A448" s="631">
        <f t="shared" si="6"/>
        <v>443</v>
      </c>
      <c r="B448" s="632"/>
      <c r="C448" s="633"/>
      <c r="D448" s="634"/>
      <c r="E448" s="655"/>
      <c r="F448" s="684"/>
      <c r="G448" s="684"/>
      <c r="H448" s="635"/>
    </row>
    <row r="449" spans="1:8" ht="12.75" customHeight="1" x14ac:dyDescent="0.25">
      <c r="A449" s="631">
        <f t="shared" ref="A449:A512" si="7">ROW()-5</f>
        <v>444</v>
      </c>
      <c r="B449" s="632"/>
      <c r="C449" s="633"/>
      <c r="D449" s="634"/>
      <c r="E449" s="655"/>
      <c r="F449" s="684"/>
      <c r="G449" s="684"/>
      <c r="H449" s="635"/>
    </row>
    <row r="450" spans="1:8" ht="12.75" customHeight="1" x14ac:dyDescent="0.25">
      <c r="A450" s="631">
        <f t="shared" si="7"/>
        <v>445</v>
      </c>
      <c r="B450" s="632"/>
      <c r="C450" s="633"/>
      <c r="D450" s="634"/>
      <c r="E450" s="655"/>
      <c r="F450" s="684"/>
      <c r="G450" s="684"/>
      <c r="H450" s="635"/>
    </row>
    <row r="451" spans="1:8" ht="12.75" customHeight="1" x14ac:dyDescent="0.25">
      <c r="A451" s="631">
        <f t="shared" si="7"/>
        <v>446</v>
      </c>
      <c r="B451" s="632"/>
      <c r="C451" s="633"/>
      <c r="D451" s="634"/>
      <c r="E451" s="655"/>
      <c r="F451" s="684"/>
      <c r="G451" s="684"/>
      <c r="H451" s="635"/>
    </row>
    <row r="452" spans="1:8" ht="12.75" customHeight="1" x14ac:dyDescent="0.25">
      <c r="A452" s="631">
        <f t="shared" si="7"/>
        <v>447</v>
      </c>
      <c r="B452" s="632"/>
      <c r="C452" s="633"/>
      <c r="D452" s="634"/>
      <c r="E452" s="655"/>
      <c r="F452" s="684"/>
      <c r="G452" s="684"/>
      <c r="H452" s="635"/>
    </row>
    <row r="453" spans="1:8" ht="12.75" customHeight="1" x14ac:dyDescent="0.25">
      <c r="A453" s="631">
        <f t="shared" si="7"/>
        <v>448</v>
      </c>
      <c r="B453" s="632"/>
      <c r="C453" s="633"/>
      <c r="D453" s="634"/>
      <c r="E453" s="655"/>
      <c r="F453" s="684"/>
      <c r="G453" s="684"/>
      <c r="H453" s="635"/>
    </row>
    <row r="454" spans="1:8" ht="12.75" customHeight="1" x14ac:dyDescent="0.25">
      <c r="A454" s="631">
        <f t="shared" si="7"/>
        <v>449</v>
      </c>
      <c r="B454" s="632"/>
      <c r="C454" s="633"/>
      <c r="D454" s="634"/>
      <c r="E454" s="655"/>
      <c r="F454" s="684"/>
      <c r="G454" s="684"/>
      <c r="H454" s="635"/>
    </row>
    <row r="455" spans="1:8" ht="12.75" customHeight="1" x14ac:dyDescent="0.25">
      <c r="A455" s="631">
        <f t="shared" si="7"/>
        <v>450</v>
      </c>
      <c r="B455" s="632"/>
      <c r="C455" s="633"/>
      <c r="D455" s="634"/>
      <c r="E455" s="655"/>
      <c r="F455" s="684"/>
      <c r="G455" s="684"/>
      <c r="H455" s="635"/>
    </row>
    <row r="456" spans="1:8" ht="12.75" customHeight="1" x14ac:dyDescent="0.25">
      <c r="A456" s="631">
        <f t="shared" si="7"/>
        <v>451</v>
      </c>
      <c r="B456" s="632"/>
      <c r="C456" s="633"/>
      <c r="D456" s="634"/>
      <c r="E456" s="655"/>
      <c r="F456" s="684"/>
      <c r="G456" s="684"/>
      <c r="H456" s="635"/>
    </row>
    <row r="457" spans="1:8" ht="12.75" customHeight="1" x14ac:dyDescent="0.25">
      <c r="A457" s="631">
        <f t="shared" si="7"/>
        <v>452</v>
      </c>
      <c r="B457" s="632"/>
      <c r="C457" s="633"/>
      <c r="D457" s="634"/>
      <c r="E457" s="655"/>
      <c r="F457" s="684"/>
      <c r="G457" s="684"/>
      <c r="H457" s="635"/>
    </row>
    <row r="458" spans="1:8" ht="12.75" customHeight="1" x14ac:dyDescent="0.25">
      <c r="A458" s="631">
        <f t="shared" si="7"/>
        <v>453</v>
      </c>
      <c r="B458" s="632"/>
      <c r="C458" s="633"/>
      <c r="D458" s="634"/>
      <c r="E458" s="655"/>
      <c r="F458" s="684"/>
      <c r="G458" s="684"/>
      <c r="H458" s="635"/>
    </row>
    <row r="459" spans="1:8" ht="12.75" customHeight="1" x14ac:dyDescent="0.25">
      <c r="A459" s="631">
        <f t="shared" si="7"/>
        <v>454</v>
      </c>
      <c r="B459" s="632"/>
      <c r="C459" s="633"/>
      <c r="D459" s="634"/>
      <c r="E459" s="655"/>
      <c r="F459" s="684"/>
      <c r="G459" s="684"/>
      <c r="H459" s="635"/>
    </row>
    <row r="460" spans="1:8" ht="12.75" customHeight="1" x14ac:dyDescent="0.25">
      <c r="A460" s="631">
        <f t="shared" si="7"/>
        <v>455</v>
      </c>
      <c r="B460" s="632"/>
      <c r="C460" s="633"/>
      <c r="D460" s="634"/>
      <c r="E460" s="655"/>
      <c r="F460" s="684"/>
      <c r="G460" s="684"/>
      <c r="H460" s="635"/>
    </row>
    <row r="461" spans="1:8" ht="12.75" customHeight="1" x14ac:dyDescent="0.25">
      <c r="A461" s="631">
        <f t="shared" si="7"/>
        <v>456</v>
      </c>
      <c r="B461" s="632"/>
      <c r="C461" s="633"/>
      <c r="D461" s="634"/>
      <c r="E461" s="655"/>
      <c r="F461" s="684"/>
      <c r="G461" s="684"/>
      <c r="H461" s="635"/>
    </row>
    <row r="462" spans="1:8" ht="12.75" customHeight="1" x14ac:dyDescent="0.25">
      <c r="A462" s="631">
        <f t="shared" si="7"/>
        <v>457</v>
      </c>
      <c r="B462" s="632"/>
      <c r="C462" s="633"/>
      <c r="D462" s="634"/>
      <c r="E462" s="655"/>
      <c r="F462" s="684"/>
      <c r="G462" s="684"/>
      <c r="H462" s="635"/>
    </row>
    <row r="463" spans="1:8" ht="12.75" customHeight="1" x14ac:dyDescent="0.25">
      <c r="A463" s="631">
        <f t="shared" si="7"/>
        <v>458</v>
      </c>
      <c r="B463" s="632"/>
      <c r="C463" s="633"/>
      <c r="D463" s="634"/>
      <c r="E463" s="655"/>
      <c r="F463" s="684"/>
      <c r="G463" s="684"/>
      <c r="H463" s="635"/>
    </row>
    <row r="464" spans="1:8" ht="12.75" customHeight="1" x14ac:dyDescent="0.25">
      <c r="A464" s="631">
        <f t="shared" si="7"/>
        <v>459</v>
      </c>
      <c r="B464" s="632"/>
      <c r="C464" s="633"/>
      <c r="D464" s="634"/>
      <c r="E464" s="655"/>
      <c r="F464" s="684"/>
      <c r="G464" s="684"/>
      <c r="H464" s="635"/>
    </row>
    <row r="465" spans="1:8" ht="12.75" customHeight="1" x14ac:dyDescent="0.25">
      <c r="A465" s="631">
        <f t="shared" si="7"/>
        <v>460</v>
      </c>
      <c r="B465" s="632"/>
      <c r="C465" s="633"/>
      <c r="D465" s="634"/>
      <c r="E465" s="655"/>
      <c r="F465" s="684"/>
      <c r="G465" s="684"/>
      <c r="H465" s="635"/>
    </row>
    <row r="466" spans="1:8" ht="12.75" customHeight="1" x14ac:dyDescent="0.25">
      <c r="A466" s="631">
        <f t="shared" si="7"/>
        <v>461</v>
      </c>
      <c r="B466" s="632"/>
      <c r="C466" s="633"/>
      <c r="D466" s="634"/>
      <c r="E466" s="655"/>
      <c r="F466" s="684"/>
      <c r="G466" s="684"/>
      <c r="H466" s="635"/>
    </row>
    <row r="467" spans="1:8" ht="12.75" customHeight="1" x14ac:dyDescent="0.25">
      <c r="A467" s="631">
        <f t="shared" si="7"/>
        <v>462</v>
      </c>
      <c r="B467" s="632"/>
      <c r="C467" s="633"/>
      <c r="D467" s="634"/>
      <c r="E467" s="655"/>
      <c r="F467" s="684"/>
      <c r="G467" s="684"/>
      <c r="H467" s="635"/>
    </row>
    <row r="468" spans="1:8" ht="12.75" customHeight="1" x14ac:dyDescent="0.25">
      <c r="A468" s="631">
        <f t="shared" si="7"/>
        <v>463</v>
      </c>
      <c r="B468" s="632"/>
      <c r="C468" s="633"/>
      <c r="D468" s="634"/>
      <c r="E468" s="655"/>
      <c r="F468" s="684"/>
      <c r="G468" s="684"/>
      <c r="H468" s="635"/>
    </row>
    <row r="469" spans="1:8" ht="12.75" customHeight="1" x14ac:dyDescent="0.25">
      <c r="A469" s="631">
        <f t="shared" si="7"/>
        <v>464</v>
      </c>
      <c r="B469" s="632"/>
      <c r="C469" s="633"/>
      <c r="D469" s="634"/>
      <c r="E469" s="655"/>
      <c r="F469" s="684"/>
      <c r="G469" s="684"/>
      <c r="H469" s="635"/>
    </row>
    <row r="470" spans="1:8" ht="12.75" customHeight="1" x14ac:dyDescent="0.25">
      <c r="A470" s="631">
        <f t="shared" si="7"/>
        <v>465</v>
      </c>
      <c r="B470" s="632"/>
      <c r="C470" s="633"/>
      <c r="D470" s="634"/>
      <c r="E470" s="655"/>
      <c r="F470" s="684"/>
      <c r="G470" s="684"/>
      <c r="H470" s="635"/>
    </row>
    <row r="471" spans="1:8" ht="12.75" customHeight="1" x14ac:dyDescent="0.25">
      <c r="A471" s="631">
        <f t="shared" si="7"/>
        <v>466</v>
      </c>
      <c r="B471" s="632"/>
      <c r="C471" s="633"/>
      <c r="D471" s="634"/>
      <c r="E471" s="655"/>
      <c r="F471" s="684"/>
      <c r="G471" s="684"/>
      <c r="H471" s="635"/>
    </row>
    <row r="472" spans="1:8" ht="12.75" customHeight="1" x14ac:dyDescent="0.25">
      <c r="A472" s="631">
        <f t="shared" si="7"/>
        <v>467</v>
      </c>
      <c r="B472" s="632"/>
      <c r="C472" s="633"/>
      <c r="D472" s="634"/>
      <c r="E472" s="655"/>
      <c r="F472" s="684"/>
      <c r="G472" s="684"/>
      <c r="H472" s="635"/>
    </row>
    <row r="473" spans="1:8" ht="12.75" customHeight="1" x14ac:dyDescent="0.25">
      <c r="A473" s="631">
        <f t="shared" si="7"/>
        <v>468</v>
      </c>
      <c r="B473" s="632"/>
      <c r="C473" s="633"/>
      <c r="D473" s="634"/>
      <c r="E473" s="655"/>
      <c r="F473" s="684"/>
      <c r="G473" s="684"/>
      <c r="H473" s="635"/>
    </row>
    <row r="474" spans="1:8" ht="12.75" customHeight="1" x14ac:dyDescent="0.25">
      <c r="A474" s="631">
        <f t="shared" si="7"/>
        <v>469</v>
      </c>
      <c r="B474" s="632"/>
      <c r="C474" s="633"/>
      <c r="D474" s="634"/>
      <c r="E474" s="655"/>
      <c r="F474" s="684"/>
      <c r="G474" s="684"/>
      <c r="H474" s="635"/>
    </row>
    <row r="475" spans="1:8" ht="12.75" customHeight="1" x14ac:dyDescent="0.25">
      <c r="A475" s="631">
        <f t="shared" si="7"/>
        <v>470</v>
      </c>
      <c r="B475" s="632"/>
      <c r="C475" s="633"/>
      <c r="D475" s="634"/>
      <c r="E475" s="655"/>
      <c r="F475" s="684"/>
      <c r="G475" s="684"/>
      <c r="H475" s="635"/>
    </row>
    <row r="476" spans="1:8" ht="12.75" customHeight="1" x14ac:dyDescent="0.25">
      <c r="A476" s="631">
        <f t="shared" si="7"/>
        <v>471</v>
      </c>
      <c r="B476" s="632"/>
      <c r="C476" s="633"/>
      <c r="D476" s="634"/>
      <c r="E476" s="655"/>
      <c r="F476" s="684"/>
      <c r="G476" s="684"/>
      <c r="H476" s="635"/>
    </row>
    <row r="477" spans="1:8" ht="12.75" customHeight="1" x14ac:dyDescent="0.25">
      <c r="A477" s="631">
        <f t="shared" si="7"/>
        <v>472</v>
      </c>
      <c r="B477" s="632"/>
      <c r="C477" s="633"/>
      <c r="D477" s="634"/>
      <c r="E477" s="655"/>
      <c r="F477" s="684"/>
      <c r="G477" s="684"/>
      <c r="H477" s="635"/>
    </row>
    <row r="478" spans="1:8" ht="12.75" customHeight="1" x14ac:dyDescent="0.25">
      <c r="A478" s="631">
        <f t="shared" si="7"/>
        <v>473</v>
      </c>
      <c r="B478" s="632"/>
      <c r="C478" s="633"/>
      <c r="D478" s="634"/>
      <c r="E478" s="655"/>
      <c r="F478" s="684"/>
      <c r="G478" s="684"/>
      <c r="H478" s="635"/>
    </row>
    <row r="479" spans="1:8" ht="12.75" customHeight="1" x14ac:dyDescent="0.25">
      <c r="A479" s="631">
        <f t="shared" si="7"/>
        <v>474</v>
      </c>
      <c r="B479" s="632"/>
      <c r="C479" s="633"/>
      <c r="D479" s="634"/>
      <c r="E479" s="655"/>
      <c r="F479" s="684"/>
      <c r="G479" s="684"/>
      <c r="H479" s="635"/>
    </row>
    <row r="480" spans="1:8" ht="12.75" customHeight="1" x14ac:dyDescent="0.25">
      <c r="A480" s="631">
        <f t="shared" si="7"/>
        <v>475</v>
      </c>
      <c r="B480" s="632"/>
      <c r="C480" s="633"/>
      <c r="D480" s="634"/>
      <c r="E480" s="655"/>
      <c r="F480" s="684"/>
      <c r="G480" s="684"/>
      <c r="H480" s="635"/>
    </row>
    <row r="481" spans="1:8" ht="12.75" customHeight="1" x14ac:dyDescent="0.25">
      <c r="A481" s="631">
        <f t="shared" si="7"/>
        <v>476</v>
      </c>
      <c r="B481" s="632"/>
      <c r="C481" s="633"/>
      <c r="D481" s="634"/>
      <c r="E481" s="655"/>
      <c r="F481" s="684"/>
      <c r="G481" s="684"/>
      <c r="H481" s="635"/>
    </row>
    <row r="482" spans="1:8" ht="12.75" customHeight="1" x14ac:dyDescent="0.25">
      <c r="A482" s="631">
        <f t="shared" si="7"/>
        <v>477</v>
      </c>
      <c r="B482" s="632"/>
      <c r="C482" s="633"/>
      <c r="D482" s="634"/>
      <c r="E482" s="655"/>
      <c r="F482" s="684"/>
      <c r="G482" s="684"/>
      <c r="H482" s="635"/>
    </row>
    <row r="483" spans="1:8" ht="12.75" customHeight="1" x14ac:dyDescent="0.25">
      <c r="A483" s="631">
        <f t="shared" si="7"/>
        <v>478</v>
      </c>
      <c r="B483" s="632"/>
      <c r="C483" s="633"/>
      <c r="D483" s="634"/>
      <c r="E483" s="655"/>
      <c r="F483" s="684"/>
      <c r="G483" s="684"/>
      <c r="H483" s="635"/>
    </row>
    <row r="484" spans="1:8" ht="12.75" customHeight="1" x14ac:dyDescent="0.25">
      <c r="A484" s="631">
        <f t="shared" si="7"/>
        <v>479</v>
      </c>
      <c r="B484" s="632"/>
      <c r="C484" s="633"/>
      <c r="D484" s="634"/>
      <c r="E484" s="655"/>
      <c r="F484" s="684"/>
      <c r="G484" s="684"/>
      <c r="H484" s="635"/>
    </row>
    <row r="485" spans="1:8" ht="12.75" customHeight="1" x14ac:dyDescent="0.25">
      <c r="A485" s="631">
        <f t="shared" si="7"/>
        <v>480</v>
      </c>
      <c r="B485" s="632"/>
      <c r="C485" s="633"/>
      <c r="D485" s="634"/>
      <c r="E485" s="655"/>
      <c r="F485" s="684"/>
      <c r="G485" s="684"/>
      <c r="H485" s="635"/>
    </row>
    <row r="486" spans="1:8" ht="12.75" customHeight="1" x14ac:dyDescent="0.25">
      <c r="A486" s="631">
        <f t="shared" si="7"/>
        <v>481</v>
      </c>
      <c r="B486" s="632"/>
      <c r="C486" s="633"/>
      <c r="D486" s="634"/>
      <c r="E486" s="655"/>
      <c r="F486" s="684"/>
      <c r="G486" s="684"/>
      <c r="H486" s="635"/>
    </row>
    <row r="487" spans="1:8" ht="12.75" customHeight="1" x14ac:dyDescent="0.25">
      <c r="A487" s="631">
        <f t="shared" si="7"/>
        <v>482</v>
      </c>
      <c r="B487" s="632"/>
      <c r="C487" s="633"/>
      <c r="D487" s="634"/>
      <c r="E487" s="655"/>
      <c r="F487" s="684"/>
      <c r="G487" s="684"/>
      <c r="H487" s="635"/>
    </row>
    <row r="488" spans="1:8" ht="12.75" customHeight="1" x14ac:dyDescent="0.25">
      <c r="A488" s="631">
        <f t="shared" si="7"/>
        <v>483</v>
      </c>
      <c r="B488" s="632"/>
      <c r="C488" s="633"/>
      <c r="D488" s="634"/>
      <c r="E488" s="655"/>
      <c r="F488" s="684"/>
      <c r="G488" s="684"/>
      <c r="H488" s="635"/>
    </row>
    <row r="489" spans="1:8" ht="12.75" customHeight="1" x14ac:dyDescent="0.25">
      <c r="A489" s="631">
        <f t="shared" si="7"/>
        <v>484</v>
      </c>
      <c r="B489" s="632"/>
      <c r="C489" s="633"/>
      <c r="D489" s="634"/>
      <c r="E489" s="655"/>
      <c r="F489" s="684"/>
      <c r="G489" s="684"/>
      <c r="H489" s="635"/>
    </row>
    <row r="490" spans="1:8" ht="12.75" customHeight="1" x14ac:dyDescent="0.25">
      <c r="A490" s="631">
        <f t="shared" si="7"/>
        <v>485</v>
      </c>
      <c r="B490" s="632"/>
      <c r="C490" s="633"/>
      <c r="D490" s="634"/>
      <c r="E490" s="655"/>
      <c r="F490" s="684"/>
      <c r="G490" s="684"/>
      <c r="H490" s="635"/>
    </row>
    <row r="491" spans="1:8" ht="12.75" customHeight="1" x14ac:dyDescent="0.25">
      <c r="A491" s="631">
        <f t="shared" si="7"/>
        <v>486</v>
      </c>
      <c r="B491" s="632"/>
      <c r="C491" s="633"/>
      <c r="D491" s="634"/>
      <c r="E491" s="655"/>
      <c r="F491" s="684"/>
      <c r="G491" s="684"/>
      <c r="H491" s="635"/>
    </row>
    <row r="492" spans="1:8" ht="12.75" customHeight="1" x14ac:dyDescent="0.25">
      <c r="A492" s="631">
        <f t="shared" si="7"/>
        <v>487</v>
      </c>
      <c r="B492" s="632"/>
      <c r="C492" s="633"/>
      <c r="D492" s="634"/>
      <c r="E492" s="655"/>
      <c r="F492" s="684"/>
      <c r="G492" s="684"/>
      <c r="H492" s="635"/>
    </row>
    <row r="493" spans="1:8" ht="12.75" customHeight="1" x14ac:dyDescent="0.25">
      <c r="A493" s="631">
        <f t="shared" si="7"/>
        <v>488</v>
      </c>
      <c r="B493" s="632"/>
      <c r="C493" s="633"/>
      <c r="D493" s="634"/>
      <c r="E493" s="655"/>
      <c r="F493" s="684"/>
      <c r="G493" s="684"/>
      <c r="H493" s="635"/>
    </row>
    <row r="494" spans="1:8" ht="12.75" customHeight="1" x14ac:dyDescent="0.25">
      <c r="A494" s="631">
        <f t="shared" si="7"/>
        <v>489</v>
      </c>
      <c r="B494" s="632"/>
      <c r="C494" s="633"/>
      <c r="D494" s="634"/>
      <c r="E494" s="655"/>
      <c r="F494" s="684"/>
      <c r="G494" s="684"/>
      <c r="H494" s="635"/>
    </row>
    <row r="495" spans="1:8" ht="12.75" customHeight="1" x14ac:dyDescent="0.25">
      <c r="A495" s="631">
        <f t="shared" si="7"/>
        <v>490</v>
      </c>
      <c r="B495" s="632"/>
      <c r="C495" s="633"/>
      <c r="D495" s="634"/>
      <c r="E495" s="655"/>
      <c r="F495" s="684"/>
      <c r="G495" s="684"/>
      <c r="H495" s="635"/>
    </row>
    <row r="496" spans="1:8" ht="12.75" customHeight="1" x14ac:dyDescent="0.25">
      <c r="A496" s="631">
        <f t="shared" si="7"/>
        <v>491</v>
      </c>
      <c r="B496" s="632"/>
      <c r="C496" s="633"/>
      <c r="D496" s="634"/>
      <c r="E496" s="655"/>
      <c r="F496" s="684"/>
      <c r="G496" s="684"/>
      <c r="H496" s="635"/>
    </row>
    <row r="497" spans="1:8" ht="12.75" customHeight="1" x14ac:dyDescent="0.25">
      <c r="A497" s="631">
        <f t="shared" si="7"/>
        <v>492</v>
      </c>
      <c r="B497" s="632"/>
      <c r="C497" s="633"/>
      <c r="D497" s="634"/>
      <c r="E497" s="655"/>
      <c r="F497" s="684"/>
      <c r="G497" s="684"/>
      <c r="H497" s="635"/>
    </row>
    <row r="498" spans="1:8" ht="12.75" customHeight="1" x14ac:dyDescent="0.25">
      <c r="A498" s="631">
        <f t="shared" si="7"/>
        <v>493</v>
      </c>
      <c r="B498" s="632"/>
      <c r="C498" s="633"/>
      <c r="D498" s="634"/>
      <c r="E498" s="655"/>
      <c r="F498" s="684"/>
      <c r="G498" s="684"/>
      <c r="H498" s="635"/>
    </row>
    <row r="499" spans="1:8" ht="12.75" customHeight="1" x14ac:dyDescent="0.25">
      <c r="A499" s="631">
        <f t="shared" si="7"/>
        <v>494</v>
      </c>
      <c r="B499" s="632"/>
      <c r="C499" s="633"/>
      <c r="D499" s="634"/>
      <c r="E499" s="655"/>
      <c r="F499" s="684"/>
      <c r="G499" s="684"/>
      <c r="H499" s="635"/>
    </row>
    <row r="500" spans="1:8" ht="12.75" customHeight="1" x14ac:dyDescent="0.25">
      <c r="A500" s="631">
        <f t="shared" si="7"/>
        <v>495</v>
      </c>
      <c r="B500" s="632"/>
      <c r="C500" s="633"/>
      <c r="D500" s="634"/>
      <c r="E500" s="655"/>
      <c r="F500" s="684"/>
      <c r="G500" s="684"/>
      <c r="H500" s="635"/>
    </row>
    <row r="501" spans="1:8" ht="12.75" customHeight="1" x14ac:dyDescent="0.25">
      <c r="A501" s="631">
        <f t="shared" si="7"/>
        <v>496</v>
      </c>
      <c r="B501" s="632"/>
      <c r="C501" s="633"/>
      <c r="D501" s="634"/>
      <c r="E501" s="655"/>
      <c r="F501" s="684"/>
      <c r="G501" s="684"/>
      <c r="H501" s="635"/>
    </row>
    <row r="502" spans="1:8" ht="12.75" customHeight="1" x14ac:dyDescent="0.25">
      <c r="A502" s="631">
        <f t="shared" si="7"/>
        <v>497</v>
      </c>
      <c r="B502" s="632"/>
      <c r="C502" s="633"/>
      <c r="D502" s="634"/>
      <c r="E502" s="655"/>
      <c r="F502" s="684"/>
      <c r="G502" s="684"/>
      <c r="H502" s="635"/>
    </row>
    <row r="503" spans="1:8" ht="12.75" customHeight="1" x14ac:dyDescent="0.25">
      <c r="A503" s="631">
        <f t="shared" si="7"/>
        <v>498</v>
      </c>
      <c r="B503" s="632"/>
      <c r="C503" s="633"/>
      <c r="D503" s="634"/>
      <c r="E503" s="655"/>
      <c r="F503" s="684"/>
      <c r="G503" s="684"/>
      <c r="H503" s="635"/>
    </row>
    <row r="504" spans="1:8" ht="12.75" customHeight="1" x14ac:dyDescent="0.25">
      <c r="A504" s="631">
        <f t="shared" si="7"/>
        <v>499</v>
      </c>
      <c r="B504" s="632"/>
      <c r="C504" s="633"/>
      <c r="D504" s="634"/>
      <c r="E504" s="655"/>
      <c r="F504" s="684"/>
      <c r="G504" s="684"/>
      <c r="H504" s="635"/>
    </row>
    <row r="505" spans="1:8" ht="12.75" customHeight="1" x14ac:dyDescent="0.25">
      <c r="A505" s="631">
        <f t="shared" si="7"/>
        <v>500</v>
      </c>
      <c r="B505" s="632"/>
      <c r="C505" s="633"/>
      <c r="D505" s="634"/>
      <c r="E505" s="655"/>
      <c r="F505" s="684"/>
      <c r="G505" s="684"/>
      <c r="H505" s="635"/>
    </row>
    <row r="506" spans="1:8" ht="12.75" customHeight="1" x14ac:dyDescent="0.25">
      <c r="A506" s="631">
        <f t="shared" si="7"/>
        <v>501</v>
      </c>
      <c r="B506" s="632"/>
      <c r="C506" s="633"/>
      <c r="D506" s="634"/>
      <c r="E506" s="655"/>
      <c r="F506" s="684"/>
      <c r="G506" s="684"/>
      <c r="H506" s="635"/>
    </row>
    <row r="507" spans="1:8" ht="12.75" customHeight="1" x14ac:dyDescent="0.25">
      <c r="A507" s="631">
        <f t="shared" si="7"/>
        <v>502</v>
      </c>
      <c r="B507" s="632"/>
      <c r="C507" s="633"/>
      <c r="D507" s="634"/>
      <c r="E507" s="655"/>
      <c r="F507" s="684"/>
      <c r="G507" s="684"/>
      <c r="H507" s="635"/>
    </row>
    <row r="508" spans="1:8" ht="12.75" customHeight="1" x14ac:dyDescent="0.25">
      <c r="A508" s="631">
        <f t="shared" si="7"/>
        <v>503</v>
      </c>
      <c r="B508" s="632"/>
      <c r="C508" s="633"/>
      <c r="D508" s="634"/>
      <c r="E508" s="655"/>
      <c r="F508" s="684"/>
      <c r="G508" s="684"/>
      <c r="H508" s="635"/>
    </row>
    <row r="509" spans="1:8" ht="12.75" customHeight="1" x14ac:dyDescent="0.25">
      <c r="A509" s="631">
        <f t="shared" si="7"/>
        <v>504</v>
      </c>
      <c r="B509" s="632"/>
      <c r="C509" s="633"/>
      <c r="D509" s="634"/>
      <c r="E509" s="655"/>
      <c r="F509" s="684"/>
      <c r="G509" s="684"/>
      <c r="H509" s="635"/>
    </row>
    <row r="510" spans="1:8" ht="12.75" customHeight="1" x14ac:dyDescent="0.25">
      <c r="A510" s="631">
        <f t="shared" si="7"/>
        <v>505</v>
      </c>
      <c r="B510" s="632"/>
      <c r="C510" s="633"/>
      <c r="D510" s="634"/>
      <c r="E510" s="655"/>
      <c r="F510" s="684"/>
      <c r="G510" s="684"/>
      <c r="H510" s="635"/>
    </row>
    <row r="511" spans="1:8" ht="12.75" customHeight="1" x14ac:dyDescent="0.25">
      <c r="A511" s="631">
        <f t="shared" si="7"/>
        <v>506</v>
      </c>
      <c r="B511" s="632"/>
      <c r="C511" s="633"/>
      <c r="D511" s="634"/>
      <c r="E511" s="655"/>
      <c r="F511" s="684"/>
      <c r="G511" s="684"/>
      <c r="H511" s="635"/>
    </row>
    <row r="512" spans="1:8" ht="12.75" customHeight="1" x14ac:dyDescent="0.25">
      <c r="A512" s="631">
        <f t="shared" si="7"/>
        <v>507</v>
      </c>
      <c r="B512" s="632"/>
      <c r="C512" s="633"/>
      <c r="D512" s="634"/>
      <c r="E512" s="655"/>
      <c r="F512" s="684"/>
      <c r="G512" s="684"/>
      <c r="H512" s="635"/>
    </row>
    <row r="513" spans="1:8" ht="12.75" customHeight="1" x14ac:dyDescent="0.25">
      <c r="A513" s="631">
        <f t="shared" ref="A513:A576" si="8">ROW()-5</f>
        <v>508</v>
      </c>
      <c r="B513" s="632"/>
      <c r="C513" s="633"/>
      <c r="D513" s="634"/>
      <c r="E513" s="655"/>
      <c r="F513" s="684"/>
      <c r="G513" s="684"/>
      <c r="H513" s="635"/>
    </row>
    <row r="514" spans="1:8" ht="12.75" customHeight="1" x14ac:dyDescent="0.25">
      <c r="A514" s="631">
        <f t="shared" si="8"/>
        <v>509</v>
      </c>
      <c r="B514" s="632"/>
      <c r="C514" s="633"/>
      <c r="D514" s="634"/>
      <c r="E514" s="655"/>
      <c r="F514" s="684"/>
      <c r="G514" s="684"/>
      <c r="H514" s="635"/>
    </row>
    <row r="515" spans="1:8" ht="12.75" customHeight="1" x14ac:dyDescent="0.25">
      <c r="A515" s="631">
        <f t="shared" si="8"/>
        <v>510</v>
      </c>
      <c r="B515" s="632"/>
      <c r="C515" s="633"/>
      <c r="D515" s="634"/>
      <c r="E515" s="655"/>
      <c r="F515" s="684"/>
      <c r="G515" s="684"/>
      <c r="H515" s="635"/>
    </row>
    <row r="516" spans="1:8" ht="12.75" customHeight="1" x14ac:dyDescent="0.25">
      <c r="A516" s="631">
        <f t="shared" si="8"/>
        <v>511</v>
      </c>
      <c r="B516" s="632"/>
      <c r="C516" s="633"/>
      <c r="D516" s="634"/>
      <c r="E516" s="655"/>
      <c r="F516" s="684"/>
      <c r="G516" s="684"/>
      <c r="H516" s="635"/>
    </row>
    <row r="517" spans="1:8" ht="12.75" customHeight="1" x14ac:dyDescent="0.25">
      <c r="A517" s="631">
        <f t="shared" si="8"/>
        <v>512</v>
      </c>
      <c r="B517" s="632"/>
      <c r="C517" s="633"/>
      <c r="D517" s="634"/>
      <c r="E517" s="655"/>
      <c r="F517" s="684"/>
      <c r="G517" s="684"/>
      <c r="H517" s="635"/>
    </row>
    <row r="518" spans="1:8" ht="12.75" customHeight="1" x14ac:dyDescent="0.25">
      <c r="A518" s="631">
        <f t="shared" si="8"/>
        <v>513</v>
      </c>
      <c r="B518" s="632"/>
      <c r="C518" s="633"/>
      <c r="D518" s="634"/>
      <c r="E518" s="655"/>
      <c r="F518" s="684"/>
      <c r="G518" s="684"/>
      <c r="H518" s="635"/>
    </row>
    <row r="519" spans="1:8" ht="12.75" customHeight="1" x14ac:dyDescent="0.25">
      <c r="A519" s="631">
        <f t="shared" si="8"/>
        <v>514</v>
      </c>
      <c r="B519" s="632"/>
      <c r="C519" s="633"/>
      <c r="D519" s="634"/>
      <c r="E519" s="655"/>
      <c r="F519" s="684"/>
      <c r="G519" s="684"/>
      <c r="H519" s="635"/>
    </row>
    <row r="520" spans="1:8" ht="12.75" customHeight="1" x14ac:dyDescent="0.25">
      <c r="A520" s="631">
        <f t="shared" si="8"/>
        <v>515</v>
      </c>
      <c r="B520" s="632"/>
      <c r="C520" s="633"/>
      <c r="D520" s="634"/>
      <c r="E520" s="655"/>
      <c r="F520" s="684"/>
      <c r="G520" s="684"/>
      <c r="H520" s="635"/>
    </row>
    <row r="521" spans="1:8" ht="12.75" customHeight="1" x14ac:dyDescent="0.25">
      <c r="A521" s="631">
        <f t="shared" si="8"/>
        <v>516</v>
      </c>
      <c r="B521" s="632"/>
      <c r="C521" s="633"/>
      <c r="D521" s="634"/>
      <c r="E521" s="655"/>
      <c r="F521" s="684"/>
      <c r="G521" s="684"/>
      <c r="H521" s="635"/>
    </row>
    <row r="522" spans="1:8" ht="12.75" customHeight="1" x14ac:dyDescent="0.25">
      <c r="A522" s="631">
        <f t="shared" si="8"/>
        <v>517</v>
      </c>
      <c r="B522" s="632"/>
      <c r="C522" s="633"/>
      <c r="D522" s="634"/>
      <c r="E522" s="655"/>
      <c r="F522" s="684"/>
      <c r="G522" s="684"/>
      <c r="H522" s="635"/>
    </row>
    <row r="523" spans="1:8" ht="12.75" customHeight="1" x14ac:dyDescent="0.25">
      <c r="A523" s="631">
        <f t="shared" si="8"/>
        <v>518</v>
      </c>
      <c r="B523" s="632"/>
      <c r="C523" s="633"/>
      <c r="D523" s="634"/>
      <c r="E523" s="655"/>
      <c r="F523" s="684"/>
      <c r="G523" s="684"/>
      <c r="H523" s="635"/>
    </row>
    <row r="524" spans="1:8" ht="12.75" customHeight="1" x14ac:dyDescent="0.25">
      <c r="A524" s="631">
        <f t="shared" si="8"/>
        <v>519</v>
      </c>
      <c r="B524" s="632"/>
      <c r="C524" s="633"/>
      <c r="D524" s="634"/>
      <c r="E524" s="655"/>
      <c r="F524" s="684"/>
      <c r="G524" s="684"/>
      <c r="H524" s="635"/>
    </row>
    <row r="525" spans="1:8" ht="12.75" customHeight="1" x14ac:dyDescent="0.25">
      <c r="A525" s="631">
        <f t="shared" si="8"/>
        <v>520</v>
      </c>
      <c r="B525" s="632"/>
      <c r="C525" s="633"/>
      <c r="D525" s="634"/>
      <c r="E525" s="655"/>
      <c r="F525" s="684"/>
      <c r="G525" s="684"/>
      <c r="H525" s="635"/>
    </row>
    <row r="526" spans="1:8" ht="12.75" customHeight="1" x14ac:dyDescent="0.25">
      <c r="A526" s="631">
        <f t="shared" si="8"/>
        <v>521</v>
      </c>
      <c r="B526" s="632"/>
      <c r="C526" s="633"/>
      <c r="D526" s="634"/>
      <c r="E526" s="655"/>
      <c r="F526" s="684"/>
      <c r="G526" s="684"/>
      <c r="H526" s="635"/>
    </row>
    <row r="527" spans="1:8" ht="12.75" customHeight="1" x14ac:dyDescent="0.25">
      <c r="A527" s="631">
        <f t="shared" si="8"/>
        <v>522</v>
      </c>
      <c r="B527" s="632"/>
      <c r="C527" s="633"/>
      <c r="D527" s="634"/>
      <c r="E527" s="655"/>
      <c r="F527" s="684"/>
      <c r="G527" s="684"/>
      <c r="H527" s="635"/>
    </row>
    <row r="528" spans="1:8" ht="12.75" customHeight="1" x14ac:dyDescent="0.25">
      <c r="A528" s="631">
        <f t="shared" si="8"/>
        <v>523</v>
      </c>
      <c r="B528" s="632"/>
      <c r="C528" s="633"/>
      <c r="D528" s="634"/>
      <c r="E528" s="655"/>
      <c r="F528" s="684"/>
      <c r="G528" s="684"/>
      <c r="H528" s="635"/>
    </row>
    <row r="529" spans="1:8" ht="12.75" customHeight="1" x14ac:dyDescent="0.25">
      <c r="A529" s="631">
        <f t="shared" si="8"/>
        <v>524</v>
      </c>
      <c r="B529" s="632"/>
      <c r="C529" s="633"/>
      <c r="D529" s="634"/>
      <c r="E529" s="655"/>
      <c r="F529" s="684"/>
      <c r="G529" s="684"/>
      <c r="H529" s="635"/>
    </row>
    <row r="530" spans="1:8" ht="12.75" customHeight="1" x14ac:dyDescent="0.25">
      <c r="A530" s="631">
        <f t="shared" si="8"/>
        <v>525</v>
      </c>
      <c r="B530" s="632"/>
      <c r="C530" s="633"/>
      <c r="D530" s="634"/>
      <c r="E530" s="655"/>
      <c r="F530" s="684"/>
      <c r="G530" s="684"/>
      <c r="H530" s="635"/>
    </row>
    <row r="531" spans="1:8" ht="12.75" customHeight="1" x14ac:dyDescent="0.25">
      <c r="A531" s="631">
        <f t="shared" si="8"/>
        <v>526</v>
      </c>
      <c r="B531" s="632"/>
      <c r="C531" s="633"/>
      <c r="D531" s="634"/>
      <c r="E531" s="655"/>
      <c r="F531" s="684"/>
      <c r="G531" s="684"/>
      <c r="H531" s="635"/>
    </row>
    <row r="532" spans="1:8" ht="12.75" customHeight="1" x14ac:dyDescent="0.25">
      <c r="A532" s="631">
        <f t="shared" si="8"/>
        <v>527</v>
      </c>
      <c r="B532" s="632"/>
      <c r="C532" s="633"/>
      <c r="D532" s="634"/>
      <c r="E532" s="655"/>
      <c r="F532" s="684"/>
      <c r="G532" s="684"/>
      <c r="H532" s="635"/>
    </row>
    <row r="533" spans="1:8" ht="12.75" customHeight="1" x14ac:dyDescent="0.25">
      <c r="A533" s="631">
        <f t="shared" si="8"/>
        <v>528</v>
      </c>
      <c r="B533" s="632"/>
      <c r="C533" s="633"/>
      <c r="D533" s="634"/>
      <c r="E533" s="655"/>
      <c r="F533" s="684"/>
      <c r="G533" s="684"/>
      <c r="H533" s="635"/>
    </row>
    <row r="534" spans="1:8" ht="12.75" customHeight="1" x14ac:dyDescent="0.25">
      <c r="A534" s="631">
        <f t="shared" si="8"/>
        <v>529</v>
      </c>
      <c r="B534" s="632"/>
      <c r="C534" s="633"/>
      <c r="D534" s="634"/>
      <c r="E534" s="655"/>
      <c r="F534" s="684"/>
      <c r="G534" s="684"/>
      <c r="H534" s="635"/>
    </row>
    <row r="535" spans="1:8" ht="12.75" customHeight="1" x14ac:dyDescent="0.25">
      <c r="A535" s="631">
        <f t="shared" si="8"/>
        <v>530</v>
      </c>
      <c r="B535" s="632"/>
      <c r="C535" s="633"/>
      <c r="D535" s="634"/>
      <c r="E535" s="655"/>
      <c r="F535" s="684"/>
      <c r="G535" s="684"/>
      <c r="H535" s="635"/>
    </row>
    <row r="536" spans="1:8" ht="12.75" customHeight="1" x14ac:dyDescent="0.25">
      <c r="A536" s="631">
        <f t="shared" si="8"/>
        <v>531</v>
      </c>
      <c r="B536" s="632"/>
      <c r="C536" s="633"/>
      <c r="D536" s="634"/>
      <c r="E536" s="655"/>
      <c r="F536" s="684"/>
      <c r="G536" s="684"/>
      <c r="H536" s="635"/>
    </row>
    <row r="537" spans="1:8" ht="12.75" customHeight="1" x14ac:dyDescent="0.25">
      <c r="A537" s="631">
        <f t="shared" si="8"/>
        <v>532</v>
      </c>
      <c r="B537" s="632"/>
      <c r="C537" s="633"/>
      <c r="D537" s="634"/>
      <c r="E537" s="655"/>
      <c r="F537" s="684"/>
      <c r="G537" s="684"/>
      <c r="H537" s="635"/>
    </row>
    <row r="538" spans="1:8" ht="12.75" customHeight="1" x14ac:dyDescent="0.25">
      <c r="A538" s="631">
        <f t="shared" si="8"/>
        <v>533</v>
      </c>
      <c r="B538" s="632"/>
      <c r="C538" s="633"/>
      <c r="D538" s="634"/>
      <c r="E538" s="655"/>
      <c r="F538" s="684"/>
      <c r="G538" s="684"/>
      <c r="H538" s="635"/>
    </row>
    <row r="539" spans="1:8" ht="12.75" customHeight="1" x14ac:dyDescent="0.25">
      <c r="A539" s="631">
        <f t="shared" si="8"/>
        <v>534</v>
      </c>
      <c r="B539" s="632"/>
      <c r="C539" s="633"/>
      <c r="D539" s="634"/>
      <c r="E539" s="655"/>
      <c r="F539" s="684"/>
      <c r="G539" s="684"/>
      <c r="H539" s="635"/>
    </row>
    <row r="540" spans="1:8" ht="12.75" customHeight="1" x14ac:dyDescent="0.25">
      <c r="A540" s="631">
        <f t="shared" si="8"/>
        <v>535</v>
      </c>
      <c r="B540" s="632"/>
      <c r="C540" s="633"/>
      <c r="D540" s="634"/>
      <c r="E540" s="655"/>
      <c r="F540" s="684"/>
      <c r="G540" s="684"/>
      <c r="H540" s="635"/>
    </row>
    <row r="541" spans="1:8" ht="12.75" customHeight="1" x14ac:dyDescent="0.25">
      <c r="A541" s="631">
        <f t="shared" si="8"/>
        <v>536</v>
      </c>
      <c r="B541" s="632"/>
      <c r="C541" s="633"/>
      <c r="D541" s="634"/>
      <c r="E541" s="655"/>
      <c r="F541" s="684"/>
      <c r="G541" s="684"/>
      <c r="H541" s="635"/>
    </row>
    <row r="542" spans="1:8" ht="12.75" customHeight="1" x14ac:dyDescent="0.25">
      <c r="A542" s="631">
        <f t="shared" si="8"/>
        <v>537</v>
      </c>
      <c r="B542" s="632"/>
      <c r="C542" s="633"/>
      <c r="D542" s="634"/>
      <c r="E542" s="655"/>
      <c r="F542" s="684"/>
      <c r="G542" s="684"/>
      <c r="H542" s="635"/>
    </row>
    <row r="543" spans="1:8" ht="12.75" customHeight="1" x14ac:dyDescent="0.25">
      <c r="A543" s="631">
        <f t="shared" si="8"/>
        <v>538</v>
      </c>
      <c r="B543" s="632"/>
      <c r="C543" s="633"/>
      <c r="D543" s="634"/>
      <c r="E543" s="655"/>
      <c r="F543" s="684"/>
      <c r="G543" s="684"/>
      <c r="H543" s="635"/>
    </row>
    <row r="544" spans="1:8" ht="12.75" customHeight="1" x14ac:dyDescent="0.25">
      <c r="A544" s="631">
        <f t="shared" si="8"/>
        <v>539</v>
      </c>
      <c r="B544" s="632"/>
      <c r="C544" s="633"/>
      <c r="D544" s="634"/>
      <c r="E544" s="655"/>
      <c r="F544" s="684"/>
      <c r="G544" s="684"/>
      <c r="H544" s="635"/>
    </row>
    <row r="545" spans="1:8" ht="12.75" customHeight="1" x14ac:dyDescent="0.25">
      <c r="A545" s="631">
        <f t="shared" si="8"/>
        <v>540</v>
      </c>
      <c r="B545" s="632"/>
      <c r="C545" s="633"/>
      <c r="D545" s="634"/>
      <c r="E545" s="655"/>
      <c r="F545" s="684"/>
      <c r="G545" s="684"/>
      <c r="H545" s="635"/>
    </row>
    <row r="546" spans="1:8" ht="12.75" customHeight="1" x14ac:dyDescent="0.25">
      <c r="A546" s="631">
        <f t="shared" si="8"/>
        <v>541</v>
      </c>
      <c r="B546" s="632"/>
      <c r="C546" s="633"/>
      <c r="D546" s="634"/>
      <c r="E546" s="655"/>
      <c r="F546" s="684"/>
      <c r="G546" s="684"/>
      <c r="H546" s="635"/>
    </row>
    <row r="547" spans="1:8" ht="12.75" customHeight="1" x14ac:dyDescent="0.25">
      <c r="A547" s="631">
        <f t="shared" si="8"/>
        <v>542</v>
      </c>
      <c r="B547" s="632"/>
      <c r="C547" s="633"/>
      <c r="D547" s="634"/>
      <c r="E547" s="655"/>
      <c r="F547" s="684"/>
      <c r="G547" s="684"/>
      <c r="H547" s="635"/>
    </row>
    <row r="548" spans="1:8" ht="12.75" customHeight="1" x14ac:dyDescent="0.25">
      <c r="A548" s="631">
        <f t="shared" si="8"/>
        <v>543</v>
      </c>
      <c r="B548" s="632"/>
      <c r="C548" s="633"/>
      <c r="D548" s="634"/>
      <c r="E548" s="655"/>
      <c r="F548" s="684"/>
      <c r="G548" s="684"/>
      <c r="H548" s="635"/>
    </row>
    <row r="549" spans="1:8" ht="12.75" customHeight="1" x14ac:dyDescent="0.25">
      <c r="A549" s="631">
        <f t="shared" si="8"/>
        <v>544</v>
      </c>
      <c r="B549" s="632"/>
      <c r="C549" s="633"/>
      <c r="D549" s="634"/>
      <c r="E549" s="655"/>
      <c r="F549" s="684"/>
      <c r="G549" s="684"/>
      <c r="H549" s="635"/>
    </row>
    <row r="550" spans="1:8" ht="12.75" customHeight="1" x14ac:dyDescent="0.25">
      <c r="A550" s="631">
        <f t="shared" si="8"/>
        <v>545</v>
      </c>
      <c r="B550" s="632"/>
      <c r="C550" s="633"/>
      <c r="D550" s="634"/>
      <c r="E550" s="655"/>
      <c r="F550" s="684"/>
      <c r="G550" s="684"/>
      <c r="H550" s="635"/>
    </row>
    <row r="551" spans="1:8" ht="12.75" customHeight="1" x14ac:dyDescent="0.25">
      <c r="A551" s="631">
        <f t="shared" si="8"/>
        <v>546</v>
      </c>
      <c r="B551" s="632"/>
      <c r="C551" s="633"/>
      <c r="D551" s="634"/>
      <c r="E551" s="655"/>
      <c r="F551" s="684"/>
      <c r="G551" s="684"/>
      <c r="H551" s="635"/>
    </row>
    <row r="552" spans="1:8" ht="12.75" customHeight="1" x14ac:dyDescent="0.25">
      <c r="A552" s="631">
        <f t="shared" si="8"/>
        <v>547</v>
      </c>
      <c r="B552" s="632"/>
      <c r="C552" s="633"/>
      <c r="D552" s="634"/>
      <c r="E552" s="655"/>
      <c r="F552" s="684"/>
      <c r="G552" s="684"/>
      <c r="H552" s="635"/>
    </row>
    <row r="553" spans="1:8" ht="12.75" customHeight="1" x14ac:dyDescent="0.25">
      <c r="A553" s="631">
        <f t="shared" si="8"/>
        <v>548</v>
      </c>
      <c r="B553" s="632"/>
      <c r="C553" s="633"/>
      <c r="D553" s="634"/>
      <c r="E553" s="655"/>
      <c r="F553" s="684"/>
      <c r="G553" s="684"/>
      <c r="H553" s="635"/>
    </row>
    <row r="554" spans="1:8" ht="12.75" customHeight="1" x14ac:dyDescent="0.25">
      <c r="A554" s="631">
        <f t="shared" si="8"/>
        <v>549</v>
      </c>
      <c r="B554" s="632"/>
      <c r="C554" s="633"/>
      <c r="D554" s="634"/>
      <c r="E554" s="655"/>
      <c r="F554" s="684"/>
      <c r="G554" s="684"/>
      <c r="H554" s="635"/>
    </row>
    <row r="555" spans="1:8" ht="12.75" customHeight="1" x14ac:dyDescent="0.25">
      <c r="A555" s="631">
        <f t="shared" si="8"/>
        <v>550</v>
      </c>
      <c r="B555" s="632"/>
      <c r="C555" s="633"/>
      <c r="D555" s="634"/>
      <c r="E555" s="655"/>
      <c r="F555" s="684"/>
      <c r="G555" s="684"/>
      <c r="H555" s="635"/>
    </row>
    <row r="556" spans="1:8" ht="12.75" customHeight="1" x14ac:dyDescent="0.25">
      <c r="A556" s="631">
        <f t="shared" si="8"/>
        <v>551</v>
      </c>
      <c r="B556" s="632"/>
      <c r="C556" s="633"/>
      <c r="D556" s="634"/>
      <c r="E556" s="655"/>
      <c r="F556" s="684"/>
      <c r="G556" s="684"/>
      <c r="H556" s="635"/>
    </row>
    <row r="557" spans="1:8" ht="12.75" customHeight="1" x14ac:dyDescent="0.25">
      <c r="A557" s="631">
        <f t="shared" si="8"/>
        <v>552</v>
      </c>
      <c r="B557" s="632"/>
      <c r="C557" s="633"/>
      <c r="D557" s="634"/>
      <c r="E557" s="655"/>
      <c r="F557" s="684"/>
      <c r="G557" s="684"/>
      <c r="H557" s="635"/>
    </row>
    <row r="558" spans="1:8" ht="12.75" customHeight="1" x14ac:dyDescent="0.25">
      <c r="A558" s="631">
        <f t="shared" si="8"/>
        <v>553</v>
      </c>
      <c r="B558" s="632"/>
      <c r="C558" s="633"/>
      <c r="D558" s="634"/>
      <c r="E558" s="655"/>
      <c r="F558" s="684"/>
      <c r="G558" s="684"/>
      <c r="H558" s="635"/>
    </row>
    <row r="559" spans="1:8" ht="12.75" customHeight="1" x14ac:dyDescent="0.25">
      <c r="A559" s="631">
        <f t="shared" si="8"/>
        <v>554</v>
      </c>
      <c r="B559" s="632"/>
      <c r="C559" s="633"/>
      <c r="D559" s="634"/>
      <c r="E559" s="655"/>
      <c r="F559" s="684"/>
      <c r="G559" s="684"/>
      <c r="H559" s="635"/>
    </row>
    <row r="560" spans="1:8" ht="12.75" customHeight="1" x14ac:dyDescent="0.25">
      <c r="A560" s="631">
        <f t="shared" si="8"/>
        <v>555</v>
      </c>
      <c r="B560" s="632"/>
      <c r="C560" s="633"/>
      <c r="D560" s="634"/>
      <c r="E560" s="655"/>
      <c r="F560" s="684"/>
      <c r="G560" s="684"/>
      <c r="H560" s="635"/>
    </row>
    <row r="561" spans="1:8" ht="12.75" customHeight="1" x14ac:dyDescent="0.25">
      <c r="A561" s="631">
        <f t="shared" si="8"/>
        <v>556</v>
      </c>
      <c r="B561" s="632"/>
      <c r="C561" s="633"/>
      <c r="D561" s="634"/>
      <c r="E561" s="655"/>
      <c r="F561" s="684"/>
      <c r="G561" s="684"/>
      <c r="H561" s="635"/>
    </row>
    <row r="562" spans="1:8" ht="12.75" customHeight="1" x14ac:dyDescent="0.25">
      <c r="A562" s="631">
        <f t="shared" si="8"/>
        <v>557</v>
      </c>
      <c r="B562" s="632"/>
      <c r="C562" s="633"/>
      <c r="D562" s="634"/>
      <c r="E562" s="655"/>
      <c r="F562" s="684"/>
      <c r="G562" s="684"/>
      <c r="H562" s="635"/>
    </row>
    <row r="563" spans="1:8" ht="12.75" customHeight="1" x14ac:dyDescent="0.25">
      <c r="A563" s="631">
        <f t="shared" si="8"/>
        <v>558</v>
      </c>
      <c r="B563" s="632"/>
      <c r="C563" s="633"/>
      <c r="D563" s="634"/>
      <c r="E563" s="655"/>
      <c r="F563" s="684"/>
      <c r="G563" s="684"/>
      <c r="H563" s="635"/>
    </row>
    <row r="564" spans="1:8" ht="12.75" customHeight="1" x14ac:dyDescent="0.25">
      <c r="A564" s="631">
        <f t="shared" si="8"/>
        <v>559</v>
      </c>
      <c r="B564" s="632"/>
      <c r="C564" s="633"/>
      <c r="D564" s="634"/>
      <c r="E564" s="655"/>
      <c r="F564" s="684"/>
      <c r="G564" s="684"/>
      <c r="H564" s="635"/>
    </row>
    <row r="565" spans="1:8" ht="12.75" customHeight="1" x14ac:dyDescent="0.25">
      <c r="A565" s="631">
        <f t="shared" si="8"/>
        <v>560</v>
      </c>
      <c r="B565" s="632"/>
      <c r="C565" s="633"/>
      <c r="D565" s="634"/>
      <c r="E565" s="655"/>
      <c r="F565" s="684"/>
      <c r="G565" s="684"/>
      <c r="H565" s="635"/>
    </row>
    <row r="566" spans="1:8" ht="12.75" customHeight="1" x14ac:dyDescent="0.25">
      <c r="A566" s="631">
        <f t="shared" si="8"/>
        <v>561</v>
      </c>
      <c r="B566" s="632"/>
      <c r="C566" s="633"/>
      <c r="D566" s="634"/>
      <c r="E566" s="655"/>
      <c r="F566" s="684"/>
      <c r="G566" s="684"/>
      <c r="H566" s="635"/>
    </row>
    <row r="567" spans="1:8" ht="12.75" customHeight="1" x14ac:dyDescent="0.25">
      <c r="A567" s="631">
        <f t="shared" si="8"/>
        <v>562</v>
      </c>
      <c r="B567" s="632"/>
      <c r="C567" s="633"/>
      <c r="D567" s="634"/>
      <c r="E567" s="655"/>
      <c r="F567" s="684"/>
      <c r="G567" s="684"/>
      <c r="H567" s="635"/>
    </row>
    <row r="568" spans="1:8" ht="12.75" customHeight="1" x14ac:dyDescent="0.25">
      <c r="A568" s="631">
        <f t="shared" si="8"/>
        <v>563</v>
      </c>
      <c r="B568" s="632"/>
      <c r="C568" s="633"/>
      <c r="D568" s="634"/>
      <c r="E568" s="655"/>
      <c r="F568" s="684"/>
      <c r="G568" s="684"/>
      <c r="H568" s="635"/>
    </row>
    <row r="569" spans="1:8" ht="12.75" customHeight="1" x14ac:dyDescent="0.25">
      <c r="A569" s="631">
        <f t="shared" si="8"/>
        <v>564</v>
      </c>
      <c r="B569" s="632"/>
      <c r="C569" s="633"/>
      <c r="D569" s="634"/>
      <c r="E569" s="655"/>
      <c r="F569" s="684"/>
      <c r="G569" s="684"/>
      <c r="H569" s="635"/>
    </row>
    <row r="570" spans="1:8" ht="12.75" customHeight="1" x14ac:dyDescent="0.25">
      <c r="A570" s="631">
        <f t="shared" si="8"/>
        <v>565</v>
      </c>
      <c r="B570" s="632"/>
      <c r="C570" s="633"/>
      <c r="D570" s="634"/>
      <c r="E570" s="655"/>
      <c r="F570" s="684"/>
      <c r="G570" s="684"/>
      <c r="H570" s="635"/>
    </row>
    <row r="571" spans="1:8" ht="12.75" customHeight="1" x14ac:dyDescent="0.25">
      <c r="A571" s="631">
        <f t="shared" si="8"/>
        <v>566</v>
      </c>
      <c r="B571" s="632"/>
      <c r="C571" s="633"/>
      <c r="D571" s="634"/>
      <c r="E571" s="655"/>
      <c r="F571" s="684"/>
      <c r="G571" s="684"/>
      <c r="H571" s="635"/>
    </row>
    <row r="572" spans="1:8" ht="12.75" customHeight="1" x14ac:dyDescent="0.25">
      <c r="A572" s="631">
        <f t="shared" si="8"/>
        <v>567</v>
      </c>
      <c r="B572" s="632"/>
      <c r="C572" s="633"/>
      <c r="D572" s="634"/>
      <c r="E572" s="655"/>
      <c r="F572" s="684"/>
      <c r="G572" s="684"/>
      <c r="H572" s="635"/>
    </row>
    <row r="573" spans="1:8" ht="12.75" customHeight="1" x14ac:dyDescent="0.25">
      <c r="A573" s="631">
        <f t="shared" si="8"/>
        <v>568</v>
      </c>
      <c r="B573" s="632"/>
      <c r="C573" s="633"/>
      <c r="D573" s="634"/>
      <c r="E573" s="655"/>
      <c r="F573" s="684"/>
      <c r="G573" s="684"/>
      <c r="H573" s="635"/>
    </row>
    <row r="574" spans="1:8" ht="12.75" customHeight="1" x14ac:dyDescent="0.25">
      <c r="A574" s="631">
        <f t="shared" si="8"/>
        <v>569</v>
      </c>
      <c r="B574" s="632"/>
      <c r="C574" s="633"/>
      <c r="D574" s="634"/>
      <c r="E574" s="655"/>
      <c r="F574" s="684"/>
      <c r="G574" s="684"/>
      <c r="H574" s="635"/>
    </row>
    <row r="575" spans="1:8" ht="12.75" customHeight="1" x14ac:dyDescent="0.25">
      <c r="A575" s="631">
        <f t="shared" si="8"/>
        <v>570</v>
      </c>
      <c r="B575" s="632"/>
      <c r="C575" s="633"/>
      <c r="D575" s="634"/>
      <c r="E575" s="655"/>
      <c r="F575" s="684"/>
      <c r="G575" s="684"/>
      <c r="H575" s="635"/>
    </row>
    <row r="576" spans="1:8" ht="12.75" customHeight="1" x14ac:dyDescent="0.25">
      <c r="A576" s="631">
        <f t="shared" si="8"/>
        <v>571</v>
      </c>
      <c r="B576" s="632"/>
      <c r="C576" s="633"/>
      <c r="D576" s="634"/>
      <c r="E576" s="655"/>
      <c r="F576" s="684"/>
      <c r="G576" s="684"/>
      <c r="H576" s="635"/>
    </row>
    <row r="577" spans="1:8" ht="12.75" customHeight="1" x14ac:dyDescent="0.25">
      <c r="A577" s="631">
        <f t="shared" ref="A577:A640" si="9">ROW()-5</f>
        <v>572</v>
      </c>
      <c r="B577" s="632"/>
      <c r="C577" s="633"/>
      <c r="D577" s="634"/>
      <c r="E577" s="655"/>
      <c r="F577" s="684"/>
      <c r="G577" s="684"/>
      <c r="H577" s="635"/>
    </row>
    <row r="578" spans="1:8" ht="12.75" customHeight="1" x14ac:dyDescent="0.25">
      <c r="A578" s="631">
        <f t="shared" si="9"/>
        <v>573</v>
      </c>
      <c r="B578" s="632"/>
      <c r="C578" s="633"/>
      <c r="D578" s="634"/>
      <c r="E578" s="655"/>
      <c r="F578" s="684"/>
      <c r="G578" s="684"/>
      <c r="H578" s="635"/>
    </row>
    <row r="579" spans="1:8" ht="12.75" customHeight="1" x14ac:dyDescent="0.25">
      <c r="A579" s="631">
        <f t="shared" si="9"/>
        <v>574</v>
      </c>
      <c r="B579" s="632"/>
      <c r="C579" s="633"/>
      <c r="D579" s="634"/>
      <c r="E579" s="655"/>
      <c r="F579" s="684"/>
      <c r="G579" s="684"/>
      <c r="H579" s="635"/>
    </row>
    <row r="580" spans="1:8" ht="12.75" customHeight="1" x14ac:dyDescent="0.25">
      <c r="A580" s="631">
        <f t="shared" si="9"/>
        <v>575</v>
      </c>
      <c r="B580" s="632"/>
      <c r="C580" s="633"/>
      <c r="D580" s="634"/>
      <c r="E580" s="655"/>
      <c r="F580" s="684"/>
      <c r="G580" s="684"/>
      <c r="H580" s="635"/>
    </row>
    <row r="581" spans="1:8" ht="12.75" customHeight="1" x14ac:dyDescent="0.25">
      <c r="A581" s="631">
        <f t="shared" si="9"/>
        <v>576</v>
      </c>
      <c r="B581" s="632"/>
      <c r="C581" s="633"/>
      <c r="D581" s="634"/>
      <c r="E581" s="655"/>
      <c r="F581" s="684"/>
      <c r="G581" s="684"/>
      <c r="H581" s="635"/>
    </row>
    <row r="582" spans="1:8" ht="12.75" customHeight="1" x14ac:dyDescent="0.25">
      <c r="A582" s="631">
        <f t="shared" si="9"/>
        <v>577</v>
      </c>
      <c r="B582" s="632"/>
      <c r="C582" s="633"/>
      <c r="D582" s="634"/>
      <c r="E582" s="655"/>
      <c r="F582" s="684"/>
      <c r="G582" s="684"/>
      <c r="H582" s="635"/>
    </row>
    <row r="583" spans="1:8" ht="12.75" customHeight="1" x14ac:dyDescent="0.25">
      <c r="A583" s="631">
        <f t="shared" si="9"/>
        <v>578</v>
      </c>
      <c r="B583" s="632"/>
      <c r="C583" s="633"/>
      <c r="D583" s="634"/>
      <c r="E583" s="655"/>
      <c r="F583" s="684"/>
      <c r="G583" s="684"/>
      <c r="H583" s="635"/>
    </row>
    <row r="584" spans="1:8" ht="12.75" customHeight="1" x14ac:dyDescent="0.25">
      <c r="A584" s="631">
        <f t="shared" si="9"/>
        <v>579</v>
      </c>
      <c r="B584" s="632"/>
      <c r="C584" s="633"/>
      <c r="D584" s="634"/>
      <c r="E584" s="655"/>
      <c r="F584" s="684"/>
      <c r="G584" s="684"/>
      <c r="H584" s="635"/>
    </row>
    <row r="585" spans="1:8" ht="12.75" customHeight="1" x14ac:dyDescent="0.25">
      <c r="A585" s="631">
        <f t="shared" si="9"/>
        <v>580</v>
      </c>
      <c r="B585" s="632"/>
      <c r="C585" s="633"/>
      <c r="D585" s="634"/>
      <c r="E585" s="655"/>
      <c r="F585" s="684"/>
      <c r="G585" s="684"/>
      <c r="H585" s="635"/>
    </row>
    <row r="586" spans="1:8" ht="12.75" customHeight="1" x14ac:dyDescent="0.25">
      <c r="A586" s="631">
        <f t="shared" si="9"/>
        <v>581</v>
      </c>
      <c r="B586" s="632"/>
      <c r="C586" s="633"/>
      <c r="D586" s="634"/>
      <c r="E586" s="655"/>
      <c r="F586" s="684"/>
      <c r="G586" s="684"/>
      <c r="H586" s="635"/>
    </row>
    <row r="587" spans="1:8" ht="12.75" customHeight="1" x14ac:dyDescent="0.25">
      <c r="A587" s="631">
        <f t="shared" si="9"/>
        <v>582</v>
      </c>
      <c r="B587" s="632"/>
      <c r="C587" s="633"/>
      <c r="D587" s="634"/>
      <c r="E587" s="655"/>
      <c r="F587" s="684"/>
      <c r="G587" s="684"/>
      <c r="H587" s="635"/>
    </row>
    <row r="588" spans="1:8" ht="12.75" customHeight="1" x14ac:dyDescent="0.25">
      <c r="A588" s="631">
        <f t="shared" si="9"/>
        <v>583</v>
      </c>
      <c r="B588" s="632"/>
      <c r="C588" s="633"/>
      <c r="D588" s="634"/>
      <c r="E588" s="655"/>
      <c r="F588" s="684"/>
      <c r="G588" s="684"/>
      <c r="H588" s="635"/>
    </row>
    <row r="589" spans="1:8" ht="12.75" customHeight="1" x14ac:dyDescent="0.25">
      <c r="A589" s="631">
        <f t="shared" si="9"/>
        <v>584</v>
      </c>
      <c r="B589" s="632"/>
      <c r="C589" s="633"/>
      <c r="D589" s="634"/>
      <c r="E589" s="655"/>
      <c r="F589" s="684"/>
      <c r="G589" s="684"/>
      <c r="H589" s="635"/>
    </row>
    <row r="590" spans="1:8" ht="12.75" customHeight="1" x14ac:dyDescent="0.25">
      <c r="A590" s="631">
        <f t="shared" si="9"/>
        <v>585</v>
      </c>
      <c r="B590" s="632"/>
      <c r="C590" s="633"/>
      <c r="D590" s="634"/>
      <c r="E590" s="655"/>
      <c r="F590" s="684"/>
      <c r="G590" s="684"/>
      <c r="H590" s="635"/>
    </row>
    <row r="591" spans="1:8" ht="12.75" customHeight="1" x14ac:dyDescent="0.25">
      <c r="A591" s="631">
        <f t="shared" si="9"/>
        <v>586</v>
      </c>
      <c r="B591" s="632"/>
      <c r="C591" s="633"/>
      <c r="D591" s="634"/>
      <c r="E591" s="655"/>
      <c r="F591" s="684"/>
      <c r="G591" s="684"/>
      <c r="H591" s="635"/>
    </row>
    <row r="592" spans="1:8" ht="12.75" customHeight="1" x14ac:dyDescent="0.25">
      <c r="A592" s="631">
        <f t="shared" si="9"/>
        <v>587</v>
      </c>
      <c r="B592" s="632"/>
      <c r="C592" s="633"/>
      <c r="D592" s="634"/>
      <c r="E592" s="655"/>
      <c r="F592" s="684"/>
      <c r="G592" s="684"/>
      <c r="H592" s="635"/>
    </row>
    <row r="593" spans="1:8" ht="12.75" customHeight="1" x14ac:dyDescent="0.25">
      <c r="A593" s="631">
        <f t="shared" si="9"/>
        <v>588</v>
      </c>
      <c r="B593" s="632"/>
      <c r="C593" s="633"/>
      <c r="D593" s="634"/>
      <c r="E593" s="655"/>
      <c r="F593" s="684"/>
      <c r="G593" s="684"/>
      <c r="H593" s="635"/>
    </row>
    <row r="594" spans="1:8" ht="12.75" customHeight="1" x14ac:dyDescent="0.25">
      <c r="A594" s="631">
        <f t="shared" si="9"/>
        <v>589</v>
      </c>
      <c r="B594" s="632"/>
      <c r="C594" s="633"/>
      <c r="D594" s="634"/>
      <c r="E594" s="655"/>
      <c r="F594" s="684"/>
      <c r="G594" s="684"/>
      <c r="H594" s="635"/>
    </row>
    <row r="595" spans="1:8" ht="12.75" customHeight="1" x14ac:dyDescent="0.25">
      <c r="A595" s="631">
        <f t="shared" si="9"/>
        <v>590</v>
      </c>
      <c r="B595" s="632"/>
      <c r="C595" s="633"/>
      <c r="D595" s="634"/>
      <c r="E595" s="655"/>
      <c r="F595" s="684"/>
      <c r="G595" s="684"/>
      <c r="H595" s="635"/>
    </row>
    <row r="596" spans="1:8" ht="12.75" customHeight="1" x14ac:dyDescent="0.25">
      <c r="A596" s="631">
        <f t="shared" si="9"/>
        <v>591</v>
      </c>
      <c r="B596" s="632"/>
      <c r="C596" s="633"/>
      <c r="D596" s="634"/>
      <c r="E596" s="655"/>
      <c r="F596" s="684"/>
      <c r="G596" s="684"/>
      <c r="H596" s="635"/>
    </row>
    <row r="597" spans="1:8" ht="12.75" customHeight="1" x14ac:dyDescent="0.25">
      <c r="A597" s="631">
        <f t="shared" si="9"/>
        <v>592</v>
      </c>
      <c r="B597" s="632"/>
      <c r="C597" s="633"/>
      <c r="D597" s="634"/>
      <c r="E597" s="655"/>
      <c r="F597" s="684"/>
      <c r="G597" s="684"/>
      <c r="H597" s="635"/>
    </row>
    <row r="598" spans="1:8" ht="12.75" customHeight="1" x14ac:dyDescent="0.25">
      <c r="A598" s="631">
        <f t="shared" si="9"/>
        <v>593</v>
      </c>
      <c r="B598" s="632"/>
      <c r="C598" s="633"/>
      <c r="D598" s="634"/>
      <c r="E598" s="655"/>
      <c r="F598" s="684"/>
      <c r="G598" s="684"/>
      <c r="H598" s="635"/>
    </row>
    <row r="599" spans="1:8" ht="12.75" customHeight="1" x14ac:dyDescent="0.25">
      <c r="A599" s="631">
        <f t="shared" si="9"/>
        <v>594</v>
      </c>
      <c r="B599" s="632"/>
      <c r="C599" s="633"/>
      <c r="D599" s="634"/>
      <c r="E599" s="655"/>
      <c r="F599" s="684"/>
      <c r="G599" s="684"/>
      <c r="H599" s="635"/>
    </row>
    <row r="600" spans="1:8" ht="12.75" customHeight="1" x14ac:dyDescent="0.25">
      <c r="A600" s="631">
        <f t="shared" si="9"/>
        <v>595</v>
      </c>
      <c r="B600" s="632"/>
      <c r="C600" s="633"/>
      <c r="D600" s="634"/>
      <c r="E600" s="655"/>
      <c r="F600" s="684"/>
      <c r="G600" s="684"/>
      <c r="H600" s="635"/>
    </row>
    <row r="601" spans="1:8" ht="12.75" customHeight="1" x14ac:dyDescent="0.25">
      <c r="A601" s="631">
        <f t="shared" si="9"/>
        <v>596</v>
      </c>
      <c r="B601" s="632"/>
      <c r="C601" s="633"/>
      <c r="D601" s="634"/>
      <c r="E601" s="655"/>
      <c r="F601" s="684"/>
      <c r="G601" s="684"/>
      <c r="H601" s="635"/>
    </row>
    <row r="602" spans="1:8" ht="12.75" customHeight="1" x14ac:dyDescent="0.25">
      <c r="A602" s="631">
        <f t="shared" si="9"/>
        <v>597</v>
      </c>
      <c r="B602" s="632"/>
      <c r="C602" s="633"/>
      <c r="D602" s="634"/>
      <c r="E602" s="655"/>
      <c r="F602" s="684"/>
      <c r="G602" s="684"/>
      <c r="H602" s="635"/>
    </row>
    <row r="603" spans="1:8" ht="12.75" customHeight="1" x14ac:dyDescent="0.25">
      <c r="A603" s="631">
        <f t="shared" si="9"/>
        <v>598</v>
      </c>
      <c r="B603" s="632"/>
      <c r="C603" s="633"/>
      <c r="D603" s="634"/>
      <c r="E603" s="655"/>
      <c r="F603" s="684"/>
      <c r="G603" s="684"/>
      <c r="H603" s="635"/>
    </row>
    <row r="604" spans="1:8" ht="12.75" customHeight="1" x14ac:dyDescent="0.25">
      <c r="A604" s="631">
        <f t="shared" si="9"/>
        <v>599</v>
      </c>
      <c r="B604" s="632"/>
      <c r="C604" s="633"/>
      <c r="D604" s="634"/>
      <c r="E604" s="655"/>
      <c r="F604" s="684"/>
      <c r="G604" s="684"/>
      <c r="H604" s="635"/>
    </row>
    <row r="605" spans="1:8" ht="12.75" customHeight="1" x14ac:dyDescent="0.25">
      <c r="A605" s="631">
        <f t="shared" si="9"/>
        <v>600</v>
      </c>
      <c r="B605" s="632"/>
      <c r="C605" s="633"/>
      <c r="D605" s="634"/>
      <c r="E605" s="655"/>
      <c r="F605" s="684"/>
      <c r="G605" s="684"/>
      <c r="H605" s="635"/>
    </row>
    <row r="606" spans="1:8" ht="12.75" customHeight="1" x14ac:dyDescent="0.25">
      <c r="A606" s="631">
        <f t="shared" si="9"/>
        <v>601</v>
      </c>
      <c r="B606" s="632"/>
      <c r="C606" s="633"/>
      <c r="D606" s="634"/>
      <c r="E606" s="655"/>
      <c r="F606" s="684"/>
      <c r="G606" s="684"/>
      <c r="H606" s="635"/>
    </row>
    <row r="607" spans="1:8" ht="12.75" customHeight="1" x14ac:dyDescent="0.25">
      <c r="A607" s="631">
        <f t="shared" si="9"/>
        <v>602</v>
      </c>
      <c r="B607" s="632"/>
      <c r="C607" s="633"/>
      <c r="D607" s="634"/>
      <c r="E607" s="655"/>
      <c r="F607" s="684"/>
      <c r="G607" s="684"/>
      <c r="H607" s="635"/>
    </row>
    <row r="608" spans="1:8" ht="12.75" customHeight="1" x14ac:dyDescent="0.25">
      <c r="A608" s="631">
        <f t="shared" si="9"/>
        <v>603</v>
      </c>
      <c r="B608" s="632"/>
      <c r="C608" s="633"/>
      <c r="D608" s="634"/>
      <c r="E608" s="655"/>
      <c r="F608" s="684"/>
      <c r="G608" s="684"/>
      <c r="H608" s="635"/>
    </row>
    <row r="609" spans="1:8" ht="12.75" customHeight="1" x14ac:dyDescent="0.25">
      <c r="A609" s="631">
        <f t="shared" si="9"/>
        <v>604</v>
      </c>
      <c r="B609" s="632"/>
      <c r="C609" s="633"/>
      <c r="D609" s="634"/>
      <c r="E609" s="655"/>
      <c r="F609" s="684"/>
      <c r="G609" s="684"/>
      <c r="H609" s="635"/>
    </row>
    <row r="610" spans="1:8" ht="12.75" customHeight="1" x14ac:dyDescent="0.25">
      <c r="A610" s="631">
        <f t="shared" si="9"/>
        <v>605</v>
      </c>
      <c r="B610" s="632"/>
      <c r="C610" s="633"/>
      <c r="D610" s="634"/>
      <c r="E610" s="655"/>
      <c r="F610" s="684"/>
      <c r="G610" s="684"/>
      <c r="H610" s="635"/>
    </row>
    <row r="611" spans="1:8" ht="12.75" customHeight="1" x14ac:dyDescent="0.25">
      <c r="A611" s="631">
        <f t="shared" si="9"/>
        <v>606</v>
      </c>
      <c r="B611" s="632"/>
      <c r="C611" s="633"/>
      <c r="D611" s="634"/>
      <c r="E611" s="655"/>
      <c r="F611" s="684"/>
      <c r="G611" s="684"/>
      <c r="H611" s="635"/>
    </row>
    <row r="612" spans="1:8" ht="12.75" customHeight="1" x14ac:dyDescent="0.25">
      <c r="A612" s="631">
        <f t="shared" si="9"/>
        <v>607</v>
      </c>
      <c r="B612" s="632"/>
      <c r="C612" s="633"/>
      <c r="D612" s="634"/>
      <c r="E612" s="655"/>
      <c r="F612" s="684"/>
      <c r="G612" s="684"/>
      <c r="H612" s="635"/>
    </row>
    <row r="613" spans="1:8" ht="12.75" customHeight="1" x14ac:dyDescent="0.25">
      <c r="A613" s="631">
        <f t="shared" si="9"/>
        <v>608</v>
      </c>
      <c r="B613" s="632"/>
      <c r="C613" s="633"/>
      <c r="D613" s="634"/>
      <c r="E613" s="655"/>
      <c r="F613" s="684"/>
      <c r="G613" s="684"/>
      <c r="H613" s="635"/>
    </row>
    <row r="614" spans="1:8" ht="12.75" customHeight="1" x14ac:dyDescent="0.25">
      <c r="A614" s="631">
        <f t="shared" si="9"/>
        <v>609</v>
      </c>
      <c r="B614" s="632"/>
      <c r="C614" s="633"/>
      <c r="D614" s="634"/>
      <c r="E614" s="655"/>
      <c r="F614" s="684"/>
      <c r="G614" s="684"/>
      <c r="H614" s="635"/>
    </row>
    <row r="615" spans="1:8" ht="12.75" customHeight="1" x14ac:dyDescent="0.25">
      <c r="A615" s="631">
        <f t="shared" si="9"/>
        <v>610</v>
      </c>
      <c r="B615" s="632"/>
      <c r="C615" s="633"/>
      <c r="D615" s="634"/>
      <c r="E615" s="655"/>
      <c r="F615" s="684"/>
      <c r="G615" s="684"/>
      <c r="H615" s="635"/>
    </row>
    <row r="616" spans="1:8" ht="12.75" customHeight="1" x14ac:dyDescent="0.25">
      <c r="A616" s="631">
        <f t="shared" si="9"/>
        <v>611</v>
      </c>
      <c r="B616" s="632"/>
      <c r="C616" s="633"/>
      <c r="D616" s="634"/>
      <c r="E616" s="655"/>
      <c r="F616" s="684"/>
      <c r="G616" s="684"/>
      <c r="H616" s="635"/>
    </row>
    <row r="617" spans="1:8" ht="12.75" customHeight="1" x14ac:dyDescent="0.25">
      <c r="A617" s="631">
        <f t="shared" si="9"/>
        <v>612</v>
      </c>
      <c r="B617" s="632"/>
      <c r="C617" s="633"/>
      <c r="D617" s="634"/>
      <c r="E617" s="655"/>
      <c r="F617" s="684"/>
      <c r="G617" s="684"/>
      <c r="H617" s="635"/>
    </row>
    <row r="618" spans="1:8" ht="12.75" customHeight="1" x14ac:dyDescent="0.25">
      <c r="A618" s="631">
        <f t="shared" si="9"/>
        <v>613</v>
      </c>
      <c r="B618" s="632"/>
      <c r="C618" s="633"/>
      <c r="D618" s="634"/>
      <c r="E618" s="655"/>
      <c r="F618" s="684"/>
      <c r="G618" s="684"/>
      <c r="H618" s="635"/>
    </row>
    <row r="619" spans="1:8" ht="12.75" customHeight="1" x14ac:dyDescent="0.25">
      <c r="A619" s="631">
        <f t="shared" si="9"/>
        <v>614</v>
      </c>
      <c r="B619" s="632"/>
      <c r="C619" s="633"/>
      <c r="D619" s="634"/>
      <c r="E619" s="655"/>
      <c r="F619" s="684"/>
      <c r="G619" s="684"/>
      <c r="H619" s="635"/>
    </row>
    <row r="620" spans="1:8" ht="12.75" customHeight="1" x14ac:dyDescent="0.25">
      <c r="A620" s="631">
        <f t="shared" si="9"/>
        <v>615</v>
      </c>
      <c r="B620" s="632"/>
      <c r="C620" s="633"/>
      <c r="D620" s="634"/>
      <c r="E620" s="655"/>
      <c r="F620" s="684"/>
      <c r="G620" s="684"/>
      <c r="H620" s="635"/>
    </row>
    <row r="621" spans="1:8" ht="12.75" customHeight="1" x14ac:dyDescent="0.25">
      <c r="A621" s="631">
        <f t="shared" si="9"/>
        <v>616</v>
      </c>
      <c r="B621" s="632"/>
      <c r="C621" s="633"/>
      <c r="D621" s="634"/>
      <c r="E621" s="655"/>
      <c r="F621" s="684"/>
      <c r="G621" s="684"/>
      <c r="H621" s="635"/>
    </row>
    <row r="622" spans="1:8" ht="12.75" customHeight="1" x14ac:dyDescent="0.25">
      <c r="A622" s="631">
        <f t="shared" si="9"/>
        <v>617</v>
      </c>
      <c r="B622" s="632"/>
      <c r="C622" s="633"/>
      <c r="D622" s="634"/>
      <c r="E622" s="655"/>
      <c r="F622" s="684"/>
      <c r="G622" s="684"/>
      <c r="H622" s="635"/>
    </row>
    <row r="623" spans="1:8" ht="12.75" customHeight="1" x14ac:dyDescent="0.25">
      <c r="A623" s="631">
        <f t="shared" si="9"/>
        <v>618</v>
      </c>
      <c r="B623" s="632"/>
      <c r="C623" s="633"/>
      <c r="D623" s="634"/>
      <c r="E623" s="655"/>
      <c r="F623" s="684"/>
      <c r="G623" s="684"/>
      <c r="H623" s="635"/>
    </row>
    <row r="624" spans="1:8" ht="12.75" customHeight="1" x14ac:dyDescent="0.25">
      <c r="A624" s="631">
        <f t="shared" si="9"/>
        <v>619</v>
      </c>
      <c r="B624" s="632"/>
      <c r="C624" s="633"/>
      <c r="D624" s="634"/>
      <c r="E624" s="655"/>
      <c r="F624" s="684"/>
      <c r="G624" s="684"/>
      <c r="H624" s="635"/>
    </row>
    <row r="625" spans="1:8" ht="12.75" customHeight="1" x14ac:dyDescent="0.25">
      <c r="A625" s="631">
        <f t="shared" si="9"/>
        <v>620</v>
      </c>
      <c r="B625" s="632"/>
      <c r="C625" s="633"/>
      <c r="D625" s="634"/>
      <c r="E625" s="655"/>
      <c r="F625" s="684"/>
      <c r="G625" s="684"/>
      <c r="H625" s="635"/>
    </row>
    <row r="626" spans="1:8" ht="12.75" customHeight="1" x14ac:dyDescent="0.25">
      <c r="A626" s="631">
        <f t="shared" si="9"/>
        <v>621</v>
      </c>
      <c r="B626" s="632"/>
      <c r="C626" s="633"/>
      <c r="D626" s="634"/>
      <c r="E626" s="655"/>
      <c r="F626" s="684"/>
      <c r="G626" s="684"/>
      <c r="H626" s="635"/>
    </row>
    <row r="627" spans="1:8" ht="12.75" customHeight="1" x14ac:dyDescent="0.25">
      <c r="A627" s="631">
        <f t="shared" si="9"/>
        <v>622</v>
      </c>
      <c r="B627" s="632"/>
      <c r="C627" s="633"/>
      <c r="D627" s="634"/>
      <c r="E627" s="655"/>
      <c r="F627" s="684"/>
      <c r="G627" s="684"/>
      <c r="H627" s="635"/>
    </row>
    <row r="628" spans="1:8" ht="12.75" customHeight="1" x14ac:dyDescent="0.25">
      <c r="A628" s="631">
        <f t="shared" si="9"/>
        <v>623</v>
      </c>
      <c r="B628" s="632"/>
      <c r="C628" s="633"/>
      <c r="D628" s="634"/>
      <c r="E628" s="655"/>
      <c r="F628" s="684"/>
      <c r="G628" s="684"/>
      <c r="H628" s="635"/>
    </row>
    <row r="629" spans="1:8" ht="12.75" customHeight="1" x14ac:dyDescent="0.25">
      <c r="A629" s="631">
        <f t="shared" si="9"/>
        <v>624</v>
      </c>
      <c r="B629" s="632"/>
      <c r="C629" s="633"/>
      <c r="D629" s="634"/>
      <c r="E629" s="655"/>
      <c r="F629" s="684"/>
      <c r="G629" s="684"/>
      <c r="H629" s="635"/>
    </row>
    <row r="630" spans="1:8" ht="12.75" customHeight="1" x14ac:dyDescent="0.25">
      <c r="A630" s="631">
        <f t="shared" si="9"/>
        <v>625</v>
      </c>
      <c r="B630" s="632"/>
      <c r="C630" s="633"/>
      <c r="D630" s="634"/>
      <c r="E630" s="655"/>
      <c r="F630" s="684"/>
      <c r="G630" s="684"/>
      <c r="H630" s="635"/>
    </row>
    <row r="631" spans="1:8" ht="12.75" customHeight="1" x14ac:dyDescent="0.25">
      <c r="A631" s="631">
        <f t="shared" si="9"/>
        <v>626</v>
      </c>
      <c r="B631" s="632"/>
      <c r="C631" s="633"/>
      <c r="D631" s="634"/>
      <c r="E631" s="655"/>
      <c r="F631" s="684"/>
      <c r="G631" s="684"/>
      <c r="H631" s="635"/>
    </row>
    <row r="632" spans="1:8" ht="12.75" customHeight="1" x14ac:dyDescent="0.25">
      <c r="A632" s="631">
        <f t="shared" si="9"/>
        <v>627</v>
      </c>
      <c r="B632" s="632"/>
      <c r="C632" s="633"/>
      <c r="D632" s="634"/>
      <c r="E632" s="655"/>
      <c r="F632" s="684"/>
      <c r="G632" s="684"/>
      <c r="H632" s="635"/>
    </row>
    <row r="633" spans="1:8" ht="12.75" customHeight="1" x14ac:dyDescent="0.25">
      <c r="A633" s="631">
        <f t="shared" si="9"/>
        <v>628</v>
      </c>
      <c r="B633" s="632"/>
      <c r="C633" s="633"/>
      <c r="D633" s="634"/>
      <c r="E633" s="655"/>
      <c r="F633" s="684"/>
      <c r="G633" s="684"/>
      <c r="H633" s="635"/>
    </row>
    <row r="634" spans="1:8" ht="12.75" customHeight="1" x14ac:dyDescent="0.25">
      <c r="A634" s="631">
        <f t="shared" si="9"/>
        <v>629</v>
      </c>
      <c r="B634" s="632"/>
      <c r="C634" s="633"/>
      <c r="D634" s="634"/>
      <c r="E634" s="655"/>
      <c r="F634" s="684"/>
      <c r="G634" s="684"/>
      <c r="H634" s="635"/>
    </row>
    <row r="635" spans="1:8" ht="12.75" customHeight="1" x14ac:dyDescent="0.25">
      <c r="A635" s="631">
        <f t="shared" si="9"/>
        <v>630</v>
      </c>
      <c r="B635" s="632"/>
      <c r="C635" s="633"/>
      <c r="D635" s="634"/>
      <c r="E635" s="655"/>
      <c r="F635" s="684"/>
      <c r="G635" s="684"/>
      <c r="H635" s="635"/>
    </row>
    <row r="636" spans="1:8" ht="12.75" customHeight="1" x14ac:dyDescent="0.25">
      <c r="A636" s="631">
        <f t="shared" si="9"/>
        <v>631</v>
      </c>
      <c r="B636" s="632"/>
      <c r="C636" s="633"/>
      <c r="D636" s="634"/>
      <c r="E636" s="655"/>
      <c r="F636" s="684"/>
      <c r="G636" s="684"/>
      <c r="H636" s="635"/>
    </row>
    <row r="637" spans="1:8" ht="12.75" customHeight="1" x14ac:dyDescent="0.25">
      <c r="A637" s="631">
        <f t="shared" si="9"/>
        <v>632</v>
      </c>
      <c r="B637" s="632"/>
      <c r="C637" s="633"/>
      <c r="D637" s="634"/>
      <c r="E637" s="655"/>
      <c r="F637" s="684"/>
      <c r="G637" s="684"/>
      <c r="H637" s="635"/>
    </row>
    <row r="638" spans="1:8" ht="12.75" customHeight="1" x14ac:dyDescent="0.25">
      <c r="A638" s="631">
        <f t="shared" si="9"/>
        <v>633</v>
      </c>
      <c r="B638" s="632"/>
      <c r="C638" s="633"/>
      <c r="D638" s="634"/>
      <c r="E638" s="655"/>
      <c r="F638" s="684"/>
      <c r="G638" s="684"/>
      <c r="H638" s="635"/>
    </row>
    <row r="639" spans="1:8" ht="12.75" customHeight="1" x14ac:dyDescent="0.25">
      <c r="A639" s="631">
        <f t="shared" si="9"/>
        <v>634</v>
      </c>
      <c r="B639" s="632"/>
      <c r="C639" s="633"/>
      <c r="D639" s="634"/>
      <c r="E639" s="655"/>
      <c r="F639" s="684"/>
      <c r="G639" s="684"/>
      <c r="H639" s="635"/>
    </row>
    <row r="640" spans="1:8" ht="12.75" customHeight="1" x14ac:dyDescent="0.25">
      <c r="A640" s="631">
        <f t="shared" si="9"/>
        <v>635</v>
      </c>
      <c r="B640" s="632"/>
      <c r="C640" s="633"/>
      <c r="D640" s="634"/>
      <c r="E640" s="655"/>
      <c r="F640" s="684"/>
      <c r="G640" s="684"/>
      <c r="H640" s="635"/>
    </row>
    <row r="641" spans="1:8" ht="12.75" customHeight="1" x14ac:dyDescent="0.25">
      <c r="A641" s="631">
        <f t="shared" ref="A641:A704" si="10">ROW()-5</f>
        <v>636</v>
      </c>
      <c r="B641" s="632"/>
      <c r="C641" s="633"/>
      <c r="D641" s="634"/>
      <c r="E641" s="655"/>
      <c r="F641" s="684"/>
      <c r="G641" s="684"/>
      <c r="H641" s="635"/>
    </row>
    <row r="642" spans="1:8" ht="12.75" customHeight="1" x14ac:dyDescent="0.25">
      <c r="A642" s="631">
        <f t="shared" si="10"/>
        <v>637</v>
      </c>
      <c r="B642" s="632"/>
      <c r="C642" s="633"/>
      <c r="D642" s="634"/>
      <c r="E642" s="655"/>
      <c r="F642" s="684"/>
      <c r="G642" s="684"/>
      <c r="H642" s="635"/>
    </row>
    <row r="643" spans="1:8" ht="12.75" customHeight="1" x14ac:dyDescent="0.25">
      <c r="A643" s="631">
        <f t="shared" si="10"/>
        <v>638</v>
      </c>
      <c r="B643" s="632"/>
      <c r="C643" s="633"/>
      <c r="D643" s="634"/>
      <c r="E643" s="655"/>
      <c r="F643" s="684"/>
      <c r="G643" s="684"/>
      <c r="H643" s="635"/>
    </row>
    <row r="644" spans="1:8" ht="12.75" customHeight="1" x14ac:dyDescent="0.25">
      <c r="A644" s="631">
        <f t="shared" si="10"/>
        <v>639</v>
      </c>
      <c r="B644" s="632"/>
      <c r="C644" s="633"/>
      <c r="D644" s="634"/>
      <c r="E644" s="655"/>
      <c r="F644" s="684"/>
      <c r="G644" s="684"/>
      <c r="H644" s="635"/>
    </row>
    <row r="645" spans="1:8" ht="12.75" customHeight="1" x14ac:dyDescent="0.25">
      <c r="A645" s="631">
        <f t="shared" si="10"/>
        <v>640</v>
      </c>
      <c r="B645" s="632"/>
      <c r="C645" s="633"/>
      <c r="D645" s="634"/>
      <c r="E645" s="655"/>
      <c r="F645" s="684"/>
      <c r="G645" s="684"/>
      <c r="H645" s="635"/>
    </row>
    <row r="646" spans="1:8" ht="12.75" customHeight="1" x14ac:dyDescent="0.25">
      <c r="A646" s="631">
        <f t="shared" si="10"/>
        <v>641</v>
      </c>
      <c r="B646" s="632"/>
      <c r="C646" s="633"/>
      <c r="D646" s="634"/>
      <c r="E646" s="655"/>
      <c r="F646" s="684"/>
      <c r="G646" s="684"/>
      <c r="H646" s="635"/>
    </row>
    <row r="647" spans="1:8" ht="12.75" customHeight="1" x14ac:dyDescent="0.25">
      <c r="A647" s="631">
        <f t="shared" si="10"/>
        <v>642</v>
      </c>
      <c r="B647" s="632"/>
      <c r="C647" s="633"/>
      <c r="D647" s="634"/>
      <c r="E647" s="655"/>
      <c r="F647" s="684"/>
      <c r="G647" s="684"/>
      <c r="H647" s="635"/>
    </row>
    <row r="648" spans="1:8" ht="12.75" customHeight="1" x14ac:dyDescent="0.25">
      <c r="A648" s="631">
        <f t="shared" si="10"/>
        <v>643</v>
      </c>
      <c r="B648" s="632"/>
      <c r="C648" s="633"/>
      <c r="D648" s="634"/>
      <c r="E648" s="655"/>
      <c r="F648" s="684"/>
      <c r="G648" s="684"/>
      <c r="H648" s="635"/>
    </row>
    <row r="649" spans="1:8" ht="12.75" customHeight="1" x14ac:dyDescent="0.25">
      <c r="A649" s="631">
        <f t="shared" si="10"/>
        <v>644</v>
      </c>
      <c r="B649" s="632"/>
      <c r="C649" s="633"/>
      <c r="D649" s="634"/>
      <c r="E649" s="655"/>
      <c r="F649" s="684"/>
      <c r="G649" s="684"/>
      <c r="H649" s="635"/>
    </row>
    <row r="650" spans="1:8" ht="12.75" customHeight="1" x14ac:dyDescent="0.25">
      <c r="A650" s="631">
        <f t="shared" si="10"/>
        <v>645</v>
      </c>
      <c r="B650" s="632"/>
      <c r="C650" s="633"/>
      <c r="D650" s="634"/>
      <c r="E650" s="655"/>
      <c r="F650" s="684"/>
      <c r="G650" s="684"/>
      <c r="H650" s="635"/>
    </row>
    <row r="651" spans="1:8" ht="12.75" customHeight="1" x14ac:dyDescent="0.25">
      <c r="A651" s="631">
        <f t="shared" si="10"/>
        <v>646</v>
      </c>
      <c r="B651" s="632"/>
      <c r="C651" s="633"/>
      <c r="D651" s="634"/>
      <c r="E651" s="655"/>
      <c r="F651" s="684"/>
      <c r="G651" s="684"/>
      <c r="H651" s="635"/>
    </row>
    <row r="652" spans="1:8" ht="12.75" customHeight="1" x14ac:dyDescent="0.25">
      <c r="A652" s="631">
        <f t="shared" si="10"/>
        <v>647</v>
      </c>
      <c r="B652" s="632"/>
      <c r="C652" s="633"/>
      <c r="D652" s="634"/>
      <c r="E652" s="655"/>
      <c r="F652" s="684"/>
      <c r="G652" s="684"/>
      <c r="H652" s="635"/>
    </row>
    <row r="653" spans="1:8" ht="12.75" customHeight="1" x14ac:dyDescent="0.25">
      <c r="A653" s="631">
        <f t="shared" si="10"/>
        <v>648</v>
      </c>
      <c r="B653" s="632"/>
      <c r="C653" s="633"/>
      <c r="D653" s="634"/>
      <c r="E653" s="655"/>
      <c r="F653" s="684"/>
      <c r="G653" s="684"/>
      <c r="H653" s="635"/>
    </row>
    <row r="654" spans="1:8" ht="12.75" customHeight="1" x14ac:dyDescent="0.25">
      <c r="A654" s="631">
        <f t="shared" si="10"/>
        <v>649</v>
      </c>
      <c r="B654" s="632"/>
      <c r="C654" s="633"/>
      <c r="D654" s="634"/>
      <c r="E654" s="655"/>
      <c r="F654" s="684"/>
      <c r="G654" s="684"/>
      <c r="H654" s="635"/>
    </row>
    <row r="655" spans="1:8" ht="12.75" customHeight="1" x14ac:dyDescent="0.25">
      <c r="A655" s="631">
        <f t="shared" si="10"/>
        <v>650</v>
      </c>
      <c r="B655" s="632"/>
      <c r="C655" s="633"/>
      <c r="D655" s="634"/>
      <c r="E655" s="655"/>
      <c r="F655" s="684"/>
      <c r="G655" s="684"/>
      <c r="H655" s="635"/>
    </row>
    <row r="656" spans="1:8" ht="12.75" customHeight="1" x14ac:dyDescent="0.25">
      <c r="A656" s="631">
        <f t="shared" si="10"/>
        <v>651</v>
      </c>
      <c r="B656" s="632"/>
      <c r="C656" s="633"/>
      <c r="D656" s="634"/>
      <c r="E656" s="655"/>
      <c r="F656" s="684"/>
      <c r="G656" s="684"/>
      <c r="H656" s="635"/>
    </row>
    <row r="657" spans="1:8" ht="12.75" customHeight="1" x14ac:dyDescent="0.25">
      <c r="A657" s="631">
        <f t="shared" si="10"/>
        <v>652</v>
      </c>
      <c r="B657" s="632"/>
      <c r="C657" s="633"/>
      <c r="D657" s="634"/>
      <c r="E657" s="655"/>
      <c r="F657" s="684"/>
      <c r="G657" s="684"/>
      <c r="H657" s="635"/>
    </row>
    <row r="658" spans="1:8" ht="12.75" customHeight="1" x14ac:dyDescent="0.25">
      <c r="A658" s="631">
        <f t="shared" si="10"/>
        <v>653</v>
      </c>
      <c r="B658" s="632"/>
      <c r="C658" s="633"/>
      <c r="D658" s="634"/>
      <c r="E658" s="655"/>
      <c r="F658" s="684"/>
      <c r="G658" s="684"/>
      <c r="H658" s="635"/>
    </row>
    <row r="659" spans="1:8" ht="12.75" customHeight="1" x14ac:dyDescent="0.25">
      <c r="A659" s="631">
        <f t="shared" si="10"/>
        <v>654</v>
      </c>
      <c r="B659" s="632"/>
      <c r="C659" s="633"/>
      <c r="D659" s="634"/>
      <c r="E659" s="655"/>
      <c r="F659" s="684"/>
      <c r="G659" s="684"/>
      <c r="H659" s="635"/>
    </row>
    <row r="660" spans="1:8" ht="12.75" customHeight="1" x14ac:dyDescent="0.25">
      <c r="A660" s="631">
        <f t="shared" si="10"/>
        <v>655</v>
      </c>
      <c r="B660" s="632"/>
      <c r="C660" s="633"/>
      <c r="D660" s="634"/>
      <c r="E660" s="655"/>
      <c r="F660" s="684"/>
      <c r="G660" s="684"/>
      <c r="H660" s="635"/>
    </row>
    <row r="661" spans="1:8" ht="12.75" customHeight="1" x14ac:dyDescent="0.25">
      <c r="A661" s="631">
        <f t="shared" si="10"/>
        <v>656</v>
      </c>
      <c r="B661" s="632"/>
      <c r="C661" s="633"/>
      <c r="D661" s="634"/>
      <c r="E661" s="655"/>
      <c r="F661" s="684"/>
      <c r="G661" s="684"/>
      <c r="H661" s="635"/>
    </row>
    <row r="662" spans="1:8" ht="12.75" customHeight="1" x14ac:dyDescent="0.25">
      <c r="A662" s="631">
        <f t="shared" si="10"/>
        <v>657</v>
      </c>
      <c r="B662" s="632"/>
      <c r="C662" s="633"/>
      <c r="D662" s="634"/>
      <c r="E662" s="655"/>
      <c r="F662" s="684"/>
      <c r="G662" s="684"/>
      <c r="H662" s="635"/>
    </row>
    <row r="663" spans="1:8" ht="12.75" customHeight="1" x14ac:dyDescent="0.25">
      <c r="A663" s="631">
        <f t="shared" si="10"/>
        <v>658</v>
      </c>
      <c r="B663" s="632"/>
      <c r="C663" s="633"/>
      <c r="D663" s="634"/>
      <c r="E663" s="655"/>
      <c r="F663" s="684"/>
      <c r="G663" s="684"/>
      <c r="H663" s="635"/>
    </row>
    <row r="664" spans="1:8" ht="12.75" customHeight="1" x14ac:dyDescent="0.25">
      <c r="A664" s="631">
        <f t="shared" si="10"/>
        <v>659</v>
      </c>
      <c r="B664" s="632"/>
      <c r="C664" s="633"/>
      <c r="D664" s="634"/>
      <c r="E664" s="655"/>
      <c r="F664" s="684"/>
      <c r="G664" s="684"/>
      <c r="H664" s="635"/>
    </row>
    <row r="665" spans="1:8" ht="12.75" customHeight="1" x14ac:dyDescent="0.25">
      <c r="A665" s="631">
        <f t="shared" si="10"/>
        <v>660</v>
      </c>
      <c r="B665" s="632"/>
      <c r="C665" s="633"/>
      <c r="D665" s="634"/>
      <c r="E665" s="655"/>
      <c r="F665" s="684"/>
      <c r="G665" s="684"/>
      <c r="H665" s="635"/>
    </row>
    <row r="666" spans="1:8" ht="12.75" customHeight="1" x14ac:dyDescent="0.25">
      <c r="A666" s="631">
        <f t="shared" si="10"/>
        <v>661</v>
      </c>
      <c r="B666" s="632"/>
      <c r="C666" s="633"/>
      <c r="D666" s="634"/>
      <c r="E666" s="655"/>
      <c r="F666" s="684"/>
      <c r="G666" s="684"/>
      <c r="H666" s="635"/>
    </row>
    <row r="667" spans="1:8" ht="12.75" customHeight="1" x14ac:dyDescent="0.25">
      <c r="A667" s="631">
        <f t="shared" si="10"/>
        <v>662</v>
      </c>
      <c r="B667" s="632"/>
      <c r="C667" s="633"/>
      <c r="D667" s="634"/>
      <c r="E667" s="655"/>
      <c r="F667" s="684"/>
      <c r="G667" s="684"/>
      <c r="H667" s="635"/>
    </row>
    <row r="668" spans="1:8" ht="12.75" customHeight="1" x14ac:dyDescent="0.25">
      <c r="A668" s="631">
        <f t="shared" si="10"/>
        <v>663</v>
      </c>
      <c r="B668" s="632"/>
      <c r="C668" s="633"/>
      <c r="D668" s="634"/>
      <c r="E668" s="655"/>
      <c r="F668" s="684"/>
      <c r="G668" s="684"/>
      <c r="H668" s="635"/>
    </row>
    <row r="669" spans="1:8" ht="12.75" customHeight="1" x14ac:dyDescent="0.25">
      <c r="A669" s="631">
        <f t="shared" si="10"/>
        <v>664</v>
      </c>
      <c r="B669" s="632"/>
      <c r="C669" s="633"/>
      <c r="D669" s="634"/>
      <c r="E669" s="655"/>
      <c r="F669" s="684"/>
      <c r="G669" s="684"/>
      <c r="H669" s="635"/>
    </row>
    <row r="670" spans="1:8" ht="12.75" customHeight="1" x14ac:dyDescent="0.25">
      <c r="A670" s="631">
        <f t="shared" si="10"/>
        <v>665</v>
      </c>
      <c r="B670" s="632"/>
      <c r="C670" s="633"/>
      <c r="D670" s="634"/>
      <c r="E670" s="655"/>
      <c r="F670" s="684"/>
      <c r="G670" s="684"/>
      <c r="H670" s="635"/>
    </row>
    <row r="671" spans="1:8" ht="12.75" customHeight="1" x14ac:dyDescent="0.25">
      <c r="A671" s="631">
        <f t="shared" si="10"/>
        <v>666</v>
      </c>
      <c r="B671" s="632"/>
      <c r="C671" s="633"/>
      <c r="D671" s="634"/>
      <c r="E671" s="655"/>
      <c r="F671" s="684"/>
      <c r="G671" s="684"/>
      <c r="H671" s="635"/>
    </row>
    <row r="672" spans="1:8" ht="12.75" customHeight="1" x14ac:dyDescent="0.25">
      <c r="A672" s="631">
        <f t="shared" si="10"/>
        <v>667</v>
      </c>
      <c r="B672" s="632"/>
      <c r="C672" s="633"/>
      <c r="D672" s="634"/>
      <c r="E672" s="655"/>
      <c r="F672" s="684"/>
      <c r="G672" s="684"/>
      <c r="H672" s="635"/>
    </row>
    <row r="673" spans="1:8" ht="12.75" customHeight="1" x14ac:dyDescent="0.25">
      <c r="A673" s="631">
        <f t="shared" si="10"/>
        <v>668</v>
      </c>
      <c r="B673" s="632"/>
      <c r="C673" s="633"/>
      <c r="D673" s="634"/>
      <c r="E673" s="655"/>
      <c r="F673" s="684"/>
      <c r="G673" s="684"/>
      <c r="H673" s="635"/>
    </row>
    <row r="674" spans="1:8" ht="12.75" customHeight="1" x14ac:dyDescent="0.25">
      <c r="A674" s="631">
        <f t="shared" si="10"/>
        <v>669</v>
      </c>
      <c r="B674" s="632"/>
      <c r="C674" s="633"/>
      <c r="D674" s="634"/>
      <c r="E674" s="655"/>
      <c r="F674" s="684"/>
      <c r="G674" s="684"/>
      <c r="H674" s="635"/>
    </row>
    <row r="675" spans="1:8" ht="12.75" customHeight="1" x14ac:dyDescent="0.25">
      <c r="A675" s="631">
        <f t="shared" si="10"/>
        <v>670</v>
      </c>
      <c r="B675" s="632"/>
      <c r="C675" s="633"/>
      <c r="D675" s="634"/>
      <c r="E675" s="655"/>
      <c r="F675" s="684"/>
      <c r="G675" s="684"/>
      <c r="H675" s="635"/>
    </row>
    <row r="676" spans="1:8" ht="12.75" customHeight="1" x14ac:dyDescent="0.25">
      <c r="A676" s="631">
        <f t="shared" si="10"/>
        <v>671</v>
      </c>
      <c r="B676" s="632"/>
      <c r="C676" s="633"/>
      <c r="D676" s="634"/>
      <c r="E676" s="655"/>
      <c r="F676" s="684"/>
      <c r="G676" s="684"/>
      <c r="H676" s="635"/>
    </row>
    <row r="677" spans="1:8" ht="12.75" customHeight="1" x14ac:dyDescent="0.25">
      <c r="A677" s="631">
        <f t="shared" si="10"/>
        <v>672</v>
      </c>
      <c r="B677" s="632"/>
      <c r="C677" s="633"/>
      <c r="D677" s="634"/>
      <c r="E677" s="655"/>
      <c r="F677" s="684"/>
      <c r="G677" s="684"/>
      <c r="H677" s="635"/>
    </row>
    <row r="678" spans="1:8" ht="12.75" customHeight="1" x14ac:dyDescent="0.25">
      <c r="A678" s="631">
        <f t="shared" si="10"/>
        <v>673</v>
      </c>
      <c r="B678" s="632"/>
      <c r="C678" s="633"/>
      <c r="D678" s="634"/>
      <c r="E678" s="655"/>
      <c r="F678" s="684"/>
      <c r="G678" s="684"/>
      <c r="H678" s="635"/>
    </row>
    <row r="679" spans="1:8" ht="12.75" customHeight="1" x14ac:dyDescent="0.25">
      <c r="A679" s="631">
        <f t="shared" si="10"/>
        <v>674</v>
      </c>
      <c r="B679" s="632"/>
      <c r="C679" s="633"/>
      <c r="D679" s="634"/>
      <c r="E679" s="655"/>
      <c r="F679" s="684"/>
      <c r="G679" s="684"/>
      <c r="H679" s="635"/>
    </row>
    <row r="680" spans="1:8" ht="12.75" customHeight="1" x14ac:dyDescent="0.25">
      <c r="A680" s="631">
        <f t="shared" si="10"/>
        <v>675</v>
      </c>
      <c r="B680" s="632"/>
      <c r="C680" s="633"/>
      <c r="D680" s="634"/>
      <c r="E680" s="655"/>
      <c r="F680" s="684"/>
      <c r="G680" s="684"/>
      <c r="H680" s="635"/>
    </row>
    <row r="681" spans="1:8" ht="12.75" customHeight="1" x14ac:dyDescent="0.25">
      <c r="A681" s="631">
        <f t="shared" si="10"/>
        <v>676</v>
      </c>
      <c r="B681" s="632"/>
      <c r="C681" s="633"/>
      <c r="D681" s="634"/>
      <c r="E681" s="655"/>
      <c r="F681" s="684"/>
      <c r="G681" s="684"/>
      <c r="H681" s="635"/>
    </row>
    <row r="682" spans="1:8" ht="12.75" customHeight="1" x14ac:dyDescent="0.25">
      <c r="A682" s="631">
        <f t="shared" si="10"/>
        <v>677</v>
      </c>
      <c r="B682" s="632"/>
      <c r="C682" s="633"/>
      <c r="D682" s="634"/>
      <c r="E682" s="655"/>
      <c r="F682" s="684"/>
      <c r="G682" s="684"/>
      <c r="H682" s="635"/>
    </row>
    <row r="683" spans="1:8" ht="12.75" customHeight="1" x14ac:dyDescent="0.25">
      <c r="A683" s="631">
        <f t="shared" si="10"/>
        <v>678</v>
      </c>
      <c r="B683" s="632"/>
      <c r="C683" s="633"/>
      <c r="D683" s="634"/>
      <c r="E683" s="655"/>
      <c r="F683" s="684"/>
      <c r="G683" s="684"/>
      <c r="H683" s="635"/>
    </row>
    <row r="684" spans="1:8" ht="12.75" customHeight="1" x14ac:dyDescent="0.25">
      <c r="A684" s="631">
        <f t="shared" si="10"/>
        <v>679</v>
      </c>
      <c r="B684" s="632"/>
      <c r="C684" s="633"/>
      <c r="D684" s="634"/>
      <c r="E684" s="655"/>
      <c r="F684" s="684"/>
      <c r="G684" s="684"/>
      <c r="H684" s="635"/>
    </row>
    <row r="685" spans="1:8" ht="12.75" customHeight="1" x14ac:dyDescent="0.25">
      <c r="A685" s="631">
        <f t="shared" si="10"/>
        <v>680</v>
      </c>
      <c r="B685" s="632"/>
      <c r="C685" s="633"/>
      <c r="D685" s="634"/>
      <c r="E685" s="655"/>
      <c r="F685" s="684"/>
      <c r="G685" s="684"/>
      <c r="H685" s="635"/>
    </row>
    <row r="686" spans="1:8" ht="12.75" customHeight="1" x14ac:dyDescent="0.25">
      <c r="A686" s="631">
        <f t="shared" si="10"/>
        <v>681</v>
      </c>
      <c r="B686" s="632"/>
      <c r="C686" s="633"/>
      <c r="D686" s="634"/>
      <c r="E686" s="655"/>
      <c r="F686" s="684"/>
      <c r="G686" s="684"/>
      <c r="H686" s="635"/>
    </row>
    <row r="687" spans="1:8" ht="12.75" customHeight="1" x14ac:dyDescent="0.25">
      <c r="A687" s="631">
        <f t="shared" si="10"/>
        <v>682</v>
      </c>
      <c r="B687" s="632"/>
      <c r="C687" s="633"/>
      <c r="D687" s="634"/>
      <c r="E687" s="655"/>
      <c r="F687" s="684"/>
      <c r="G687" s="684"/>
      <c r="H687" s="635"/>
    </row>
    <row r="688" spans="1:8" ht="12.75" customHeight="1" x14ac:dyDescent="0.25">
      <c r="A688" s="631">
        <f t="shared" si="10"/>
        <v>683</v>
      </c>
      <c r="B688" s="632"/>
      <c r="C688" s="633"/>
      <c r="D688" s="634"/>
      <c r="E688" s="655"/>
      <c r="F688" s="684"/>
      <c r="G688" s="684"/>
      <c r="H688" s="635"/>
    </row>
    <row r="689" spans="1:8" ht="12.75" customHeight="1" x14ac:dyDescent="0.25">
      <c r="A689" s="631">
        <f t="shared" si="10"/>
        <v>684</v>
      </c>
      <c r="B689" s="632"/>
      <c r="C689" s="633"/>
      <c r="D689" s="634"/>
      <c r="E689" s="655"/>
      <c r="F689" s="684"/>
      <c r="G689" s="684"/>
      <c r="H689" s="635"/>
    </row>
    <row r="690" spans="1:8" ht="12.75" customHeight="1" x14ac:dyDescent="0.25">
      <c r="A690" s="631">
        <f t="shared" si="10"/>
        <v>685</v>
      </c>
      <c r="B690" s="632"/>
      <c r="C690" s="633"/>
      <c r="D690" s="634"/>
      <c r="E690" s="655"/>
      <c r="F690" s="684"/>
      <c r="G690" s="684"/>
      <c r="H690" s="635"/>
    </row>
    <row r="691" spans="1:8" ht="12.75" customHeight="1" x14ac:dyDescent="0.25">
      <c r="A691" s="631">
        <f t="shared" si="10"/>
        <v>686</v>
      </c>
      <c r="B691" s="632"/>
      <c r="C691" s="633"/>
      <c r="D691" s="634"/>
      <c r="E691" s="655"/>
      <c r="F691" s="684"/>
      <c r="G691" s="684"/>
      <c r="H691" s="635"/>
    </row>
    <row r="692" spans="1:8" ht="12.75" customHeight="1" x14ac:dyDescent="0.25">
      <c r="A692" s="631">
        <f t="shared" si="10"/>
        <v>687</v>
      </c>
      <c r="B692" s="632"/>
      <c r="C692" s="633"/>
      <c r="D692" s="634"/>
      <c r="E692" s="655"/>
      <c r="F692" s="684"/>
      <c r="G692" s="684"/>
      <c r="H692" s="635"/>
    </row>
    <row r="693" spans="1:8" ht="12.75" customHeight="1" x14ac:dyDescent="0.25">
      <c r="A693" s="631">
        <f t="shared" si="10"/>
        <v>688</v>
      </c>
      <c r="B693" s="632"/>
      <c r="C693" s="633"/>
      <c r="D693" s="634"/>
      <c r="E693" s="655"/>
      <c r="F693" s="684"/>
      <c r="G693" s="684"/>
      <c r="H693" s="635"/>
    </row>
    <row r="694" spans="1:8" ht="12.75" customHeight="1" x14ac:dyDescent="0.25">
      <c r="A694" s="631">
        <f t="shared" si="10"/>
        <v>689</v>
      </c>
      <c r="B694" s="632"/>
      <c r="C694" s="633"/>
      <c r="D694" s="634"/>
      <c r="E694" s="655"/>
      <c r="F694" s="684"/>
      <c r="G694" s="684"/>
      <c r="H694" s="635"/>
    </row>
    <row r="695" spans="1:8" ht="12.75" customHeight="1" x14ac:dyDescent="0.25">
      <c r="A695" s="631">
        <f t="shared" si="10"/>
        <v>690</v>
      </c>
      <c r="B695" s="632"/>
      <c r="C695" s="633"/>
      <c r="D695" s="634"/>
      <c r="E695" s="655"/>
      <c r="F695" s="684"/>
      <c r="G695" s="684"/>
      <c r="H695" s="635"/>
    </row>
    <row r="696" spans="1:8" ht="12.75" customHeight="1" x14ac:dyDescent="0.25">
      <c r="A696" s="631">
        <f t="shared" si="10"/>
        <v>691</v>
      </c>
      <c r="B696" s="632"/>
      <c r="C696" s="633"/>
      <c r="D696" s="634"/>
      <c r="E696" s="655"/>
      <c r="F696" s="684"/>
      <c r="G696" s="684"/>
      <c r="H696" s="635"/>
    </row>
    <row r="697" spans="1:8" ht="12.75" customHeight="1" x14ac:dyDescent="0.25">
      <c r="A697" s="631">
        <f t="shared" si="10"/>
        <v>692</v>
      </c>
      <c r="B697" s="632"/>
      <c r="C697" s="633"/>
      <c r="D697" s="634"/>
      <c r="E697" s="655"/>
      <c r="F697" s="684"/>
      <c r="G697" s="684"/>
      <c r="H697" s="635"/>
    </row>
    <row r="698" spans="1:8" ht="12.75" customHeight="1" x14ac:dyDescent="0.25">
      <c r="A698" s="631">
        <f t="shared" si="10"/>
        <v>693</v>
      </c>
      <c r="B698" s="632"/>
      <c r="C698" s="633"/>
      <c r="D698" s="634"/>
      <c r="E698" s="655"/>
      <c r="F698" s="684"/>
      <c r="G698" s="684"/>
      <c r="H698" s="635"/>
    </row>
    <row r="699" spans="1:8" ht="12.75" customHeight="1" x14ac:dyDescent="0.25">
      <c r="A699" s="631">
        <f t="shared" si="10"/>
        <v>694</v>
      </c>
      <c r="B699" s="632"/>
      <c r="C699" s="633"/>
      <c r="D699" s="634"/>
      <c r="E699" s="655"/>
      <c r="F699" s="684"/>
      <c r="G699" s="684"/>
      <c r="H699" s="635"/>
    </row>
    <row r="700" spans="1:8" ht="12.75" customHeight="1" x14ac:dyDescent="0.25">
      <c r="A700" s="631">
        <f t="shared" si="10"/>
        <v>695</v>
      </c>
      <c r="B700" s="632"/>
      <c r="C700" s="633"/>
      <c r="D700" s="634"/>
      <c r="E700" s="655"/>
      <c r="F700" s="684"/>
      <c r="G700" s="684"/>
      <c r="H700" s="635"/>
    </row>
    <row r="701" spans="1:8" ht="12.75" customHeight="1" x14ac:dyDescent="0.25">
      <c r="A701" s="631">
        <f t="shared" si="10"/>
        <v>696</v>
      </c>
      <c r="B701" s="632"/>
      <c r="C701" s="633"/>
      <c r="D701" s="634"/>
      <c r="E701" s="655"/>
      <c r="F701" s="684"/>
      <c r="G701" s="684"/>
      <c r="H701" s="635"/>
    </row>
    <row r="702" spans="1:8" ht="12.75" customHeight="1" x14ac:dyDescent="0.25">
      <c r="A702" s="631">
        <f t="shared" si="10"/>
        <v>697</v>
      </c>
      <c r="B702" s="632"/>
      <c r="C702" s="633"/>
      <c r="D702" s="634"/>
      <c r="E702" s="655"/>
      <c r="F702" s="684"/>
      <c r="G702" s="684"/>
      <c r="H702" s="635"/>
    </row>
    <row r="703" spans="1:8" ht="12.75" customHeight="1" x14ac:dyDescent="0.25">
      <c r="A703" s="631">
        <f t="shared" si="10"/>
        <v>698</v>
      </c>
      <c r="B703" s="632"/>
      <c r="C703" s="633"/>
      <c r="D703" s="634"/>
      <c r="E703" s="655"/>
      <c r="F703" s="684"/>
      <c r="G703" s="684"/>
      <c r="H703" s="635"/>
    </row>
    <row r="704" spans="1:8" ht="12.75" customHeight="1" x14ac:dyDescent="0.25">
      <c r="A704" s="631">
        <f t="shared" si="10"/>
        <v>699</v>
      </c>
      <c r="B704" s="632"/>
      <c r="C704" s="633"/>
      <c r="D704" s="634"/>
      <c r="E704" s="655"/>
      <c r="F704" s="684"/>
      <c r="G704" s="684"/>
      <c r="H704" s="635"/>
    </row>
    <row r="705" spans="1:8" ht="12.75" customHeight="1" x14ac:dyDescent="0.25">
      <c r="A705" s="631">
        <f t="shared" ref="A705:A768" si="11">ROW()-5</f>
        <v>700</v>
      </c>
      <c r="B705" s="632"/>
      <c r="C705" s="633"/>
      <c r="D705" s="634"/>
      <c r="E705" s="655"/>
      <c r="F705" s="684"/>
      <c r="G705" s="684"/>
      <c r="H705" s="635"/>
    </row>
    <row r="706" spans="1:8" ht="12.75" customHeight="1" x14ac:dyDescent="0.25">
      <c r="A706" s="631">
        <f t="shared" si="11"/>
        <v>701</v>
      </c>
      <c r="B706" s="632"/>
      <c r="C706" s="633"/>
      <c r="D706" s="634"/>
      <c r="E706" s="655"/>
      <c r="F706" s="684"/>
      <c r="G706" s="684"/>
      <c r="H706" s="635"/>
    </row>
    <row r="707" spans="1:8" ht="12.75" customHeight="1" x14ac:dyDescent="0.25">
      <c r="A707" s="631">
        <f t="shared" si="11"/>
        <v>702</v>
      </c>
      <c r="B707" s="632"/>
      <c r="C707" s="633"/>
      <c r="D707" s="634"/>
      <c r="E707" s="655"/>
      <c r="F707" s="684"/>
      <c r="G707" s="684"/>
      <c r="H707" s="635"/>
    </row>
    <row r="708" spans="1:8" ht="12.75" customHeight="1" x14ac:dyDescent="0.25">
      <c r="A708" s="631">
        <f t="shared" si="11"/>
        <v>703</v>
      </c>
      <c r="B708" s="632"/>
      <c r="C708" s="633"/>
      <c r="D708" s="634"/>
      <c r="E708" s="655"/>
      <c r="F708" s="684"/>
      <c r="G708" s="684"/>
      <c r="H708" s="635"/>
    </row>
    <row r="709" spans="1:8" ht="12.75" customHeight="1" x14ac:dyDescent="0.25">
      <c r="A709" s="631">
        <f t="shared" si="11"/>
        <v>704</v>
      </c>
      <c r="B709" s="632"/>
      <c r="C709" s="633"/>
      <c r="D709" s="634"/>
      <c r="E709" s="655"/>
      <c r="F709" s="684"/>
      <c r="G709" s="684"/>
      <c r="H709" s="635"/>
    </row>
    <row r="710" spans="1:8" ht="12.75" customHeight="1" x14ac:dyDescent="0.25">
      <c r="A710" s="631">
        <f t="shared" si="11"/>
        <v>705</v>
      </c>
      <c r="B710" s="632"/>
      <c r="C710" s="633"/>
      <c r="D710" s="634"/>
      <c r="E710" s="655"/>
      <c r="F710" s="684"/>
      <c r="G710" s="684"/>
      <c r="H710" s="635"/>
    </row>
    <row r="711" spans="1:8" ht="12.75" customHeight="1" x14ac:dyDescent="0.25">
      <c r="A711" s="631">
        <f t="shared" si="11"/>
        <v>706</v>
      </c>
      <c r="B711" s="632"/>
      <c r="C711" s="633"/>
      <c r="D711" s="634"/>
      <c r="E711" s="655"/>
      <c r="F711" s="684"/>
      <c r="G711" s="684"/>
      <c r="H711" s="635"/>
    </row>
    <row r="712" spans="1:8" ht="12.75" customHeight="1" x14ac:dyDescent="0.25">
      <c r="A712" s="631">
        <f t="shared" si="11"/>
        <v>707</v>
      </c>
      <c r="B712" s="632"/>
      <c r="C712" s="633"/>
      <c r="D712" s="634"/>
      <c r="E712" s="655"/>
      <c r="F712" s="684"/>
      <c r="G712" s="684"/>
      <c r="H712" s="635"/>
    </row>
    <row r="713" spans="1:8" ht="12.75" customHeight="1" x14ac:dyDescent="0.25">
      <c r="A713" s="631">
        <f t="shared" si="11"/>
        <v>708</v>
      </c>
      <c r="B713" s="632"/>
      <c r="C713" s="633"/>
      <c r="D713" s="634"/>
      <c r="E713" s="655"/>
      <c r="F713" s="684"/>
      <c r="G713" s="684"/>
      <c r="H713" s="635"/>
    </row>
    <row r="714" spans="1:8" ht="12.75" customHeight="1" x14ac:dyDescent="0.25">
      <c r="A714" s="631">
        <f t="shared" si="11"/>
        <v>709</v>
      </c>
      <c r="B714" s="632"/>
      <c r="C714" s="633"/>
      <c r="D714" s="634"/>
      <c r="E714" s="655"/>
      <c r="F714" s="684"/>
      <c r="G714" s="684"/>
      <c r="H714" s="635"/>
    </row>
    <row r="715" spans="1:8" ht="12.75" customHeight="1" x14ac:dyDescent="0.25">
      <c r="A715" s="631">
        <f t="shared" si="11"/>
        <v>710</v>
      </c>
      <c r="B715" s="632"/>
      <c r="C715" s="633"/>
      <c r="D715" s="634"/>
      <c r="E715" s="655"/>
      <c r="F715" s="684"/>
      <c r="G715" s="684"/>
      <c r="H715" s="635"/>
    </row>
    <row r="716" spans="1:8" ht="12.75" customHeight="1" x14ac:dyDescent="0.25">
      <c r="A716" s="631">
        <f t="shared" si="11"/>
        <v>711</v>
      </c>
      <c r="B716" s="632"/>
      <c r="C716" s="633"/>
      <c r="D716" s="634"/>
      <c r="E716" s="655"/>
      <c r="F716" s="684"/>
      <c r="G716" s="684"/>
      <c r="H716" s="635"/>
    </row>
    <row r="717" spans="1:8" ht="12.75" customHeight="1" x14ac:dyDescent="0.25">
      <c r="A717" s="631">
        <f t="shared" si="11"/>
        <v>712</v>
      </c>
      <c r="B717" s="632"/>
      <c r="C717" s="633"/>
      <c r="D717" s="634"/>
      <c r="E717" s="655"/>
      <c r="F717" s="684"/>
      <c r="G717" s="684"/>
      <c r="H717" s="635"/>
    </row>
    <row r="718" spans="1:8" ht="12.75" customHeight="1" x14ac:dyDescent="0.25">
      <c r="A718" s="631">
        <f t="shared" si="11"/>
        <v>713</v>
      </c>
      <c r="B718" s="632"/>
      <c r="C718" s="633"/>
      <c r="D718" s="634"/>
      <c r="E718" s="655"/>
      <c r="F718" s="684"/>
      <c r="G718" s="684"/>
      <c r="H718" s="635"/>
    </row>
    <row r="719" spans="1:8" ht="12.75" customHeight="1" x14ac:dyDescent="0.25">
      <c r="A719" s="631">
        <f t="shared" si="11"/>
        <v>714</v>
      </c>
      <c r="B719" s="632"/>
      <c r="C719" s="633"/>
      <c r="D719" s="634"/>
      <c r="E719" s="655"/>
      <c r="F719" s="684"/>
      <c r="G719" s="684"/>
      <c r="H719" s="635"/>
    </row>
    <row r="720" spans="1:8" ht="12.75" customHeight="1" x14ac:dyDescent="0.25">
      <c r="A720" s="631">
        <f t="shared" si="11"/>
        <v>715</v>
      </c>
      <c r="B720" s="632"/>
      <c r="C720" s="633"/>
      <c r="D720" s="634"/>
      <c r="E720" s="655"/>
      <c r="F720" s="684"/>
      <c r="G720" s="684"/>
      <c r="H720" s="635"/>
    </row>
    <row r="721" spans="1:8" ht="12.75" customHeight="1" x14ac:dyDescent="0.25">
      <c r="A721" s="631">
        <f t="shared" si="11"/>
        <v>716</v>
      </c>
      <c r="B721" s="632"/>
      <c r="C721" s="633"/>
      <c r="D721" s="634"/>
      <c r="E721" s="655"/>
      <c r="F721" s="684"/>
      <c r="G721" s="684"/>
      <c r="H721" s="635"/>
    </row>
    <row r="722" spans="1:8" ht="12.75" customHeight="1" x14ac:dyDescent="0.25">
      <c r="A722" s="631">
        <f t="shared" si="11"/>
        <v>717</v>
      </c>
      <c r="B722" s="632"/>
      <c r="C722" s="633"/>
      <c r="D722" s="634"/>
      <c r="E722" s="655"/>
      <c r="F722" s="684"/>
      <c r="G722" s="684"/>
      <c r="H722" s="635"/>
    </row>
    <row r="723" spans="1:8" ht="12.75" customHeight="1" x14ac:dyDescent="0.25">
      <c r="A723" s="631">
        <f t="shared" si="11"/>
        <v>718</v>
      </c>
      <c r="B723" s="632"/>
      <c r="C723" s="633"/>
      <c r="D723" s="634"/>
      <c r="E723" s="655"/>
      <c r="F723" s="684"/>
      <c r="G723" s="684"/>
      <c r="H723" s="635"/>
    </row>
    <row r="724" spans="1:8" ht="12.75" customHeight="1" x14ac:dyDescent="0.25">
      <c r="A724" s="631">
        <f t="shared" si="11"/>
        <v>719</v>
      </c>
      <c r="B724" s="632"/>
      <c r="C724" s="633"/>
      <c r="D724" s="634"/>
      <c r="E724" s="655"/>
      <c r="F724" s="684"/>
      <c r="G724" s="684"/>
      <c r="H724" s="635"/>
    </row>
    <row r="725" spans="1:8" ht="12.75" customHeight="1" x14ac:dyDescent="0.25">
      <c r="A725" s="631">
        <f t="shared" si="11"/>
        <v>720</v>
      </c>
      <c r="B725" s="632"/>
      <c r="C725" s="633"/>
      <c r="D725" s="634"/>
      <c r="E725" s="655"/>
      <c r="F725" s="684"/>
      <c r="G725" s="684"/>
      <c r="H725" s="635"/>
    </row>
    <row r="726" spans="1:8" ht="12.75" customHeight="1" x14ac:dyDescent="0.25">
      <c r="A726" s="631">
        <f t="shared" si="11"/>
        <v>721</v>
      </c>
      <c r="B726" s="632"/>
      <c r="C726" s="633"/>
      <c r="D726" s="634"/>
      <c r="E726" s="655"/>
      <c r="F726" s="684"/>
      <c r="G726" s="684"/>
      <c r="H726" s="635"/>
    </row>
    <row r="727" spans="1:8" ht="12.75" customHeight="1" x14ac:dyDescent="0.25">
      <c r="A727" s="631">
        <f t="shared" si="11"/>
        <v>722</v>
      </c>
      <c r="B727" s="632"/>
      <c r="C727" s="633"/>
      <c r="D727" s="634"/>
      <c r="E727" s="655"/>
      <c r="F727" s="684"/>
      <c r="G727" s="684"/>
      <c r="H727" s="635"/>
    </row>
    <row r="728" spans="1:8" ht="12.75" customHeight="1" x14ac:dyDescent="0.25">
      <c r="A728" s="631">
        <f t="shared" si="11"/>
        <v>723</v>
      </c>
      <c r="B728" s="632"/>
      <c r="C728" s="633"/>
      <c r="D728" s="634"/>
      <c r="E728" s="655"/>
      <c r="F728" s="684"/>
      <c r="G728" s="684"/>
      <c r="H728" s="635"/>
    </row>
    <row r="729" spans="1:8" ht="12.75" customHeight="1" x14ac:dyDescent="0.25">
      <c r="A729" s="631">
        <f t="shared" si="11"/>
        <v>724</v>
      </c>
      <c r="B729" s="632"/>
      <c r="C729" s="633"/>
      <c r="D729" s="634"/>
      <c r="E729" s="655"/>
      <c r="F729" s="684"/>
      <c r="G729" s="684"/>
      <c r="H729" s="635"/>
    </row>
    <row r="730" spans="1:8" ht="12.75" customHeight="1" x14ac:dyDescent="0.25">
      <c r="A730" s="631">
        <f t="shared" si="11"/>
        <v>725</v>
      </c>
      <c r="B730" s="632"/>
      <c r="C730" s="633"/>
      <c r="D730" s="634"/>
      <c r="E730" s="655"/>
      <c r="F730" s="684"/>
      <c r="G730" s="684"/>
      <c r="H730" s="635"/>
    </row>
    <row r="731" spans="1:8" ht="12.75" customHeight="1" x14ac:dyDescent="0.25">
      <c r="A731" s="631">
        <f t="shared" si="11"/>
        <v>726</v>
      </c>
      <c r="B731" s="632"/>
      <c r="C731" s="633"/>
      <c r="D731" s="634"/>
      <c r="E731" s="655"/>
      <c r="F731" s="684"/>
      <c r="G731" s="684"/>
      <c r="H731" s="635"/>
    </row>
    <row r="732" spans="1:8" ht="12.75" customHeight="1" x14ac:dyDescent="0.25">
      <c r="A732" s="631">
        <f t="shared" si="11"/>
        <v>727</v>
      </c>
      <c r="B732" s="632"/>
      <c r="C732" s="633"/>
      <c r="D732" s="634"/>
      <c r="E732" s="655"/>
      <c r="F732" s="684"/>
      <c r="G732" s="684"/>
      <c r="H732" s="635"/>
    </row>
    <row r="733" spans="1:8" ht="12.75" customHeight="1" x14ac:dyDescent="0.25">
      <c r="A733" s="631">
        <f t="shared" si="11"/>
        <v>728</v>
      </c>
      <c r="B733" s="632"/>
      <c r="C733" s="633"/>
      <c r="D733" s="634"/>
      <c r="E733" s="655"/>
      <c r="F733" s="684"/>
      <c r="G733" s="684"/>
      <c r="H733" s="635"/>
    </row>
    <row r="734" spans="1:8" ht="12.75" customHeight="1" x14ac:dyDescent="0.25">
      <c r="A734" s="631">
        <f t="shared" si="11"/>
        <v>729</v>
      </c>
      <c r="B734" s="632"/>
      <c r="C734" s="633"/>
      <c r="D734" s="634"/>
      <c r="E734" s="655"/>
      <c r="F734" s="684"/>
      <c r="G734" s="684"/>
      <c r="H734" s="635"/>
    </row>
    <row r="735" spans="1:8" ht="12.75" customHeight="1" x14ac:dyDescent="0.25">
      <c r="A735" s="631">
        <f t="shared" si="11"/>
        <v>730</v>
      </c>
      <c r="B735" s="632"/>
      <c r="C735" s="633"/>
      <c r="D735" s="634"/>
      <c r="E735" s="655"/>
      <c r="F735" s="684"/>
      <c r="G735" s="684"/>
      <c r="H735" s="635"/>
    </row>
    <row r="736" spans="1:8" ht="12.75" customHeight="1" x14ac:dyDescent="0.25">
      <c r="A736" s="631">
        <f t="shared" si="11"/>
        <v>731</v>
      </c>
      <c r="B736" s="632"/>
      <c r="C736" s="633"/>
      <c r="D736" s="634"/>
      <c r="E736" s="655"/>
      <c r="F736" s="684"/>
      <c r="G736" s="684"/>
      <c r="H736" s="635"/>
    </row>
    <row r="737" spans="1:8" ht="12.75" customHeight="1" x14ac:dyDescent="0.25">
      <c r="A737" s="631">
        <f t="shared" si="11"/>
        <v>732</v>
      </c>
      <c r="B737" s="632"/>
      <c r="C737" s="633"/>
      <c r="D737" s="634"/>
      <c r="E737" s="655"/>
      <c r="F737" s="684"/>
      <c r="G737" s="684"/>
      <c r="H737" s="635"/>
    </row>
    <row r="738" spans="1:8" ht="12.75" customHeight="1" x14ac:dyDescent="0.25">
      <c r="A738" s="631">
        <f t="shared" si="11"/>
        <v>733</v>
      </c>
      <c r="B738" s="632"/>
      <c r="C738" s="633"/>
      <c r="D738" s="634"/>
      <c r="E738" s="655"/>
      <c r="F738" s="684"/>
      <c r="G738" s="684"/>
      <c r="H738" s="635"/>
    </row>
    <row r="739" spans="1:8" ht="12.75" customHeight="1" x14ac:dyDescent="0.25">
      <c r="A739" s="631">
        <f t="shared" si="11"/>
        <v>734</v>
      </c>
      <c r="B739" s="632"/>
      <c r="C739" s="633"/>
      <c r="D739" s="634"/>
      <c r="E739" s="655"/>
      <c r="F739" s="684"/>
      <c r="G739" s="684"/>
      <c r="H739" s="635"/>
    </row>
    <row r="740" spans="1:8" ht="12.75" customHeight="1" x14ac:dyDescent="0.25">
      <c r="A740" s="631">
        <f t="shared" si="11"/>
        <v>735</v>
      </c>
      <c r="B740" s="632"/>
      <c r="C740" s="633"/>
      <c r="D740" s="634"/>
      <c r="E740" s="655"/>
      <c r="F740" s="684"/>
      <c r="G740" s="684"/>
      <c r="H740" s="635"/>
    </row>
    <row r="741" spans="1:8" ht="12.75" customHeight="1" x14ac:dyDescent="0.25">
      <c r="A741" s="631">
        <f t="shared" si="11"/>
        <v>736</v>
      </c>
      <c r="B741" s="632"/>
      <c r="C741" s="633"/>
      <c r="D741" s="634"/>
      <c r="E741" s="655"/>
      <c r="F741" s="684"/>
      <c r="G741" s="684"/>
      <c r="H741" s="635"/>
    </row>
    <row r="742" spans="1:8" ht="12.75" customHeight="1" x14ac:dyDescent="0.25">
      <c r="A742" s="631">
        <f t="shared" si="11"/>
        <v>737</v>
      </c>
      <c r="B742" s="632"/>
      <c r="C742" s="633"/>
      <c r="D742" s="634"/>
      <c r="E742" s="655"/>
      <c r="F742" s="684"/>
      <c r="G742" s="684"/>
      <c r="H742" s="635"/>
    </row>
    <row r="743" spans="1:8" ht="12.75" customHeight="1" x14ac:dyDescent="0.25">
      <c r="A743" s="631">
        <f t="shared" si="11"/>
        <v>738</v>
      </c>
      <c r="B743" s="632"/>
      <c r="C743" s="633"/>
      <c r="D743" s="634"/>
      <c r="E743" s="655"/>
      <c r="F743" s="684"/>
      <c r="G743" s="684"/>
      <c r="H743" s="635"/>
    </row>
    <row r="744" spans="1:8" ht="12.75" customHeight="1" x14ac:dyDescent="0.25">
      <c r="A744" s="631">
        <f t="shared" si="11"/>
        <v>739</v>
      </c>
      <c r="B744" s="632"/>
      <c r="C744" s="633"/>
      <c r="D744" s="634"/>
      <c r="E744" s="655"/>
      <c r="F744" s="684"/>
      <c r="G744" s="684"/>
      <c r="H744" s="635"/>
    </row>
    <row r="745" spans="1:8" ht="12.75" customHeight="1" x14ac:dyDescent="0.25">
      <c r="A745" s="631">
        <f t="shared" si="11"/>
        <v>740</v>
      </c>
      <c r="B745" s="632"/>
      <c r="C745" s="633"/>
      <c r="D745" s="634"/>
      <c r="E745" s="655"/>
      <c r="F745" s="684"/>
      <c r="G745" s="684"/>
      <c r="H745" s="635"/>
    </row>
    <row r="746" spans="1:8" ht="12.75" customHeight="1" x14ac:dyDescent="0.25">
      <c r="A746" s="631">
        <f t="shared" si="11"/>
        <v>741</v>
      </c>
      <c r="B746" s="632"/>
      <c r="C746" s="633"/>
      <c r="D746" s="634"/>
      <c r="E746" s="655"/>
      <c r="F746" s="684"/>
      <c r="G746" s="684"/>
      <c r="H746" s="635"/>
    </row>
    <row r="747" spans="1:8" ht="12.75" customHeight="1" x14ac:dyDescent="0.25">
      <c r="A747" s="631">
        <f t="shared" si="11"/>
        <v>742</v>
      </c>
      <c r="B747" s="632"/>
      <c r="C747" s="633"/>
      <c r="D747" s="634"/>
      <c r="E747" s="655"/>
      <c r="F747" s="684"/>
      <c r="G747" s="684"/>
      <c r="H747" s="635"/>
    </row>
    <row r="748" spans="1:8" ht="12.75" customHeight="1" x14ac:dyDescent="0.25">
      <c r="A748" s="631">
        <f t="shared" si="11"/>
        <v>743</v>
      </c>
      <c r="B748" s="632"/>
      <c r="C748" s="633"/>
      <c r="D748" s="634"/>
      <c r="E748" s="655"/>
      <c r="F748" s="684"/>
      <c r="G748" s="684"/>
      <c r="H748" s="635"/>
    </row>
    <row r="749" spans="1:8" ht="12.75" customHeight="1" x14ac:dyDescent="0.25">
      <c r="A749" s="631">
        <f t="shared" si="11"/>
        <v>744</v>
      </c>
      <c r="B749" s="632"/>
      <c r="C749" s="633"/>
      <c r="D749" s="634"/>
      <c r="E749" s="655"/>
      <c r="F749" s="684"/>
      <c r="G749" s="684"/>
      <c r="H749" s="635"/>
    </row>
    <row r="750" spans="1:8" ht="12.75" customHeight="1" x14ac:dyDescent="0.25">
      <c r="A750" s="631">
        <f t="shared" si="11"/>
        <v>745</v>
      </c>
      <c r="B750" s="632"/>
      <c r="C750" s="633"/>
      <c r="D750" s="634"/>
      <c r="E750" s="655"/>
      <c r="F750" s="684"/>
      <c r="G750" s="684"/>
      <c r="H750" s="635"/>
    </row>
    <row r="751" spans="1:8" ht="12.75" customHeight="1" x14ac:dyDescent="0.25">
      <c r="A751" s="631">
        <f t="shared" si="11"/>
        <v>746</v>
      </c>
      <c r="B751" s="632"/>
      <c r="C751" s="633"/>
      <c r="D751" s="634"/>
      <c r="E751" s="655"/>
      <c r="F751" s="684"/>
      <c r="G751" s="684"/>
      <c r="H751" s="635"/>
    </row>
    <row r="752" spans="1:8" ht="12.75" customHeight="1" x14ac:dyDescent="0.25">
      <c r="A752" s="631">
        <f t="shared" si="11"/>
        <v>747</v>
      </c>
      <c r="B752" s="632"/>
      <c r="C752" s="633"/>
      <c r="D752" s="634"/>
      <c r="E752" s="655"/>
      <c r="F752" s="684"/>
      <c r="G752" s="684"/>
      <c r="H752" s="635"/>
    </row>
    <row r="753" spans="1:8" ht="12.75" customHeight="1" x14ac:dyDescent="0.25">
      <c r="A753" s="631">
        <f t="shared" si="11"/>
        <v>748</v>
      </c>
      <c r="B753" s="632"/>
      <c r="C753" s="633"/>
      <c r="D753" s="634"/>
      <c r="E753" s="655"/>
      <c r="F753" s="684"/>
      <c r="G753" s="684"/>
      <c r="H753" s="635"/>
    </row>
    <row r="754" spans="1:8" ht="12.75" customHeight="1" x14ac:dyDescent="0.25">
      <c r="A754" s="631">
        <f t="shared" si="11"/>
        <v>749</v>
      </c>
      <c r="B754" s="632"/>
      <c r="C754" s="633"/>
      <c r="D754" s="634"/>
      <c r="E754" s="655"/>
      <c r="F754" s="684"/>
      <c r="G754" s="684"/>
      <c r="H754" s="635"/>
    </row>
    <row r="755" spans="1:8" ht="12.75" customHeight="1" x14ac:dyDescent="0.25">
      <c r="A755" s="631">
        <f t="shared" si="11"/>
        <v>750</v>
      </c>
      <c r="B755" s="632"/>
      <c r="C755" s="633"/>
      <c r="D755" s="634"/>
      <c r="E755" s="655"/>
      <c r="F755" s="684"/>
      <c r="G755" s="684"/>
      <c r="H755" s="635"/>
    </row>
    <row r="756" spans="1:8" ht="12.75" customHeight="1" x14ac:dyDescent="0.25">
      <c r="A756" s="631">
        <f t="shared" si="11"/>
        <v>751</v>
      </c>
      <c r="B756" s="632"/>
      <c r="C756" s="633"/>
      <c r="D756" s="634"/>
      <c r="E756" s="655"/>
      <c r="F756" s="684"/>
      <c r="G756" s="684"/>
      <c r="H756" s="635"/>
    </row>
    <row r="757" spans="1:8" ht="12.75" customHeight="1" x14ac:dyDescent="0.25">
      <c r="A757" s="631">
        <f t="shared" si="11"/>
        <v>752</v>
      </c>
      <c r="B757" s="632"/>
      <c r="C757" s="633"/>
      <c r="D757" s="634"/>
      <c r="E757" s="655"/>
      <c r="F757" s="684"/>
      <c r="G757" s="684"/>
      <c r="H757" s="635"/>
    </row>
    <row r="758" spans="1:8" ht="12.75" customHeight="1" x14ac:dyDescent="0.25">
      <c r="A758" s="631">
        <f t="shared" si="11"/>
        <v>753</v>
      </c>
      <c r="B758" s="632"/>
      <c r="C758" s="633"/>
      <c r="D758" s="634"/>
      <c r="E758" s="655"/>
      <c r="F758" s="684"/>
      <c r="G758" s="684"/>
      <c r="H758" s="635"/>
    </row>
    <row r="759" spans="1:8" ht="12.75" customHeight="1" x14ac:dyDescent="0.25">
      <c r="A759" s="631">
        <f t="shared" si="11"/>
        <v>754</v>
      </c>
      <c r="B759" s="632"/>
      <c r="C759" s="633"/>
      <c r="D759" s="634"/>
      <c r="E759" s="655"/>
      <c r="F759" s="684"/>
      <c r="G759" s="684"/>
      <c r="H759" s="635"/>
    </row>
    <row r="760" spans="1:8" ht="12.75" customHeight="1" x14ac:dyDescent="0.25">
      <c r="A760" s="631">
        <f t="shared" si="11"/>
        <v>755</v>
      </c>
      <c r="B760" s="632"/>
      <c r="C760" s="633"/>
      <c r="D760" s="634"/>
      <c r="E760" s="655"/>
      <c r="F760" s="684"/>
      <c r="G760" s="684"/>
      <c r="H760" s="635"/>
    </row>
    <row r="761" spans="1:8" ht="12.75" customHeight="1" x14ac:dyDescent="0.25">
      <c r="A761" s="631">
        <f t="shared" si="11"/>
        <v>756</v>
      </c>
      <c r="B761" s="632"/>
      <c r="C761" s="633"/>
      <c r="D761" s="634"/>
      <c r="E761" s="655"/>
      <c r="F761" s="684"/>
      <c r="G761" s="684"/>
      <c r="H761" s="635"/>
    </row>
    <row r="762" spans="1:8" ht="12.75" customHeight="1" x14ac:dyDescent="0.25">
      <c r="A762" s="631">
        <f t="shared" si="11"/>
        <v>757</v>
      </c>
      <c r="B762" s="632"/>
      <c r="C762" s="633"/>
      <c r="D762" s="634"/>
      <c r="E762" s="655"/>
      <c r="F762" s="684"/>
      <c r="G762" s="684"/>
      <c r="H762" s="635"/>
    </row>
    <row r="763" spans="1:8" ht="12.75" customHeight="1" x14ac:dyDescent="0.25">
      <c r="A763" s="631">
        <f t="shared" si="11"/>
        <v>758</v>
      </c>
      <c r="B763" s="632"/>
      <c r="C763" s="633"/>
      <c r="D763" s="634"/>
      <c r="E763" s="655"/>
      <c r="F763" s="684"/>
      <c r="G763" s="684"/>
      <c r="H763" s="635"/>
    </row>
    <row r="764" spans="1:8" ht="12.75" customHeight="1" x14ac:dyDescent="0.25">
      <c r="A764" s="631">
        <f t="shared" si="11"/>
        <v>759</v>
      </c>
      <c r="B764" s="632"/>
      <c r="C764" s="633"/>
      <c r="D764" s="634"/>
      <c r="E764" s="655"/>
      <c r="F764" s="684"/>
      <c r="G764" s="684"/>
      <c r="H764" s="635"/>
    </row>
    <row r="765" spans="1:8" ht="12.75" customHeight="1" x14ac:dyDescent="0.25">
      <c r="A765" s="631">
        <f t="shared" si="11"/>
        <v>760</v>
      </c>
      <c r="B765" s="632"/>
      <c r="C765" s="633"/>
      <c r="D765" s="634"/>
      <c r="E765" s="655"/>
      <c r="F765" s="684"/>
      <c r="G765" s="684"/>
      <c r="H765" s="635"/>
    </row>
    <row r="766" spans="1:8" ht="12.75" customHeight="1" x14ac:dyDescent="0.25">
      <c r="A766" s="631">
        <f t="shared" si="11"/>
        <v>761</v>
      </c>
      <c r="B766" s="632"/>
      <c r="C766" s="633"/>
      <c r="D766" s="634"/>
      <c r="E766" s="655"/>
      <c r="F766" s="684"/>
      <c r="G766" s="684"/>
      <c r="H766" s="635"/>
    </row>
    <row r="767" spans="1:8" ht="12.75" customHeight="1" x14ac:dyDescent="0.25">
      <c r="A767" s="631">
        <f t="shared" si="11"/>
        <v>762</v>
      </c>
      <c r="B767" s="632"/>
      <c r="C767" s="633"/>
      <c r="D767" s="634"/>
      <c r="E767" s="655"/>
      <c r="F767" s="684"/>
      <c r="G767" s="684"/>
      <c r="H767" s="635"/>
    </row>
    <row r="768" spans="1:8" ht="12.75" customHeight="1" x14ac:dyDescent="0.25">
      <c r="A768" s="631">
        <f t="shared" si="11"/>
        <v>763</v>
      </c>
      <c r="B768" s="632"/>
      <c r="C768" s="633"/>
      <c r="D768" s="634"/>
      <c r="E768" s="655"/>
      <c r="F768" s="684"/>
      <c r="G768" s="684"/>
      <c r="H768" s="635"/>
    </row>
    <row r="769" spans="1:8" ht="12.75" customHeight="1" x14ac:dyDescent="0.25">
      <c r="A769" s="631">
        <f t="shared" ref="A769:A832" si="12">ROW()-5</f>
        <v>764</v>
      </c>
      <c r="B769" s="632"/>
      <c r="C769" s="633"/>
      <c r="D769" s="634"/>
      <c r="E769" s="655"/>
      <c r="F769" s="684"/>
      <c r="G769" s="684"/>
      <c r="H769" s="635"/>
    </row>
    <row r="770" spans="1:8" ht="12.75" customHeight="1" x14ac:dyDescent="0.25">
      <c r="A770" s="631">
        <f t="shared" si="12"/>
        <v>765</v>
      </c>
      <c r="B770" s="632"/>
      <c r="C770" s="633"/>
      <c r="D770" s="634"/>
      <c r="E770" s="655"/>
      <c r="F770" s="684"/>
      <c r="G770" s="684"/>
      <c r="H770" s="635"/>
    </row>
    <row r="771" spans="1:8" ht="12.75" customHeight="1" x14ac:dyDescent="0.25">
      <c r="A771" s="631">
        <f t="shared" si="12"/>
        <v>766</v>
      </c>
      <c r="B771" s="632"/>
      <c r="C771" s="633"/>
      <c r="D771" s="634"/>
      <c r="E771" s="655"/>
      <c r="F771" s="684"/>
      <c r="G771" s="684"/>
      <c r="H771" s="635"/>
    </row>
    <row r="772" spans="1:8" ht="12.75" customHeight="1" x14ac:dyDescent="0.25">
      <c r="A772" s="631">
        <f t="shared" si="12"/>
        <v>767</v>
      </c>
      <c r="B772" s="632"/>
      <c r="C772" s="633"/>
      <c r="D772" s="634"/>
      <c r="E772" s="655"/>
      <c r="F772" s="684"/>
      <c r="G772" s="684"/>
      <c r="H772" s="635"/>
    </row>
    <row r="773" spans="1:8" ht="12.75" customHeight="1" x14ac:dyDescent="0.25">
      <c r="A773" s="631">
        <f t="shared" si="12"/>
        <v>768</v>
      </c>
      <c r="B773" s="632"/>
      <c r="C773" s="633"/>
      <c r="D773" s="634"/>
      <c r="E773" s="655"/>
      <c r="F773" s="684"/>
      <c r="G773" s="684"/>
      <c r="H773" s="635"/>
    </row>
    <row r="774" spans="1:8" ht="12.75" customHeight="1" x14ac:dyDescent="0.25">
      <c r="A774" s="631">
        <f t="shared" si="12"/>
        <v>769</v>
      </c>
      <c r="B774" s="632"/>
      <c r="C774" s="633"/>
      <c r="D774" s="634"/>
      <c r="E774" s="655"/>
      <c r="F774" s="684"/>
      <c r="G774" s="684"/>
      <c r="H774" s="635"/>
    </row>
    <row r="775" spans="1:8" ht="12.75" customHeight="1" x14ac:dyDescent="0.25">
      <c r="A775" s="631">
        <f t="shared" si="12"/>
        <v>770</v>
      </c>
      <c r="B775" s="632"/>
      <c r="C775" s="633"/>
      <c r="D775" s="634"/>
      <c r="E775" s="655"/>
      <c r="F775" s="684"/>
      <c r="G775" s="684"/>
      <c r="H775" s="635"/>
    </row>
    <row r="776" spans="1:8" ht="12.75" customHeight="1" x14ac:dyDescent="0.25">
      <c r="A776" s="631">
        <f t="shared" si="12"/>
        <v>771</v>
      </c>
      <c r="B776" s="632"/>
      <c r="C776" s="633"/>
      <c r="D776" s="634"/>
      <c r="E776" s="655"/>
      <c r="F776" s="684"/>
      <c r="G776" s="684"/>
      <c r="H776" s="635"/>
    </row>
    <row r="777" spans="1:8" ht="12.75" customHeight="1" x14ac:dyDescent="0.25">
      <c r="A777" s="631">
        <f t="shared" si="12"/>
        <v>772</v>
      </c>
      <c r="B777" s="632"/>
      <c r="C777" s="633"/>
      <c r="D777" s="634"/>
      <c r="E777" s="655"/>
      <c r="F777" s="684"/>
      <c r="G777" s="684"/>
      <c r="H777" s="635"/>
    </row>
    <row r="778" spans="1:8" ht="12.75" customHeight="1" x14ac:dyDescent="0.25">
      <c r="A778" s="631">
        <f t="shared" si="12"/>
        <v>773</v>
      </c>
      <c r="B778" s="632"/>
      <c r="C778" s="633"/>
      <c r="D778" s="634"/>
      <c r="E778" s="655"/>
      <c r="F778" s="684"/>
      <c r="G778" s="684"/>
      <c r="H778" s="635"/>
    </row>
    <row r="779" spans="1:8" ht="12.75" customHeight="1" x14ac:dyDescent="0.25">
      <c r="A779" s="631">
        <f t="shared" si="12"/>
        <v>774</v>
      </c>
      <c r="B779" s="632"/>
      <c r="C779" s="633"/>
      <c r="D779" s="634"/>
      <c r="E779" s="655"/>
      <c r="F779" s="684"/>
      <c r="G779" s="684"/>
      <c r="H779" s="635"/>
    </row>
    <row r="780" spans="1:8" ht="12.75" customHeight="1" x14ac:dyDescent="0.25">
      <c r="A780" s="631">
        <f t="shared" si="12"/>
        <v>775</v>
      </c>
      <c r="B780" s="632"/>
      <c r="C780" s="633"/>
      <c r="D780" s="634"/>
      <c r="E780" s="655"/>
      <c r="F780" s="684"/>
      <c r="G780" s="684"/>
      <c r="H780" s="635"/>
    </row>
    <row r="781" spans="1:8" ht="12.75" customHeight="1" x14ac:dyDescent="0.25">
      <c r="A781" s="631">
        <f t="shared" si="12"/>
        <v>776</v>
      </c>
      <c r="B781" s="632"/>
      <c r="C781" s="633"/>
      <c r="D781" s="634"/>
      <c r="E781" s="655"/>
      <c r="F781" s="684"/>
      <c r="G781" s="684"/>
      <c r="H781" s="635"/>
    </row>
    <row r="782" spans="1:8" ht="12.75" customHeight="1" x14ac:dyDescent="0.25">
      <c r="A782" s="631">
        <f t="shared" si="12"/>
        <v>777</v>
      </c>
      <c r="B782" s="632"/>
      <c r="C782" s="633"/>
      <c r="D782" s="634"/>
      <c r="E782" s="655"/>
      <c r="F782" s="684"/>
      <c r="G782" s="684"/>
      <c r="H782" s="635"/>
    </row>
    <row r="783" spans="1:8" ht="12.75" customHeight="1" x14ac:dyDescent="0.25">
      <c r="A783" s="631">
        <f t="shared" si="12"/>
        <v>778</v>
      </c>
      <c r="B783" s="632"/>
      <c r="C783" s="633"/>
      <c r="D783" s="634"/>
      <c r="E783" s="655"/>
      <c r="F783" s="684"/>
      <c r="G783" s="684"/>
      <c r="H783" s="635"/>
    </row>
    <row r="784" spans="1:8" ht="12.75" customHeight="1" x14ac:dyDescent="0.25">
      <c r="A784" s="631">
        <f t="shared" si="12"/>
        <v>779</v>
      </c>
      <c r="B784" s="632"/>
      <c r="C784" s="633"/>
      <c r="D784" s="634"/>
      <c r="E784" s="655"/>
      <c r="F784" s="684"/>
      <c r="G784" s="684"/>
      <c r="H784" s="635"/>
    </row>
    <row r="785" spans="1:8" ht="12.75" customHeight="1" x14ac:dyDescent="0.25">
      <c r="A785" s="631">
        <f t="shared" si="12"/>
        <v>780</v>
      </c>
      <c r="B785" s="632"/>
      <c r="C785" s="633"/>
      <c r="D785" s="634"/>
      <c r="E785" s="655"/>
      <c r="F785" s="684"/>
      <c r="G785" s="684"/>
      <c r="H785" s="635"/>
    </row>
    <row r="786" spans="1:8" ht="12.75" customHeight="1" x14ac:dyDescent="0.25">
      <c r="A786" s="631">
        <f t="shared" si="12"/>
        <v>781</v>
      </c>
      <c r="B786" s="632"/>
      <c r="C786" s="633"/>
      <c r="D786" s="634"/>
      <c r="E786" s="655"/>
      <c r="F786" s="684"/>
      <c r="G786" s="684"/>
      <c r="H786" s="635"/>
    </row>
    <row r="787" spans="1:8" ht="12.75" customHeight="1" x14ac:dyDescent="0.25">
      <c r="A787" s="631">
        <f t="shared" si="12"/>
        <v>782</v>
      </c>
      <c r="B787" s="632"/>
      <c r="C787" s="633"/>
      <c r="D787" s="634"/>
      <c r="E787" s="655"/>
      <c r="F787" s="684"/>
      <c r="G787" s="684"/>
      <c r="H787" s="635"/>
    </row>
    <row r="788" spans="1:8" ht="12.75" customHeight="1" x14ac:dyDescent="0.25">
      <c r="A788" s="631">
        <f t="shared" si="12"/>
        <v>783</v>
      </c>
      <c r="B788" s="632"/>
      <c r="C788" s="633"/>
      <c r="D788" s="634"/>
      <c r="E788" s="655"/>
      <c r="F788" s="684"/>
      <c r="G788" s="684"/>
      <c r="H788" s="635"/>
    </row>
    <row r="789" spans="1:8" ht="12.75" customHeight="1" x14ac:dyDescent="0.25">
      <c r="A789" s="631">
        <f t="shared" si="12"/>
        <v>784</v>
      </c>
      <c r="B789" s="632"/>
      <c r="C789" s="633"/>
      <c r="D789" s="634"/>
      <c r="E789" s="655"/>
      <c r="F789" s="684"/>
      <c r="G789" s="684"/>
      <c r="H789" s="635"/>
    </row>
    <row r="790" spans="1:8" ht="12.75" customHeight="1" x14ac:dyDescent="0.25">
      <c r="A790" s="631">
        <f t="shared" si="12"/>
        <v>785</v>
      </c>
      <c r="B790" s="632"/>
      <c r="C790" s="633"/>
      <c r="D790" s="634"/>
      <c r="E790" s="655"/>
      <c r="F790" s="684"/>
      <c r="G790" s="684"/>
      <c r="H790" s="635"/>
    </row>
    <row r="791" spans="1:8" ht="12.75" customHeight="1" x14ac:dyDescent="0.25">
      <c r="A791" s="631">
        <f t="shared" si="12"/>
        <v>786</v>
      </c>
      <c r="B791" s="632"/>
      <c r="C791" s="633"/>
      <c r="D791" s="634"/>
      <c r="E791" s="655"/>
      <c r="F791" s="684"/>
      <c r="G791" s="684"/>
      <c r="H791" s="635"/>
    </row>
    <row r="792" spans="1:8" ht="12.75" customHeight="1" x14ac:dyDescent="0.25">
      <c r="A792" s="631">
        <f t="shared" si="12"/>
        <v>787</v>
      </c>
      <c r="B792" s="632"/>
      <c r="C792" s="633"/>
      <c r="D792" s="634"/>
      <c r="E792" s="655"/>
      <c r="F792" s="684"/>
      <c r="G792" s="684"/>
      <c r="H792" s="635"/>
    </row>
    <row r="793" spans="1:8" ht="12.75" customHeight="1" x14ac:dyDescent="0.25">
      <c r="A793" s="631">
        <f t="shared" si="12"/>
        <v>788</v>
      </c>
      <c r="B793" s="632"/>
      <c r="C793" s="633"/>
      <c r="D793" s="634"/>
      <c r="E793" s="655"/>
      <c r="F793" s="684"/>
      <c r="G793" s="684"/>
      <c r="H793" s="635"/>
    </row>
    <row r="794" spans="1:8" ht="12.75" customHeight="1" x14ac:dyDescent="0.25">
      <c r="A794" s="631">
        <f t="shared" si="12"/>
        <v>789</v>
      </c>
      <c r="B794" s="632"/>
      <c r="C794" s="633"/>
      <c r="D794" s="634"/>
      <c r="E794" s="655"/>
      <c r="F794" s="684"/>
      <c r="G794" s="684"/>
      <c r="H794" s="635"/>
    </row>
    <row r="795" spans="1:8" ht="12.75" customHeight="1" x14ac:dyDescent="0.25">
      <c r="A795" s="631">
        <f t="shared" si="12"/>
        <v>790</v>
      </c>
      <c r="B795" s="632"/>
      <c r="C795" s="633"/>
      <c r="D795" s="634"/>
      <c r="E795" s="655"/>
      <c r="F795" s="684"/>
      <c r="G795" s="684"/>
      <c r="H795" s="635"/>
    </row>
    <row r="796" spans="1:8" ht="12.75" customHeight="1" x14ac:dyDescent="0.25">
      <c r="A796" s="631">
        <f t="shared" si="12"/>
        <v>791</v>
      </c>
      <c r="B796" s="632"/>
      <c r="C796" s="633"/>
      <c r="D796" s="634"/>
      <c r="E796" s="655"/>
      <c r="F796" s="684"/>
      <c r="G796" s="684"/>
      <c r="H796" s="635"/>
    </row>
    <row r="797" spans="1:8" ht="12.75" customHeight="1" x14ac:dyDescent="0.25">
      <c r="A797" s="631">
        <f t="shared" si="12"/>
        <v>792</v>
      </c>
      <c r="B797" s="632"/>
      <c r="C797" s="633"/>
      <c r="D797" s="634"/>
      <c r="E797" s="655"/>
      <c r="F797" s="684"/>
      <c r="G797" s="684"/>
      <c r="H797" s="635"/>
    </row>
    <row r="798" spans="1:8" ht="12.75" customHeight="1" x14ac:dyDescent="0.25">
      <c r="A798" s="631">
        <f t="shared" si="12"/>
        <v>793</v>
      </c>
      <c r="B798" s="632"/>
      <c r="C798" s="633"/>
      <c r="D798" s="634"/>
      <c r="E798" s="655"/>
      <c r="F798" s="684"/>
      <c r="G798" s="684"/>
      <c r="H798" s="635"/>
    </row>
    <row r="799" spans="1:8" ht="12.75" customHeight="1" x14ac:dyDescent="0.25">
      <c r="A799" s="631">
        <f t="shared" si="12"/>
        <v>794</v>
      </c>
      <c r="B799" s="632"/>
      <c r="C799" s="633"/>
      <c r="D799" s="634"/>
      <c r="E799" s="655"/>
      <c r="F799" s="684"/>
      <c r="G799" s="684"/>
      <c r="H799" s="635"/>
    </row>
    <row r="800" spans="1:8" ht="12.75" customHeight="1" x14ac:dyDescent="0.25">
      <c r="A800" s="631">
        <f t="shared" si="12"/>
        <v>795</v>
      </c>
      <c r="B800" s="632"/>
      <c r="C800" s="633"/>
      <c r="D800" s="634"/>
      <c r="E800" s="655"/>
      <c r="F800" s="684"/>
      <c r="G800" s="684"/>
      <c r="H800" s="635"/>
    </row>
    <row r="801" spans="1:8" ht="12.75" customHeight="1" x14ac:dyDescent="0.25">
      <c r="A801" s="631">
        <f t="shared" si="12"/>
        <v>796</v>
      </c>
      <c r="B801" s="632"/>
      <c r="C801" s="633"/>
      <c r="D801" s="634"/>
      <c r="E801" s="655"/>
      <c r="F801" s="684"/>
      <c r="G801" s="684"/>
      <c r="H801" s="635"/>
    </row>
    <row r="802" spans="1:8" ht="12.75" customHeight="1" x14ac:dyDescent="0.25">
      <c r="A802" s="631">
        <f t="shared" si="12"/>
        <v>797</v>
      </c>
      <c r="B802" s="632"/>
      <c r="C802" s="633"/>
      <c r="D802" s="634"/>
      <c r="E802" s="655"/>
      <c r="F802" s="684"/>
      <c r="G802" s="684"/>
      <c r="H802" s="635"/>
    </row>
    <row r="803" spans="1:8" ht="12.75" customHeight="1" x14ac:dyDescent="0.25">
      <c r="A803" s="631">
        <f t="shared" si="12"/>
        <v>798</v>
      </c>
      <c r="B803" s="632"/>
      <c r="C803" s="633"/>
      <c r="D803" s="634"/>
      <c r="E803" s="655"/>
      <c r="F803" s="684"/>
      <c r="G803" s="684"/>
      <c r="H803" s="635"/>
    </row>
    <row r="804" spans="1:8" ht="12.75" customHeight="1" x14ac:dyDescent="0.25">
      <c r="A804" s="631">
        <f t="shared" si="12"/>
        <v>799</v>
      </c>
      <c r="B804" s="632"/>
      <c r="C804" s="633"/>
      <c r="D804" s="634"/>
      <c r="E804" s="655"/>
      <c r="F804" s="684"/>
      <c r="G804" s="684"/>
      <c r="H804" s="635"/>
    </row>
    <row r="805" spans="1:8" ht="12.75" customHeight="1" x14ac:dyDescent="0.25">
      <c r="A805" s="631">
        <f t="shared" si="12"/>
        <v>800</v>
      </c>
      <c r="B805" s="632"/>
      <c r="C805" s="633"/>
      <c r="D805" s="634"/>
      <c r="E805" s="655"/>
      <c r="F805" s="684"/>
      <c r="G805" s="684"/>
      <c r="H805" s="635"/>
    </row>
    <row r="806" spans="1:8" ht="12.75" customHeight="1" x14ac:dyDescent="0.25">
      <c r="A806" s="631">
        <f t="shared" si="12"/>
        <v>801</v>
      </c>
      <c r="B806" s="632"/>
      <c r="C806" s="633"/>
      <c r="D806" s="634"/>
      <c r="E806" s="655"/>
      <c r="F806" s="684"/>
      <c r="G806" s="684"/>
      <c r="H806" s="635"/>
    </row>
    <row r="807" spans="1:8" ht="12.75" customHeight="1" x14ac:dyDescent="0.25">
      <c r="A807" s="631">
        <f t="shared" si="12"/>
        <v>802</v>
      </c>
      <c r="B807" s="632"/>
      <c r="C807" s="633"/>
      <c r="D807" s="634"/>
      <c r="E807" s="655"/>
      <c r="F807" s="684"/>
      <c r="G807" s="684"/>
      <c r="H807" s="635"/>
    </row>
    <row r="808" spans="1:8" ht="12.75" customHeight="1" x14ac:dyDescent="0.25">
      <c r="A808" s="631">
        <f t="shared" si="12"/>
        <v>803</v>
      </c>
      <c r="B808" s="632"/>
      <c r="C808" s="633"/>
      <c r="D808" s="634"/>
      <c r="E808" s="655"/>
      <c r="F808" s="684"/>
      <c r="G808" s="684"/>
      <c r="H808" s="635"/>
    </row>
    <row r="809" spans="1:8" ht="12.75" customHeight="1" x14ac:dyDescent="0.25">
      <c r="A809" s="631">
        <f t="shared" si="12"/>
        <v>804</v>
      </c>
      <c r="B809" s="632"/>
      <c r="C809" s="633"/>
      <c r="D809" s="634"/>
      <c r="E809" s="655"/>
      <c r="F809" s="684"/>
      <c r="G809" s="684"/>
      <c r="H809" s="635"/>
    </row>
    <row r="810" spans="1:8" ht="12.75" customHeight="1" x14ac:dyDescent="0.25">
      <c r="A810" s="631">
        <f t="shared" si="12"/>
        <v>805</v>
      </c>
      <c r="B810" s="632"/>
      <c r="C810" s="633"/>
      <c r="D810" s="634"/>
      <c r="E810" s="655"/>
      <c r="F810" s="684"/>
      <c r="G810" s="684"/>
      <c r="H810" s="635"/>
    </row>
    <row r="811" spans="1:8" ht="12.75" customHeight="1" x14ac:dyDescent="0.25">
      <c r="A811" s="631">
        <f t="shared" si="12"/>
        <v>806</v>
      </c>
      <c r="B811" s="632"/>
      <c r="C811" s="633"/>
      <c r="D811" s="634"/>
      <c r="E811" s="655"/>
      <c r="F811" s="684"/>
      <c r="G811" s="684"/>
      <c r="H811" s="635"/>
    </row>
    <row r="812" spans="1:8" ht="12.75" customHeight="1" x14ac:dyDescent="0.25">
      <c r="A812" s="631">
        <f t="shared" si="12"/>
        <v>807</v>
      </c>
      <c r="B812" s="632"/>
      <c r="C812" s="633"/>
      <c r="D812" s="634"/>
      <c r="E812" s="655"/>
      <c r="F812" s="684"/>
      <c r="G812" s="684"/>
      <c r="H812" s="635"/>
    </row>
    <row r="813" spans="1:8" ht="12.75" customHeight="1" x14ac:dyDescent="0.25">
      <c r="A813" s="631">
        <f t="shared" si="12"/>
        <v>808</v>
      </c>
      <c r="B813" s="632"/>
      <c r="C813" s="633"/>
      <c r="D813" s="634"/>
      <c r="E813" s="655"/>
      <c r="F813" s="684"/>
      <c r="G813" s="684"/>
      <c r="H813" s="635"/>
    </row>
    <row r="814" spans="1:8" ht="12.75" customHeight="1" x14ac:dyDescent="0.25">
      <c r="A814" s="631">
        <f t="shared" si="12"/>
        <v>809</v>
      </c>
      <c r="B814" s="632"/>
      <c r="C814" s="633"/>
      <c r="D814" s="634"/>
      <c r="E814" s="655"/>
      <c r="F814" s="684"/>
      <c r="G814" s="684"/>
      <c r="H814" s="635"/>
    </row>
    <row r="815" spans="1:8" ht="12.75" customHeight="1" x14ac:dyDescent="0.25">
      <c r="A815" s="631">
        <f t="shared" si="12"/>
        <v>810</v>
      </c>
      <c r="B815" s="632"/>
      <c r="C815" s="633"/>
      <c r="D815" s="634"/>
      <c r="E815" s="655"/>
      <c r="F815" s="684"/>
      <c r="G815" s="684"/>
      <c r="H815" s="635"/>
    </row>
    <row r="816" spans="1:8" ht="12.75" customHeight="1" x14ac:dyDescent="0.25">
      <c r="A816" s="631">
        <f t="shared" si="12"/>
        <v>811</v>
      </c>
      <c r="B816" s="632"/>
      <c r="C816" s="633"/>
      <c r="D816" s="634"/>
      <c r="E816" s="655"/>
      <c r="F816" s="684"/>
      <c r="G816" s="684"/>
      <c r="H816" s="635"/>
    </row>
    <row r="817" spans="1:8" ht="12.75" customHeight="1" x14ac:dyDescent="0.25">
      <c r="A817" s="631">
        <f t="shared" si="12"/>
        <v>812</v>
      </c>
      <c r="B817" s="632"/>
      <c r="C817" s="633"/>
      <c r="D817" s="634"/>
      <c r="E817" s="655"/>
      <c r="F817" s="684"/>
      <c r="G817" s="684"/>
      <c r="H817" s="635"/>
    </row>
    <row r="818" spans="1:8" ht="12.75" customHeight="1" x14ac:dyDescent="0.25">
      <c r="A818" s="631">
        <f t="shared" si="12"/>
        <v>813</v>
      </c>
      <c r="B818" s="632"/>
      <c r="C818" s="633"/>
      <c r="D818" s="634"/>
      <c r="E818" s="655"/>
      <c r="F818" s="684"/>
      <c r="G818" s="684"/>
      <c r="H818" s="635"/>
    </row>
    <row r="819" spans="1:8" ht="12.75" customHeight="1" x14ac:dyDescent="0.25">
      <c r="A819" s="631">
        <f t="shared" si="12"/>
        <v>814</v>
      </c>
      <c r="B819" s="632"/>
      <c r="C819" s="633"/>
      <c r="D819" s="634"/>
      <c r="E819" s="655"/>
      <c r="F819" s="684"/>
      <c r="G819" s="684"/>
      <c r="H819" s="635"/>
    </row>
    <row r="820" spans="1:8" ht="12.75" customHeight="1" x14ac:dyDescent="0.25">
      <c r="A820" s="631">
        <f t="shared" si="12"/>
        <v>815</v>
      </c>
      <c r="B820" s="632"/>
      <c r="C820" s="633"/>
      <c r="D820" s="634"/>
      <c r="E820" s="655"/>
      <c r="F820" s="684"/>
      <c r="G820" s="684"/>
      <c r="H820" s="635"/>
    </row>
    <row r="821" spans="1:8" ht="12.75" customHeight="1" x14ac:dyDescent="0.25">
      <c r="A821" s="631">
        <f t="shared" si="12"/>
        <v>816</v>
      </c>
      <c r="B821" s="632"/>
      <c r="C821" s="633"/>
      <c r="D821" s="634"/>
      <c r="E821" s="655"/>
      <c r="F821" s="684"/>
      <c r="G821" s="684"/>
      <c r="H821" s="635"/>
    </row>
    <row r="822" spans="1:8" ht="12.75" customHeight="1" x14ac:dyDescent="0.25">
      <c r="A822" s="631">
        <f t="shared" si="12"/>
        <v>817</v>
      </c>
      <c r="B822" s="632"/>
      <c r="C822" s="633"/>
      <c r="D822" s="634"/>
      <c r="E822" s="655"/>
      <c r="F822" s="684"/>
      <c r="G822" s="684"/>
      <c r="H822" s="635"/>
    </row>
    <row r="823" spans="1:8" ht="12.75" customHeight="1" x14ac:dyDescent="0.25">
      <c r="A823" s="631">
        <f t="shared" si="12"/>
        <v>818</v>
      </c>
      <c r="B823" s="632"/>
      <c r="C823" s="633"/>
      <c r="D823" s="634"/>
      <c r="E823" s="655"/>
      <c r="F823" s="684"/>
      <c r="G823" s="684"/>
      <c r="H823" s="635"/>
    </row>
    <row r="824" spans="1:8" ht="12.75" customHeight="1" x14ac:dyDescent="0.25">
      <c r="A824" s="631">
        <f t="shared" si="12"/>
        <v>819</v>
      </c>
      <c r="B824" s="632"/>
      <c r="C824" s="633"/>
      <c r="D824" s="634"/>
      <c r="E824" s="655"/>
      <c r="F824" s="684"/>
      <c r="G824" s="684"/>
      <c r="H824" s="635"/>
    </row>
    <row r="825" spans="1:8" ht="12.75" customHeight="1" x14ac:dyDescent="0.25">
      <c r="A825" s="631">
        <f t="shared" si="12"/>
        <v>820</v>
      </c>
      <c r="B825" s="632"/>
      <c r="C825" s="633"/>
      <c r="D825" s="634"/>
      <c r="E825" s="655"/>
      <c r="F825" s="684"/>
      <c r="G825" s="684"/>
      <c r="H825" s="635"/>
    </row>
    <row r="826" spans="1:8" ht="12.75" customHeight="1" x14ac:dyDescent="0.25">
      <c r="A826" s="631">
        <f t="shared" si="12"/>
        <v>821</v>
      </c>
      <c r="B826" s="632"/>
      <c r="C826" s="633"/>
      <c r="D826" s="634"/>
      <c r="E826" s="655"/>
      <c r="F826" s="684"/>
      <c r="G826" s="684"/>
      <c r="H826" s="635"/>
    </row>
    <row r="827" spans="1:8" ht="12.75" customHeight="1" x14ac:dyDescent="0.25">
      <c r="A827" s="631">
        <f t="shared" si="12"/>
        <v>822</v>
      </c>
      <c r="B827" s="632"/>
      <c r="C827" s="633"/>
      <c r="D827" s="634"/>
      <c r="E827" s="655"/>
      <c r="F827" s="684"/>
      <c r="G827" s="684"/>
      <c r="H827" s="635"/>
    </row>
    <row r="828" spans="1:8" ht="12.75" customHeight="1" x14ac:dyDescent="0.25">
      <c r="A828" s="631">
        <f t="shared" si="12"/>
        <v>823</v>
      </c>
      <c r="B828" s="632"/>
      <c r="C828" s="633"/>
      <c r="D828" s="634"/>
      <c r="E828" s="655"/>
      <c r="F828" s="684"/>
      <c r="G828" s="684"/>
      <c r="H828" s="635"/>
    </row>
    <row r="829" spans="1:8" ht="12.75" customHeight="1" x14ac:dyDescent="0.25">
      <c r="A829" s="631">
        <f t="shared" si="12"/>
        <v>824</v>
      </c>
      <c r="B829" s="632"/>
      <c r="C829" s="633"/>
      <c r="D829" s="634"/>
      <c r="E829" s="655"/>
      <c r="F829" s="684"/>
      <c r="G829" s="684"/>
      <c r="H829" s="635"/>
    </row>
    <row r="830" spans="1:8" ht="12.75" customHeight="1" x14ac:dyDescent="0.25">
      <c r="A830" s="631">
        <f t="shared" si="12"/>
        <v>825</v>
      </c>
      <c r="B830" s="632"/>
      <c r="C830" s="633"/>
      <c r="D830" s="634"/>
      <c r="E830" s="655"/>
      <c r="F830" s="684"/>
      <c r="G830" s="684"/>
      <c r="H830" s="635"/>
    </row>
    <row r="831" spans="1:8" ht="12.75" customHeight="1" x14ac:dyDescent="0.25">
      <c r="A831" s="631">
        <f t="shared" si="12"/>
        <v>826</v>
      </c>
      <c r="B831" s="632"/>
      <c r="C831" s="633"/>
      <c r="D831" s="634"/>
      <c r="E831" s="655"/>
      <c r="F831" s="684"/>
      <c r="G831" s="684"/>
      <c r="H831" s="635"/>
    </row>
    <row r="832" spans="1:8" ht="12.75" customHeight="1" x14ac:dyDescent="0.25">
      <c r="A832" s="631">
        <f t="shared" si="12"/>
        <v>827</v>
      </c>
      <c r="B832" s="632"/>
      <c r="C832" s="633"/>
      <c r="D832" s="634"/>
      <c r="E832" s="655"/>
      <c r="F832" s="684"/>
      <c r="G832" s="684"/>
      <c r="H832" s="635"/>
    </row>
    <row r="833" spans="1:8" ht="12.75" customHeight="1" x14ac:dyDescent="0.25">
      <c r="A833" s="631">
        <f t="shared" ref="A833:A896" si="13">ROW()-5</f>
        <v>828</v>
      </c>
      <c r="B833" s="632"/>
      <c r="C833" s="633"/>
      <c r="D833" s="634"/>
      <c r="E833" s="655"/>
      <c r="F833" s="684"/>
      <c r="G833" s="684"/>
      <c r="H833" s="635"/>
    </row>
    <row r="834" spans="1:8" ht="12.75" customHeight="1" x14ac:dyDescent="0.25">
      <c r="A834" s="631">
        <f t="shared" si="13"/>
        <v>829</v>
      </c>
      <c r="B834" s="632"/>
      <c r="C834" s="633"/>
      <c r="D834" s="634"/>
      <c r="E834" s="655"/>
      <c r="F834" s="684"/>
      <c r="G834" s="684"/>
      <c r="H834" s="635"/>
    </row>
    <row r="835" spans="1:8" ht="12.75" customHeight="1" x14ac:dyDescent="0.25">
      <c r="A835" s="631">
        <f t="shared" si="13"/>
        <v>830</v>
      </c>
      <c r="B835" s="632"/>
      <c r="C835" s="633"/>
      <c r="D835" s="634"/>
      <c r="E835" s="655"/>
      <c r="F835" s="684"/>
      <c r="G835" s="684"/>
      <c r="H835" s="635"/>
    </row>
    <row r="836" spans="1:8" ht="12.75" customHeight="1" x14ac:dyDescent="0.25">
      <c r="A836" s="631">
        <f t="shared" si="13"/>
        <v>831</v>
      </c>
      <c r="B836" s="632"/>
      <c r="C836" s="633"/>
      <c r="D836" s="634"/>
      <c r="E836" s="655"/>
      <c r="F836" s="684"/>
      <c r="G836" s="684"/>
      <c r="H836" s="635"/>
    </row>
    <row r="837" spans="1:8" ht="12.75" customHeight="1" x14ac:dyDescent="0.25">
      <c r="A837" s="631">
        <f t="shared" si="13"/>
        <v>832</v>
      </c>
      <c r="B837" s="632"/>
      <c r="C837" s="633"/>
      <c r="D837" s="634"/>
      <c r="E837" s="655"/>
      <c r="F837" s="684"/>
      <c r="G837" s="684"/>
      <c r="H837" s="635"/>
    </row>
    <row r="838" spans="1:8" ht="12.75" customHeight="1" x14ac:dyDescent="0.25">
      <c r="A838" s="631">
        <f t="shared" si="13"/>
        <v>833</v>
      </c>
      <c r="B838" s="632"/>
      <c r="C838" s="633"/>
      <c r="D838" s="634"/>
      <c r="E838" s="655"/>
      <c r="F838" s="684"/>
      <c r="G838" s="684"/>
      <c r="H838" s="635"/>
    </row>
    <row r="839" spans="1:8" ht="12.75" customHeight="1" x14ac:dyDescent="0.25">
      <c r="A839" s="631">
        <f t="shared" si="13"/>
        <v>834</v>
      </c>
      <c r="B839" s="632"/>
      <c r="C839" s="633"/>
      <c r="D839" s="634"/>
      <c r="E839" s="655"/>
      <c r="F839" s="684"/>
      <c r="G839" s="684"/>
      <c r="H839" s="635"/>
    </row>
    <row r="840" spans="1:8" ht="12.75" customHeight="1" x14ac:dyDescent="0.25">
      <c r="A840" s="631">
        <f t="shared" si="13"/>
        <v>835</v>
      </c>
      <c r="B840" s="632"/>
      <c r="C840" s="633"/>
      <c r="D840" s="634"/>
      <c r="E840" s="655"/>
      <c r="F840" s="684"/>
      <c r="G840" s="684"/>
      <c r="H840" s="635"/>
    </row>
    <row r="841" spans="1:8" ht="12.75" customHeight="1" x14ac:dyDescent="0.25">
      <c r="A841" s="631">
        <f t="shared" si="13"/>
        <v>836</v>
      </c>
      <c r="B841" s="632"/>
      <c r="C841" s="633"/>
      <c r="D841" s="634"/>
      <c r="E841" s="655"/>
      <c r="F841" s="684"/>
      <c r="G841" s="684"/>
      <c r="H841" s="635"/>
    </row>
    <row r="842" spans="1:8" ht="12.75" customHeight="1" x14ac:dyDescent="0.25">
      <c r="A842" s="631">
        <f t="shared" si="13"/>
        <v>837</v>
      </c>
      <c r="B842" s="632"/>
      <c r="C842" s="633"/>
      <c r="D842" s="634"/>
      <c r="E842" s="655"/>
      <c r="F842" s="684"/>
      <c r="G842" s="684"/>
      <c r="H842" s="635"/>
    </row>
    <row r="843" spans="1:8" ht="12.75" customHeight="1" x14ac:dyDescent="0.25">
      <c r="A843" s="631">
        <f t="shared" si="13"/>
        <v>838</v>
      </c>
      <c r="B843" s="632"/>
      <c r="C843" s="633"/>
      <c r="D843" s="634"/>
      <c r="E843" s="655"/>
      <c r="F843" s="684"/>
      <c r="G843" s="684"/>
      <c r="H843" s="635"/>
    </row>
    <row r="844" spans="1:8" ht="12.75" customHeight="1" x14ac:dyDescent="0.25">
      <c r="A844" s="631">
        <f t="shared" si="13"/>
        <v>839</v>
      </c>
      <c r="B844" s="632"/>
      <c r="C844" s="633"/>
      <c r="D844" s="634"/>
      <c r="E844" s="655"/>
      <c r="F844" s="684"/>
      <c r="G844" s="684"/>
      <c r="H844" s="635"/>
    </row>
    <row r="845" spans="1:8" ht="12.75" customHeight="1" x14ac:dyDescent="0.25">
      <c r="A845" s="631">
        <f t="shared" si="13"/>
        <v>840</v>
      </c>
      <c r="B845" s="632"/>
      <c r="C845" s="633"/>
      <c r="D845" s="634"/>
      <c r="E845" s="655"/>
      <c r="F845" s="684"/>
      <c r="G845" s="684"/>
      <c r="H845" s="635"/>
    </row>
    <row r="846" spans="1:8" ht="12.75" customHeight="1" x14ac:dyDescent="0.25">
      <c r="A846" s="631">
        <f t="shared" si="13"/>
        <v>841</v>
      </c>
      <c r="B846" s="632"/>
      <c r="C846" s="633"/>
      <c r="D846" s="634"/>
      <c r="E846" s="655"/>
      <c r="F846" s="684"/>
      <c r="G846" s="684"/>
      <c r="H846" s="635"/>
    </row>
    <row r="847" spans="1:8" ht="12.75" customHeight="1" x14ac:dyDescent="0.25">
      <c r="A847" s="631">
        <f t="shared" si="13"/>
        <v>842</v>
      </c>
      <c r="B847" s="632"/>
      <c r="C847" s="633"/>
      <c r="D847" s="634"/>
      <c r="E847" s="655"/>
      <c r="F847" s="684"/>
      <c r="G847" s="684"/>
      <c r="H847" s="635"/>
    </row>
    <row r="848" spans="1:8" ht="12.75" customHeight="1" x14ac:dyDescent="0.25">
      <c r="A848" s="631">
        <f t="shared" si="13"/>
        <v>843</v>
      </c>
      <c r="B848" s="632"/>
      <c r="C848" s="633"/>
      <c r="D848" s="634"/>
      <c r="E848" s="655"/>
      <c r="F848" s="684"/>
      <c r="G848" s="684"/>
      <c r="H848" s="635"/>
    </row>
    <row r="849" spans="1:8" ht="12.75" customHeight="1" x14ac:dyDescent="0.25">
      <c r="A849" s="631">
        <f t="shared" si="13"/>
        <v>844</v>
      </c>
      <c r="B849" s="632"/>
      <c r="C849" s="633"/>
      <c r="D849" s="634"/>
      <c r="E849" s="655"/>
      <c r="F849" s="684"/>
      <c r="G849" s="684"/>
      <c r="H849" s="635"/>
    </row>
    <row r="850" spans="1:8" ht="12.75" customHeight="1" x14ac:dyDescent="0.25">
      <c r="A850" s="631">
        <f t="shared" si="13"/>
        <v>845</v>
      </c>
      <c r="B850" s="632"/>
      <c r="C850" s="633"/>
      <c r="D850" s="634"/>
      <c r="E850" s="655"/>
      <c r="F850" s="684"/>
      <c r="G850" s="684"/>
      <c r="H850" s="635"/>
    </row>
    <row r="851" spans="1:8" ht="12.75" customHeight="1" x14ac:dyDescent="0.25">
      <c r="A851" s="631">
        <f t="shared" si="13"/>
        <v>846</v>
      </c>
      <c r="B851" s="632"/>
      <c r="C851" s="633"/>
      <c r="D851" s="634"/>
      <c r="E851" s="655"/>
      <c r="F851" s="684"/>
      <c r="G851" s="684"/>
      <c r="H851" s="635"/>
    </row>
    <row r="852" spans="1:8" ht="12.75" customHeight="1" x14ac:dyDescent="0.25">
      <c r="A852" s="631">
        <f t="shared" si="13"/>
        <v>847</v>
      </c>
      <c r="B852" s="632"/>
      <c r="C852" s="633"/>
      <c r="D852" s="634"/>
      <c r="E852" s="655"/>
      <c r="F852" s="684"/>
      <c r="G852" s="684"/>
      <c r="H852" s="635"/>
    </row>
    <row r="853" spans="1:8" ht="12.75" customHeight="1" x14ac:dyDescent="0.25">
      <c r="A853" s="631">
        <f t="shared" si="13"/>
        <v>848</v>
      </c>
      <c r="B853" s="632"/>
      <c r="C853" s="633"/>
      <c r="D853" s="634"/>
      <c r="E853" s="655"/>
      <c r="F853" s="684"/>
      <c r="G853" s="684"/>
      <c r="H853" s="635"/>
    </row>
    <row r="854" spans="1:8" ht="12.75" customHeight="1" x14ac:dyDescent="0.25">
      <c r="A854" s="631">
        <f t="shared" si="13"/>
        <v>849</v>
      </c>
      <c r="B854" s="632"/>
      <c r="C854" s="633"/>
      <c r="D854" s="634"/>
      <c r="E854" s="655"/>
      <c r="F854" s="684"/>
      <c r="G854" s="684"/>
      <c r="H854" s="635"/>
    </row>
    <row r="855" spans="1:8" ht="12.75" customHeight="1" x14ac:dyDescent="0.25">
      <c r="A855" s="631">
        <f t="shared" si="13"/>
        <v>850</v>
      </c>
      <c r="B855" s="632"/>
      <c r="C855" s="633"/>
      <c r="D855" s="634"/>
      <c r="E855" s="655"/>
      <c r="F855" s="684"/>
      <c r="G855" s="684"/>
      <c r="H855" s="635"/>
    </row>
    <row r="856" spans="1:8" ht="12.75" customHeight="1" x14ac:dyDescent="0.25">
      <c r="A856" s="631">
        <f t="shared" si="13"/>
        <v>851</v>
      </c>
      <c r="B856" s="632"/>
      <c r="C856" s="633"/>
      <c r="D856" s="634"/>
      <c r="E856" s="655"/>
      <c r="F856" s="684"/>
      <c r="G856" s="684"/>
      <c r="H856" s="635"/>
    </row>
    <row r="857" spans="1:8" ht="12.75" customHeight="1" x14ac:dyDescent="0.25">
      <c r="A857" s="631">
        <f t="shared" si="13"/>
        <v>852</v>
      </c>
      <c r="B857" s="632"/>
      <c r="C857" s="633"/>
      <c r="D857" s="634"/>
      <c r="E857" s="655"/>
      <c r="F857" s="684"/>
      <c r="G857" s="684"/>
      <c r="H857" s="635"/>
    </row>
    <row r="858" spans="1:8" ht="12.75" customHeight="1" x14ac:dyDescent="0.25">
      <c r="A858" s="631">
        <f t="shared" si="13"/>
        <v>853</v>
      </c>
      <c r="B858" s="632"/>
      <c r="C858" s="633"/>
      <c r="D858" s="634"/>
      <c r="E858" s="655"/>
      <c r="F858" s="684"/>
      <c r="G858" s="684"/>
      <c r="H858" s="635"/>
    </row>
    <row r="859" spans="1:8" ht="12.75" customHeight="1" x14ac:dyDescent="0.25">
      <c r="A859" s="631">
        <f t="shared" si="13"/>
        <v>854</v>
      </c>
      <c r="B859" s="632"/>
      <c r="C859" s="633"/>
      <c r="D859" s="634"/>
      <c r="E859" s="655"/>
      <c r="F859" s="684"/>
      <c r="G859" s="684"/>
      <c r="H859" s="635"/>
    </row>
    <row r="860" spans="1:8" ht="12.75" customHeight="1" x14ac:dyDescent="0.25">
      <c r="A860" s="631">
        <f t="shared" si="13"/>
        <v>855</v>
      </c>
      <c r="B860" s="632"/>
      <c r="C860" s="633"/>
      <c r="D860" s="634"/>
      <c r="E860" s="655"/>
      <c r="F860" s="684"/>
      <c r="G860" s="684"/>
      <c r="H860" s="635"/>
    </row>
    <row r="861" spans="1:8" ht="12.75" customHeight="1" x14ac:dyDescent="0.25">
      <c r="A861" s="631">
        <f t="shared" si="13"/>
        <v>856</v>
      </c>
      <c r="B861" s="632"/>
      <c r="C861" s="633"/>
      <c r="D861" s="634"/>
      <c r="E861" s="655"/>
      <c r="F861" s="684"/>
      <c r="G861" s="684"/>
      <c r="H861" s="635"/>
    </row>
    <row r="862" spans="1:8" ht="12.75" customHeight="1" x14ac:dyDescent="0.25">
      <c r="A862" s="631">
        <f t="shared" si="13"/>
        <v>857</v>
      </c>
      <c r="B862" s="632"/>
      <c r="C862" s="633"/>
      <c r="D862" s="634"/>
      <c r="E862" s="655"/>
      <c r="F862" s="684"/>
      <c r="G862" s="684"/>
      <c r="H862" s="635"/>
    </row>
    <row r="863" spans="1:8" ht="12.75" customHeight="1" x14ac:dyDescent="0.25">
      <c r="A863" s="631">
        <f t="shared" si="13"/>
        <v>858</v>
      </c>
      <c r="B863" s="632"/>
      <c r="C863" s="633"/>
      <c r="D863" s="634"/>
      <c r="E863" s="655"/>
      <c r="F863" s="684"/>
      <c r="G863" s="684"/>
      <c r="H863" s="635"/>
    </row>
    <row r="864" spans="1:8" ht="12.75" customHeight="1" x14ac:dyDescent="0.25">
      <c r="A864" s="631">
        <f t="shared" si="13"/>
        <v>859</v>
      </c>
      <c r="B864" s="632"/>
      <c r="C864" s="633"/>
      <c r="D864" s="634"/>
      <c r="E864" s="655"/>
      <c r="F864" s="684"/>
      <c r="G864" s="684"/>
      <c r="H864" s="635"/>
    </row>
    <row r="865" spans="1:8" ht="12.75" customHeight="1" x14ac:dyDescent="0.25">
      <c r="A865" s="631">
        <f t="shared" si="13"/>
        <v>860</v>
      </c>
      <c r="B865" s="632"/>
      <c r="C865" s="633"/>
      <c r="D865" s="634"/>
      <c r="E865" s="655"/>
      <c r="F865" s="684"/>
      <c r="G865" s="684"/>
      <c r="H865" s="635"/>
    </row>
    <row r="866" spans="1:8" ht="12.75" customHeight="1" x14ac:dyDescent="0.25">
      <c r="A866" s="631">
        <f t="shared" si="13"/>
        <v>861</v>
      </c>
      <c r="B866" s="632"/>
      <c r="C866" s="633"/>
      <c r="D866" s="634"/>
      <c r="E866" s="655"/>
      <c r="F866" s="684"/>
      <c r="G866" s="684"/>
      <c r="H866" s="635"/>
    </row>
    <row r="867" spans="1:8" ht="12.75" customHeight="1" x14ac:dyDescent="0.25">
      <c r="A867" s="631">
        <f t="shared" si="13"/>
        <v>862</v>
      </c>
      <c r="B867" s="632"/>
      <c r="C867" s="633"/>
      <c r="D867" s="634"/>
      <c r="E867" s="655"/>
      <c r="F867" s="684"/>
      <c r="G867" s="684"/>
      <c r="H867" s="635"/>
    </row>
    <row r="868" spans="1:8" ht="12.75" customHeight="1" x14ac:dyDescent="0.25">
      <c r="A868" s="631">
        <f t="shared" si="13"/>
        <v>863</v>
      </c>
      <c r="B868" s="632"/>
      <c r="C868" s="633"/>
      <c r="D868" s="634"/>
      <c r="E868" s="655"/>
      <c r="F868" s="684"/>
      <c r="G868" s="684"/>
      <c r="H868" s="635"/>
    </row>
    <row r="869" spans="1:8" ht="12.75" customHeight="1" x14ac:dyDescent="0.25">
      <c r="A869" s="631">
        <f t="shared" si="13"/>
        <v>864</v>
      </c>
      <c r="B869" s="632"/>
      <c r="C869" s="633"/>
      <c r="D869" s="634"/>
      <c r="E869" s="655"/>
      <c r="F869" s="684"/>
      <c r="G869" s="684"/>
      <c r="H869" s="635"/>
    </row>
    <row r="870" spans="1:8" ht="12.75" customHeight="1" x14ac:dyDescent="0.25">
      <c r="A870" s="631">
        <f t="shared" si="13"/>
        <v>865</v>
      </c>
      <c r="B870" s="632"/>
      <c r="C870" s="633"/>
      <c r="D870" s="634"/>
      <c r="E870" s="655"/>
      <c r="F870" s="684"/>
      <c r="G870" s="684"/>
      <c r="H870" s="635"/>
    </row>
    <row r="871" spans="1:8" ht="12.75" customHeight="1" x14ac:dyDescent="0.25">
      <c r="A871" s="631">
        <f t="shared" si="13"/>
        <v>866</v>
      </c>
      <c r="B871" s="632"/>
      <c r="C871" s="633"/>
      <c r="D871" s="634"/>
      <c r="E871" s="655"/>
      <c r="F871" s="684"/>
      <c r="G871" s="684"/>
      <c r="H871" s="635"/>
    </row>
    <row r="872" spans="1:8" ht="12.75" customHeight="1" x14ac:dyDescent="0.25">
      <c r="A872" s="631">
        <f t="shared" si="13"/>
        <v>867</v>
      </c>
      <c r="B872" s="632"/>
      <c r="C872" s="633"/>
      <c r="D872" s="634"/>
      <c r="E872" s="655"/>
      <c r="F872" s="684"/>
      <c r="G872" s="684"/>
      <c r="H872" s="635"/>
    </row>
    <row r="873" spans="1:8" ht="12.75" customHeight="1" x14ac:dyDescent="0.25">
      <c r="A873" s="631">
        <f t="shared" si="13"/>
        <v>868</v>
      </c>
      <c r="B873" s="632"/>
      <c r="C873" s="633"/>
      <c r="D873" s="634"/>
      <c r="E873" s="655"/>
      <c r="F873" s="684"/>
      <c r="G873" s="684"/>
      <c r="H873" s="635"/>
    </row>
    <row r="874" spans="1:8" ht="12.75" customHeight="1" x14ac:dyDescent="0.25">
      <c r="A874" s="631">
        <f t="shared" si="13"/>
        <v>869</v>
      </c>
      <c r="B874" s="632"/>
      <c r="C874" s="633"/>
      <c r="D874" s="634"/>
      <c r="E874" s="655"/>
      <c r="F874" s="684"/>
      <c r="G874" s="684"/>
      <c r="H874" s="635"/>
    </row>
    <row r="875" spans="1:8" ht="12.75" customHeight="1" x14ac:dyDescent="0.25">
      <c r="A875" s="631">
        <f t="shared" si="13"/>
        <v>870</v>
      </c>
      <c r="B875" s="632"/>
      <c r="C875" s="633"/>
      <c r="D875" s="634"/>
      <c r="E875" s="655"/>
      <c r="F875" s="684"/>
      <c r="G875" s="684"/>
      <c r="H875" s="635"/>
    </row>
    <row r="876" spans="1:8" ht="12.75" customHeight="1" x14ac:dyDescent="0.25">
      <c r="A876" s="631">
        <f t="shared" si="13"/>
        <v>871</v>
      </c>
      <c r="B876" s="632"/>
      <c r="C876" s="633"/>
      <c r="D876" s="634"/>
      <c r="E876" s="655"/>
      <c r="F876" s="684"/>
      <c r="G876" s="684"/>
      <c r="H876" s="635"/>
    </row>
    <row r="877" spans="1:8" ht="12.75" customHeight="1" x14ac:dyDescent="0.25">
      <c r="A877" s="631">
        <f t="shared" si="13"/>
        <v>872</v>
      </c>
      <c r="B877" s="632"/>
      <c r="C877" s="633"/>
      <c r="D877" s="634"/>
      <c r="E877" s="655"/>
      <c r="F877" s="684"/>
      <c r="G877" s="684"/>
      <c r="H877" s="635"/>
    </row>
    <row r="878" spans="1:8" ht="12.75" customHeight="1" x14ac:dyDescent="0.25">
      <c r="A878" s="631">
        <f t="shared" si="13"/>
        <v>873</v>
      </c>
      <c r="B878" s="632"/>
      <c r="C878" s="633"/>
      <c r="D878" s="634"/>
      <c r="E878" s="655"/>
      <c r="F878" s="684"/>
      <c r="G878" s="684"/>
      <c r="H878" s="635"/>
    </row>
    <row r="879" spans="1:8" ht="12.75" customHeight="1" x14ac:dyDescent="0.25">
      <c r="A879" s="631">
        <f t="shared" si="13"/>
        <v>874</v>
      </c>
      <c r="B879" s="632"/>
      <c r="C879" s="633"/>
      <c r="D879" s="634"/>
      <c r="E879" s="655"/>
      <c r="F879" s="684"/>
      <c r="G879" s="684"/>
      <c r="H879" s="635"/>
    </row>
    <row r="880" spans="1:8" ht="12.75" customHeight="1" x14ac:dyDescent="0.25">
      <c r="A880" s="631">
        <f t="shared" si="13"/>
        <v>875</v>
      </c>
      <c r="B880" s="632"/>
      <c r="C880" s="633"/>
      <c r="D880" s="634"/>
      <c r="E880" s="655"/>
      <c r="F880" s="684"/>
      <c r="G880" s="684"/>
      <c r="H880" s="635"/>
    </row>
    <row r="881" spans="1:8" ht="12.75" customHeight="1" x14ac:dyDescent="0.25">
      <c r="A881" s="631">
        <f t="shared" si="13"/>
        <v>876</v>
      </c>
      <c r="B881" s="632"/>
      <c r="C881" s="633"/>
      <c r="D881" s="634"/>
      <c r="E881" s="655"/>
      <c r="F881" s="684"/>
      <c r="G881" s="684"/>
      <c r="H881" s="635"/>
    </row>
    <row r="882" spans="1:8" ht="12.75" customHeight="1" x14ac:dyDescent="0.25">
      <c r="A882" s="631">
        <f t="shared" si="13"/>
        <v>877</v>
      </c>
      <c r="B882" s="632"/>
      <c r="C882" s="633"/>
      <c r="D882" s="634"/>
      <c r="E882" s="655"/>
      <c r="F882" s="684"/>
      <c r="G882" s="684"/>
      <c r="H882" s="635"/>
    </row>
    <row r="883" spans="1:8" ht="12.75" customHeight="1" x14ac:dyDescent="0.25">
      <c r="A883" s="631">
        <f t="shared" si="13"/>
        <v>878</v>
      </c>
      <c r="B883" s="632"/>
      <c r="C883" s="633"/>
      <c r="D883" s="634"/>
      <c r="E883" s="655"/>
      <c r="F883" s="684"/>
      <c r="G883" s="684"/>
      <c r="H883" s="635"/>
    </row>
    <row r="884" spans="1:8" ht="12.75" customHeight="1" x14ac:dyDescent="0.25">
      <c r="A884" s="631">
        <f t="shared" si="13"/>
        <v>879</v>
      </c>
      <c r="B884" s="632"/>
      <c r="C884" s="633"/>
      <c r="D884" s="634"/>
      <c r="E884" s="655"/>
      <c r="F884" s="684"/>
      <c r="G884" s="684"/>
      <c r="H884" s="635"/>
    </row>
    <row r="885" spans="1:8" ht="12.75" customHeight="1" x14ac:dyDescent="0.25">
      <c r="A885" s="631">
        <f t="shared" si="13"/>
        <v>880</v>
      </c>
      <c r="B885" s="632"/>
      <c r="C885" s="633"/>
      <c r="D885" s="634"/>
      <c r="E885" s="655"/>
      <c r="F885" s="684"/>
      <c r="G885" s="684"/>
      <c r="H885" s="635"/>
    </row>
    <row r="886" spans="1:8" ht="12.75" customHeight="1" x14ac:dyDescent="0.25">
      <c r="A886" s="631">
        <f t="shared" si="13"/>
        <v>881</v>
      </c>
      <c r="B886" s="632"/>
      <c r="C886" s="633"/>
      <c r="D886" s="634"/>
      <c r="E886" s="655"/>
      <c r="F886" s="684"/>
      <c r="G886" s="684"/>
      <c r="H886" s="635"/>
    </row>
    <row r="887" spans="1:8" ht="12.75" customHeight="1" x14ac:dyDescent="0.25">
      <c r="A887" s="631">
        <f t="shared" si="13"/>
        <v>882</v>
      </c>
      <c r="B887" s="632"/>
      <c r="C887" s="633"/>
      <c r="D887" s="634"/>
      <c r="E887" s="655"/>
      <c r="F887" s="684"/>
      <c r="G887" s="684"/>
      <c r="H887" s="635"/>
    </row>
    <row r="888" spans="1:8" ht="12.75" customHeight="1" x14ac:dyDescent="0.25">
      <c r="A888" s="631">
        <f t="shared" si="13"/>
        <v>883</v>
      </c>
      <c r="B888" s="632"/>
      <c r="C888" s="633"/>
      <c r="D888" s="634"/>
      <c r="E888" s="655"/>
      <c r="F888" s="684"/>
      <c r="G888" s="684"/>
      <c r="H888" s="635"/>
    </row>
    <row r="889" spans="1:8" ht="12.75" customHeight="1" x14ac:dyDescent="0.25">
      <c r="A889" s="631">
        <f t="shared" si="13"/>
        <v>884</v>
      </c>
      <c r="B889" s="632"/>
      <c r="C889" s="633"/>
      <c r="D889" s="634"/>
      <c r="E889" s="655"/>
      <c r="F889" s="684"/>
      <c r="G889" s="684"/>
      <c r="H889" s="635"/>
    </row>
    <row r="890" spans="1:8" ht="12.75" customHeight="1" x14ac:dyDescent="0.25">
      <c r="A890" s="631">
        <f t="shared" si="13"/>
        <v>885</v>
      </c>
      <c r="B890" s="632"/>
      <c r="C890" s="633"/>
      <c r="D890" s="634"/>
      <c r="E890" s="655"/>
      <c r="F890" s="684"/>
      <c r="G890" s="684"/>
      <c r="H890" s="635"/>
    </row>
    <row r="891" spans="1:8" ht="12.75" customHeight="1" x14ac:dyDescent="0.25">
      <c r="A891" s="631">
        <f t="shared" si="13"/>
        <v>886</v>
      </c>
      <c r="B891" s="632"/>
      <c r="C891" s="633"/>
      <c r="D891" s="634"/>
      <c r="E891" s="655"/>
      <c r="F891" s="684"/>
      <c r="G891" s="684"/>
      <c r="H891" s="635"/>
    </row>
    <row r="892" spans="1:8" ht="12.75" customHeight="1" x14ac:dyDescent="0.25">
      <c r="A892" s="631">
        <f t="shared" si="13"/>
        <v>887</v>
      </c>
      <c r="B892" s="632"/>
      <c r="C892" s="633"/>
      <c r="D892" s="634"/>
      <c r="E892" s="655"/>
      <c r="F892" s="684"/>
      <c r="G892" s="684"/>
      <c r="H892" s="635"/>
    </row>
    <row r="893" spans="1:8" ht="12.75" customHeight="1" x14ac:dyDescent="0.25">
      <c r="A893" s="631">
        <f t="shared" si="13"/>
        <v>888</v>
      </c>
      <c r="B893" s="632"/>
      <c r="C893" s="633"/>
      <c r="D893" s="634"/>
      <c r="E893" s="655"/>
      <c r="F893" s="684"/>
      <c r="G893" s="684"/>
      <c r="H893" s="635"/>
    </row>
    <row r="894" spans="1:8" ht="12.75" customHeight="1" x14ac:dyDescent="0.25">
      <c r="A894" s="631">
        <f t="shared" si="13"/>
        <v>889</v>
      </c>
      <c r="B894" s="632"/>
      <c r="C894" s="633"/>
      <c r="D894" s="634"/>
      <c r="E894" s="655"/>
      <c r="F894" s="684"/>
      <c r="G894" s="684"/>
      <c r="H894" s="635"/>
    </row>
    <row r="895" spans="1:8" ht="12.75" customHeight="1" x14ac:dyDescent="0.25">
      <c r="A895" s="631">
        <f t="shared" si="13"/>
        <v>890</v>
      </c>
      <c r="B895" s="632"/>
      <c r="C895" s="633"/>
      <c r="D895" s="634"/>
      <c r="E895" s="655"/>
      <c r="F895" s="684"/>
      <c r="G895" s="684"/>
      <c r="H895" s="635"/>
    </row>
    <row r="896" spans="1:8" ht="12.75" customHeight="1" x14ac:dyDescent="0.25">
      <c r="A896" s="631">
        <f t="shared" si="13"/>
        <v>891</v>
      </c>
      <c r="B896" s="632"/>
      <c r="C896" s="633"/>
      <c r="D896" s="634"/>
      <c r="E896" s="655"/>
      <c r="F896" s="684"/>
      <c r="G896" s="684"/>
      <c r="H896" s="635"/>
    </row>
    <row r="897" spans="1:8" ht="12.75" customHeight="1" x14ac:dyDescent="0.25">
      <c r="A897" s="631">
        <f t="shared" ref="A897:A960" si="14">ROW()-5</f>
        <v>892</v>
      </c>
      <c r="B897" s="632"/>
      <c r="C897" s="633"/>
      <c r="D897" s="634"/>
      <c r="E897" s="655"/>
      <c r="F897" s="684"/>
      <c r="G897" s="684"/>
      <c r="H897" s="635"/>
    </row>
    <row r="898" spans="1:8" ht="12.75" customHeight="1" x14ac:dyDescent="0.25">
      <c r="A898" s="631">
        <f t="shared" si="14"/>
        <v>893</v>
      </c>
      <c r="B898" s="632"/>
      <c r="C898" s="633"/>
      <c r="D898" s="634"/>
      <c r="E898" s="655"/>
      <c r="F898" s="684"/>
      <c r="G898" s="684"/>
      <c r="H898" s="635"/>
    </row>
    <row r="899" spans="1:8" ht="12.75" customHeight="1" x14ac:dyDescent="0.25">
      <c r="A899" s="631">
        <f t="shared" si="14"/>
        <v>894</v>
      </c>
      <c r="B899" s="632"/>
      <c r="C899" s="633"/>
      <c r="D899" s="634"/>
      <c r="E899" s="655"/>
      <c r="F899" s="684"/>
      <c r="G899" s="684"/>
      <c r="H899" s="635"/>
    </row>
    <row r="900" spans="1:8" ht="12.75" customHeight="1" x14ac:dyDescent="0.25">
      <c r="A900" s="631">
        <f t="shared" si="14"/>
        <v>895</v>
      </c>
      <c r="B900" s="632"/>
      <c r="C900" s="633"/>
      <c r="D900" s="634"/>
      <c r="E900" s="655"/>
      <c r="F900" s="684"/>
      <c r="G900" s="684"/>
      <c r="H900" s="635"/>
    </row>
    <row r="901" spans="1:8" ht="12.75" customHeight="1" x14ac:dyDescent="0.25">
      <c r="A901" s="631">
        <f t="shared" si="14"/>
        <v>896</v>
      </c>
      <c r="B901" s="632"/>
      <c r="C901" s="633"/>
      <c r="D901" s="634"/>
      <c r="E901" s="655"/>
      <c r="F901" s="684"/>
      <c r="G901" s="684"/>
      <c r="H901" s="635"/>
    </row>
    <row r="902" spans="1:8" ht="12.75" customHeight="1" x14ac:dyDescent="0.25">
      <c r="A902" s="631">
        <f t="shared" si="14"/>
        <v>897</v>
      </c>
      <c r="B902" s="632"/>
      <c r="C902" s="633"/>
      <c r="D902" s="634"/>
      <c r="E902" s="655"/>
      <c r="F902" s="684"/>
      <c r="G902" s="684"/>
      <c r="H902" s="635"/>
    </row>
    <row r="903" spans="1:8" ht="12.75" customHeight="1" x14ac:dyDescent="0.25">
      <c r="A903" s="631">
        <f t="shared" si="14"/>
        <v>898</v>
      </c>
      <c r="B903" s="632"/>
      <c r="C903" s="633"/>
      <c r="D903" s="634"/>
      <c r="E903" s="655"/>
      <c r="F903" s="684"/>
      <c r="G903" s="684"/>
      <c r="H903" s="635"/>
    </row>
    <row r="904" spans="1:8" ht="12.75" customHeight="1" x14ac:dyDescent="0.25">
      <c r="A904" s="631">
        <f t="shared" si="14"/>
        <v>899</v>
      </c>
      <c r="B904" s="632"/>
      <c r="C904" s="633"/>
      <c r="D904" s="634"/>
      <c r="E904" s="655"/>
      <c r="F904" s="684"/>
      <c r="G904" s="684"/>
      <c r="H904" s="635"/>
    </row>
    <row r="905" spans="1:8" ht="12.75" customHeight="1" x14ac:dyDescent="0.25">
      <c r="A905" s="631">
        <f t="shared" si="14"/>
        <v>900</v>
      </c>
      <c r="B905" s="632"/>
      <c r="C905" s="633"/>
      <c r="D905" s="634"/>
      <c r="E905" s="655"/>
      <c r="F905" s="684"/>
      <c r="G905" s="684"/>
      <c r="H905" s="635"/>
    </row>
    <row r="906" spans="1:8" ht="12.75" customHeight="1" x14ac:dyDescent="0.25">
      <c r="A906" s="631">
        <f t="shared" si="14"/>
        <v>901</v>
      </c>
      <c r="B906" s="632"/>
      <c r="C906" s="633"/>
      <c r="D906" s="634"/>
      <c r="E906" s="655"/>
      <c r="F906" s="684"/>
      <c r="G906" s="684"/>
      <c r="H906" s="635"/>
    </row>
    <row r="907" spans="1:8" ht="12.75" customHeight="1" x14ac:dyDescent="0.25">
      <c r="A907" s="631">
        <f t="shared" si="14"/>
        <v>902</v>
      </c>
      <c r="B907" s="632"/>
      <c r="C907" s="633"/>
      <c r="D907" s="634"/>
      <c r="E907" s="655"/>
      <c r="F907" s="684"/>
      <c r="G907" s="684"/>
      <c r="H907" s="635"/>
    </row>
    <row r="908" spans="1:8" ht="12.75" customHeight="1" x14ac:dyDescent="0.25">
      <c r="A908" s="631">
        <f t="shared" si="14"/>
        <v>903</v>
      </c>
      <c r="B908" s="632"/>
      <c r="C908" s="633"/>
      <c r="D908" s="634"/>
      <c r="E908" s="655"/>
      <c r="F908" s="684"/>
      <c r="G908" s="684"/>
      <c r="H908" s="635"/>
    </row>
    <row r="909" spans="1:8" ht="12.75" customHeight="1" x14ac:dyDescent="0.25">
      <c r="A909" s="631">
        <f t="shared" si="14"/>
        <v>904</v>
      </c>
      <c r="B909" s="632"/>
      <c r="C909" s="633"/>
      <c r="D909" s="634"/>
      <c r="E909" s="655"/>
      <c r="F909" s="684"/>
      <c r="G909" s="684"/>
      <c r="H909" s="635"/>
    </row>
    <row r="910" spans="1:8" ht="12.75" customHeight="1" x14ac:dyDescent="0.25">
      <c r="A910" s="631">
        <f t="shared" si="14"/>
        <v>905</v>
      </c>
      <c r="B910" s="632"/>
      <c r="C910" s="633"/>
      <c r="D910" s="634"/>
      <c r="E910" s="655"/>
      <c r="F910" s="684"/>
      <c r="G910" s="684"/>
      <c r="H910" s="635"/>
    </row>
    <row r="911" spans="1:8" ht="12.75" customHeight="1" x14ac:dyDescent="0.25">
      <c r="A911" s="631">
        <f t="shared" si="14"/>
        <v>906</v>
      </c>
      <c r="B911" s="632"/>
      <c r="C911" s="633"/>
      <c r="D911" s="634"/>
      <c r="E911" s="655"/>
      <c r="F911" s="684"/>
      <c r="G911" s="684"/>
      <c r="H911" s="635"/>
    </row>
    <row r="912" spans="1:8" ht="12.75" customHeight="1" x14ac:dyDescent="0.25">
      <c r="A912" s="631">
        <f t="shared" si="14"/>
        <v>907</v>
      </c>
      <c r="B912" s="632"/>
      <c r="C912" s="633"/>
      <c r="D912" s="634"/>
      <c r="E912" s="655"/>
      <c r="F912" s="684"/>
      <c r="G912" s="684"/>
      <c r="H912" s="635"/>
    </row>
    <row r="913" spans="1:8" ht="12.75" customHeight="1" x14ac:dyDescent="0.25">
      <c r="A913" s="631">
        <f t="shared" si="14"/>
        <v>908</v>
      </c>
      <c r="B913" s="632"/>
      <c r="C913" s="633"/>
      <c r="D913" s="634"/>
      <c r="E913" s="655"/>
      <c r="F913" s="684"/>
      <c r="G913" s="684"/>
      <c r="H913" s="635"/>
    </row>
    <row r="914" spans="1:8" ht="12.75" customHeight="1" x14ac:dyDescent="0.25">
      <c r="A914" s="631">
        <f t="shared" si="14"/>
        <v>909</v>
      </c>
      <c r="B914" s="632"/>
      <c r="C914" s="633"/>
      <c r="D914" s="634"/>
      <c r="E914" s="655"/>
      <c r="F914" s="684"/>
      <c r="G914" s="684"/>
      <c r="H914" s="635"/>
    </row>
    <row r="915" spans="1:8" ht="12.75" customHeight="1" x14ac:dyDescent="0.25">
      <c r="A915" s="631">
        <f t="shared" si="14"/>
        <v>910</v>
      </c>
      <c r="B915" s="632"/>
      <c r="C915" s="633"/>
      <c r="D915" s="634"/>
      <c r="E915" s="655"/>
      <c r="F915" s="684"/>
      <c r="G915" s="684"/>
      <c r="H915" s="635"/>
    </row>
    <row r="916" spans="1:8" ht="12.75" customHeight="1" x14ac:dyDescent="0.25">
      <c r="A916" s="631">
        <f t="shared" si="14"/>
        <v>911</v>
      </c>
      <c r="B916" s="632"/>
      <c r="C916" s="633"/>
      <c r="D916" s="634"/>
      <c r="E916" s="655"/>
      <c r="F916" s="684"/>
      <c r="G916" s="684"/>
      <c r="H916" s="635"/>
    </row>
    <row r="917" spans="1:8" ht="12.75" customHeight="1" x14ac:dyDescent="0.25">
      <c r="A917" s="631">
        <f t="shared" si="14"/>
        <v>912</v>
      </c>
      <c r="B917" s="632"/>
      <c r="C917" s="633"/>
      <c r="D917" s="634"/>
      <c r="E917" s="655"/>
      <c r="F917" s="684"/>
      <c r="G917" s="684"/>
      <c r="H917" s="635"/>
    </row>
    <row r="918" spans="1:8" ht="12.75" customHeight="1" x14ac:dyDescent="0.25">
      <c r="A918" s="631">
        <f t="shared" si="14"/>
        <v>913</v>
      </c>
      <c r="B918" s="632"/>
      <c r="C918" s="633"/>
      <c r="D918" s="634"/>
      <c r="E918" s="655"/>
      <c r="F918" s="684"/>
      <c r="G918" s="684"/>
      <c r="H918" s="635"/>
    </row>
    <row r="919" spans="1:8" ht="12.75" customHeight="1" x14ac:dyDescent="0.25">
      <c r="A919" s="631">
        <f t="shared" si="14"/>
        <v>914</v>
      </c>
      <c r="B919" s="632"/>
      <c r="C919" s="633"/>
      <c r="D919" s="634"/>
      <c r="E919" s="655"/>
      <c r="F919" s="684"/>
      <c r="G919" s="684"/>
      <c r="H919" s="635"/>
    </row>
    <row r="920" spans="1:8" ht="12.75" customHeight="1" x14ac:dyDescent="0.25">
      <c r="A920" s="631">
        <f t="shared" si="14"/>
        <v>915</v>
      </c>
      <c r="B920" s="632"/>
      <c r="C920" s="633"/>
      <c r="D920" s="634"/>
      <c r="E920" s="655"/>
      <c r="F920" s="684"/>
      <c r="G920" s="684"/>
      <c r="H920" s="635"/>
    </row>
    <row r="921" spans="1:8" ht="12.75" customHeight="1" x14ac:dyDescent="0.25">
      <c r="A921" s="631">
        <f t="shared" si="14"/>
        <v>916</v>
      </c>
      <c r="B921" s="632"/>
      <c r="C921" s="633"/>
      <c r="D921" s="634"/>
      <c r="E921" s="655"/>
      <c r="F921" s="684"/>
      <c r="G921" s="684"/>
      <c r="H921" s="635"/>
    </row>
    <row r="922" spans="1:8" ht="12.75" customHeight="1" x14ac:dyDescent="0.25">
      <c r="A922" s="631">
        <f t="shared" si="14"/>
        <v>917</v>
      </c>
      <c r="B922" s="632"/>
      <c r="C922" s="633"/>
      <c r="D922" s="634"/>
      <c r="E922" s="655"/>
      <c r="F922" s="684"/>
      <c r="G922" s="684"/>
      <c r="H922" s="635"/>
    </row>
    <row r="923" spans="1:8" ht="12.75" customHeight="1" x14ac:dyDescent="0.25">
      <c r="A923" s="631">
        <f t="shared" si="14"/>
        <v>918</v>
      </c>
      <c r="B923" s="632"/>
      <c r="C923" s="633"/>
      <c r="D923" s="634"/>
      <c r="E923" s="655"/>
      <c r="F923" s="684"/>
      <c r="G923" s="684"/>
      <c r="H923" s="635"/>
    </row>
    <row r="924" spans="1:8" ht="12.75" customHeight="1" x14ac:dyDescent="0.25">
      <c r="A924" s="631">
        <f t="shared" si="14"/>
        <v>919</v>
      </c>
      <c r="B924" s="632"/>
      <c r="C924" s="633"/>
      <c r="D924" s="634"/>
      <c r="E924" s="655"/>
      <c r="F924" s="684"/>
      <c r="G924" s="684"/>
      <c r="H924" s="635"/>
    </row>
    <row r="925" spans="1:8" ht="12.75" customHeight="1" x14ac:dyDescent="0.25">
      <c r="A925" s="631">
        <f t="shared" si="14"/>
        <v>920</v>
      </c>
      <c r="B925" s="632"/>
      <c r="C925" s="633"/>
      <c r="D925" s="634"/>
      <c r="E925" s="655"/>
      <c r="F925" s="684"/>
      <c r="G925" s="684"/>
      <c r="H925" s="635"/>
    </row>
    <row r="926" spans="1:8" ht="12.75" customHeight="1" x14ac:dyDescent="0.25">
      <c r="A926" s="631">
        <f t="shared" si="14"/>
        <v>921</v>
      </c>
      <c r="B926" s="632"/>
      <c r="C926" s="633"/>
      <c r="D926" s="634"/>
      <c r="E926" s="655"/>
      <c r="F926" s="684"/>
      <c r="G926" s="684"/>
      <c r="H926" s="635"/>
    </row>
    <row r="927" spans="1:8" ht="12.75" customHeight="1" x14ac:dyDescent="0.25">
      <c r="A927" s="631">
        <f t="shared" si="14"/>
        <v>922</v>
      </c>
      <c r="B927" s="632"/>
      <c r="C927" s="633"/>
      <c r="D927" s="634"/>
      <c r="E927" s="655"/>
      <c r="F927" s="684"/>
      <c r="G927" s="684"/>
      <c r="H927" s="635"/>
    </row>
    <row r="928" spans="1:8" ht="12.75" customHeight="1" x14ac:dyDescent="0.25">
      <c r="A928" s="631">
        <f t="shared" si="14"/>
        <v>923</v>
      </c>
      <c r="B928" s="632"/>
      <c r="C928" s="633"/>
      <c r="D928" s="634"/>
      <c r="E928" s="655"/>
      <c r="F928" s="684"/>
      <c r="G928" s="684"/>
      <c r="H928" s="635"/>
    </row>
    <row r="929" spans="1:8" ht="12.75" customHeight="1" x14ac:dyDescent="0.25">
      <c r="A929" s="631">
        <f t="shared" si="14"/>
        <v>924</v>
      </c>
      <c r="B929" s="632"/>
      <c r="C929" s="633"/>
      <c r="D929" s="634"/>
      <c r="E929" s="655"/>
      <c r="F929" s="684"/>
      <c r="G929" s="684"/>
      <c r="H929" s="635"/>
    </row>
    <row r="930" spans="1:8" ht="12.75" customHeight="1" x14ac:dyDescent="0.25">
      <c r="A930" s="631">
        <f t="shared" si="14"/>
        <v>925</v>
      </c>
      <c r="B930" s="632"/>
      <c r="C930" s="633"/>
      <c r="D930" s="634"/>
      <c r="E930" s="655"/>
      <c r="F930" s="684"/>
      <c r="G930" s="684"/>
      <c r="H930" s="635"/>
    </row>
    <row r="931" spans="1:8" ht="12.75" customHeight="1" x14ac:dyDescent="0.25">
      <c r="A931" s="631">
        <f t="shared" si="14"/>
        <v>926</v>
      </c>
      <c r="B931" s="632"/>
      <c r="C931" s="633"/>
      <c r="D931" s="634"/>
      <c r="E931" s="655"/>
      <c r="F931" s="684"/>
      <c r="G931" s="684"/>
      <c r="H931" s="635"/>
    </row>
    <row r="932" spans="1:8" ht="12.75" customHeight="1" x14ac:dyDescent="0.25">
      <c r="A932" s="631">
        <f t="shared" si="14"/>
        <v>927</v>
      </c>
      <c r="B932" s="632"/>
      <c r="C932" s="633"/>
      <c r="D932" s="634"/>
      <c r="E932" s="655"/>
      <c r="F932" s="684"/>
      <c r="G932" s="684"/>
      <c r="H932" s="635"/>
    </row>
    <row r="933" spans="1:8" ht="12.75" customHeight="1" x14ac:dyDescent="0.25">
      <c r="A933" s="631">
        <f t="shared" si="14"/>
        <v>928</v>
      </c>
      <c r="B933" s="632"/>
      <c r="C933" s="633"/>
      <c r="D933" s="634"/>
      <c r="E933" s="655"/>
      <c r="F933" s="684"/>
      <c r="G933" s="684"/>
      <c r="H933" s="635"/>
    </row>
    <row r="934" spans="1:8" ht="12.75" customHeight="1" x14ac:dyDescent="0.25">
      <c r="A934" s="631">
        <f t="shared" si="14"/>
        <v>929</v>
      </c>
      <c r="B934" s="632"/>
      <c r="C934" s="633"/>
      <c r="D934" s="634"/>
      <c r="E934" s="655"/>
      <c r="F934" s="684"/>
      <c r="G934" s="684"/>
      <c r="H934" s="635"/>
    </row>
    <row r="935" spans="1:8" ht="12.75" customHeight="1" x14ac:dyDescent="0.25">
      <c r="A935" s="631">
        <f t="shared" si="14"/>
        <v>930</v>
      </c>
      <c r="B935" s="632"/>
      <c r="C935" s="633"/>
      <c r="D935" s="634"/>
      <c r="E935" s="655"/>
      <c r="F935" s="684"/>
      <c r="G935" s="684"/>
      <c r="H935" s="635"/>
    </row>
    <row r="936" spans="1:8" ht="12.75" customHeight="1" x14ac:dyDescent="0.25">
      <c r="A936" s="631">
        <f t="shared" si="14"/>
        <v>931</v>
      </c>
      <c r="B936" s="632"/>
      <c r="C936" s="633"/>
      <c r="D936" s="634"/>
      <c r="E936" s="655"/>
      <c r="F936" s="684"/>
      <c r="G936" s="684"/>
      <c r="H936" s="635"/>
    </row>
    <row r="937" spans="1:8" ht="12.75" customHeight="1" x14ac:dyDescent="0.25">
      <c r="A937" s="631">
        <f t="shared" si="14"/>
        <v>932</v>
      </c>
      <c r="B937" s="632"/>
      <c r="C937" s="633"/>
      <c r="D937" s="634"/>
      <c r="E937" s="655"/>
      <c r="F937" s="684"/>
      <c r="G937" s="684"/>
      <c r="H937" s="635"/>
    </row>
    <row r="938" spans="1:8" ht="12.75" customHeight="1" x14ac:dyDescent="0.25">
      <c r="A938" s="631">
        <f t="shared" si="14"/>
        <v>933</v>
      </c>
      <c r="B938" s="632"/>
      <c r="C938" s="633"/>
      <c r="D938" s="634"/>
      <c r="E938" s="655"/>
      <c r="F938" s="684"/>
      <c r="G938" s="684"/>
      <c r="H938" s="635"/>
    </row>
    <row r="939" spans="1:8" ht="12.75" customHeight="1" x14ac:dyDescent="0.25">
      <c r="A939" s="631">
        <f t="shared" si="14"/>
        <v>934</v>
      </c>
      <c r="B939" s="632"/>
      <c r="C939" s="633"/>
      <c r="D939" s="634"/>
      <c r="E939" s="655"/>
      <c r="F939" s="684"/>
      <c r="G939" s="684"/>
      <c r="H939" s="635"/>
    </row>
    <row r="940" spans="1:8" ht="12.75" customHeight="1" x14ac:dyDescent="0.25">
      <c r="A940" s="631">
        <f t="shared" si="14"/>
        <v>935</v>
      </c>
      <c r="B940" s="632"/>
      <c r="C940" s="633"/>
      <c r="D940" s="634"/>
      <c r="E940" s="655"/>
      <c r="F940" s="684"/>
      <c r="G940" s="684"/>
      <c r="H940" s="635"/>
    </row>
    <row r="941" spans="1:8" ht="12.75" customHeight="1" x14ac:dyDescent="0.25">
      <c r="A941" s="631">
        <f t="shared" si="14"/>
        <v>936</v>
      </c>
      <c r="B941" s="632"/>
      <c r="C941" s="633"/>
      <c r="D941" s="634"/>
      <c r="E941" s="655"/>
      <c r="F941" s="684"/>
      <c r="G941" s="684"/>
      <c r="H941" s="635"/>
    </row>
    <row r="942" spans="1:8" ht="12.75" customHeight="1" x14ac:dyDescent="0.25">
      <c r="A942" s="631">
        <f t="shared" si="14"/>
        <v>937</v>
      </c>
      <c r="B942" s="632"/>
      <c r="C942" s="633"/>
      <c r="D942" s="634"/>
      <c r="E942" s="655"/>
      <c r="F942" s="684"/>
      <c r="G942" s="684"/>
      <c r="H942" s="635"/>
    </row>
    <row r="943" spans="1:8" ht="12.75" customHeight="1" x14ac:dyDescent="0.25">
      <c r="A943" s="631">
        <f t="shared" si="14"/>
        <v>938</v>
      </c>
      <c r="B943" s="632"/>
      <c r="C943" s="633"/>
      <c r="D943" s="634"/>
      <c r="E943" s="655"/>
      <c r="F943" s="684"/>
      <c r="G943" s="684"/>
      <c r="H943" s="635"/>
    </row>
    <row r="944" spans="1:8" ht="12.75" customHeight="1" x14ac:dyDescent="0.25">
      <c r="A944" s="631">
        <f t="shared" si="14"/>
        <v>939</v>
      </c>
      <c r="B944" s="632"/>
      <c r="C944" s="633"/>
      <c r="D944" s="634"/>
      <c r="E944" s="655"/>
      <c r="F944" s="684"/>
      <c r="G944" s="684"/>
      <c r="H944" s="635"/>
    </row>
    <row r="945" spans="1:8" ht="12.75" customHeight="1" x14ac:dyDescent="0.25">
      <c r="A945" s="631">
        <f t="shared" si="14"/>
        <v>940</v>
      </c>
      <c r="B945" s="632"/>
      <c r="C945" s="633"/>
      <c r="D945" s="634"/>
      <c r="E945" s="655"/>
      <c r="F945" s="684"/>
      <c r="G945" s="684"/>
      <c r="H945" s="635"/>
    </row>
    <row r="946" spans="1:8" ht="12.75" customHeight="1" x14ac:dyDescent="0.25">
      <c r="A946" s="631">
        <f t="shared" si="14"/>
        <v>941</v>
      </c>
      <c r="B946" s="632"/>
      <c r="C946" s="633"/>
      <c r="D946" s="634"/>
      <c r="E946" s="655"/>
      <c r="F946" s="684"/>
      <c r="G946" s="684"/>
      <c r="H946" s="635"/>
    </row>
    <row r="947" spans="1:8" ht="12.75" customHeight="1" x14ac:dyDescent="0.25">
      <c r="A947" s="631">
        <f t="shared" si="14"/>
        <v>942</v>
      </c>
      <c r="B947" s="632"/>
      <c r="C947" s="633"/>
      <c r="D947" s="634"/>
      <c r="E947" s="655"/>
      <c r="F947" s="684"/>
      <c r="G947" s="684"/>
      <c r="H947" s="635"/>
    </row>
    <row r="948" spans="1:8" ht="12.75" customHeight="1" x14ac:dyDescent="0.25">
      <c r="A948" s="631">
        <f t="shared" si="14"/>
        <v>943</v>
      </c>
      <c r="B948" s="632"/>
      <c r="C948" s="633"/>
      <c r="D948" s="634"/>
      <c r="E948" s="655"/>
      <c r="F948" s="684"/>
      <c r="G948" s="684"/>
      <c r="H948" s="635"/>
    </row>
    <row r="949" spans="1:8" ht="12.75" customHeight="1" x14ac:dyDescent="0.25">
      <c r="A949" s="631">
        <f t="shared" si="14"/>
        <v>944</v>
      </c>
      <c r="B949" s="632"/>
      <c r="C949" s="633"/>
      <c r="D949" s="634"/>
      <c r="E949" s="655"/>
      <c r="F949" s="684"/>
      <c r="G949" s="684"/>
      <c r="H949" s="635"/>
    </row>
    <row r="950" spans="1:8" ht="12.75" customHeight="1" x14ac:dyDescent="0.25">
      <c r="A950" s="631">
        <f t="shared" si="14"/>
        <v>945</v>
      </c>
      <c r="B950" s="632"/>
      <c r="C950" s="633"/>
      <c r="D950" s="634"/>
      <c r="E950" s="655"/>
      <c r="F950" s="684"/>
      <c r="G950" s="684"/>
      <c r="H950" s="635"/>
    </row>
    <row r="951" spans="1:8" ht="12.75" customHeight="1" x14ac:dyDescent="0.25">
      <c r="A951" s="631">
        <f t="shared" si="14"/>
        <v>946</v>
      </c>
      <c r="B951" s="632"/>
      <c r="C951" s="633"/>
      <c r="D951" s="634"/>
      <c r="E951" s="655"/>
      <c r="F951" s="684"/>
      <c r="G951" s="684"/>
      <c r="H951" s="635"/>
    </row>
    <row r="952" spans="1:8" ht="12.75" customHeight="1" x14ac:dyDescent="0.25">
      <c r="A952" s="631">
        <f t="shared" si="14"/>
        <v>947</v>
      </c>
      <c r="B952" s="632"/>
      <c r="C952" s="633"/>
      <c r="D952" s="634"/>
      <c r="E952" s="655"/>
      <c r="F952" s="684"/>
      <c r="G952" s="684"/>
      <c r="H952" s="635"/>
    </row>
    <row r="953" spans="1:8" ht="12.75" customHeight="1" x14ac:dyDescent="0.25">
      <c r="A953" s="631">
        <f t="shared" si="14"/>
        <v>948</v>
      </c>
      <c r="B953" s="632"/>
      <c r="C953" s="633"/>
      <c r="D953" s="634"/>
      <c r="E953" s="655"/>
      <c r="F953" s="684"/>
      <c r="G953" s="684"/>
      <c r="H953" s="635"/>
    </row>
    <row r="954" spans="1:8" ht="12.75" customHeight="1" x14ac:dyDescent="0.25">
      <c r="A954" s="631">
        <f t="shared" si="14"/>
        <v>949</v>
      </c>
      <c r="B954" s="632"/>
      <c r="C954" s="633"/>
      <c r="D954" s="634"/>
      <c r="E954" s="655"/>
      <c r="F954" s="684"/>
      <c r="G954" s="684"/>
      <c r="H954" s="635"/>
    </row>
    <row r="955" spans="1:8" ht="12.75" customHeight="1" x14ac:dyDescent="0.25">
      <c r="A955" s="631">
        <f t="shared" si="14"/>
        <v>950</v>
      </c>
      <c r="B955" s="632"/>
      <c r="C955" s="633"/>
      <c r="D955" s="634"/>
      <c r="E955" s="655"/>
      <c r="F955" s="684"/>
      <c r="G955" s="684"/>
      <c r="H955" s="635"/>
    </row>
    <row r="956" spans="1:8" ht="12.75" customHeight="1" x14ac:dyDescent="0.25">
      <c r="A956" s="631">
        <f t="shared" si="14"/>
        <v>951</v>
      </c>
      <c r="B956" s="632"/>
      <c r="C956" s="633"/>
      <c r="D956" s="634"/>
      <c r="E956" s="655"/>
      <c r="F956" s="684"/>
      <c r="G956" s="684"/>
      <c r="H956" s="635"/>
    </row>
    <row r="957" spans="1:8" ht="12.75" customHeight="1" x14ac:dyDescent="0.25">
      <c r="A957" s="631">
        <f t="shared" si="14"/>
        <v>952</v>
      </c>
      <c r="B957" s="632"/>
      <c r="C957" s="633"/>
      <c r="D957" s="634"/>
      <c r="E957" s="655"/>
      <c r="F957" s="684"/>
      <c r="G957" s="684"/>
      <c r="H957" s="635"/>
    </row>
    <row r="958" spans="1:8" ht="12.75" customHeight="1" x14ac:dyDescent="0.25">
      <c r="A958" s="631">
        <f t="shared" si="14"/>
        <v>953</v>
      </c>
      <c r="B958" s="632"/>
      <c r="C958" s="633"/>
      <c r="D958" s="634"/>
      <c r="E958" s="655"/>
      <c r="F958" s="684"/>
      <c r="G958" s="684"/>
      <c r="H958" s="635"/>
    </row>
    <row r="959" spans="1:8" ht="12.75" customHeight="1" x14ac:dyDescent="0.25">
      <c r="A959" s="631">
        <f t="shared" si="14"/>
        <v>954</v>
      </c>
      <c r="B959" s="632"/>
      <c r="C959" s="633"/>
      <c r="D959" s="634"/>
      <c r="E959" s="655"/>
      <c r="F959" s="684"/>
      <c r="G959" s="684"/>
      <c r="H959" s="635"/>
    </row>
    <row r="960" spans="1:8" ht="12.75" customHeight="1" x14ac:dyDescent="0.25">
      <c r="A960" s="631">
        <f t="shared" si="14"/>
        <v>955</v>
      </c>
      <c r="B960" s="632"/>
      <c r="C960" s="633"/>
      <c r="D960" s="634"/>
      <c r="E960" s="655"/>
      <c r="F960" s="684"/>
      <c r="G960" s="684"/>
      <c r="H960" s="635"/>
    </row>
    <row r="961" spans="1:8" ht="12.75" customHeight="1" x14ac:dyDescent="0.25">
      <c r="A961" s="631">
        <f t="shared" ref="A961:A1024" si="15">ROW()-5</f>
        <v>956</v>
      </c>
      <c r="B961" s="632"/>
      <c r="C961" s="633"/>
      <c r="D961" s="634"/>
      <c r="E961" s="655"/>
      <c r="F961" s="684"/>
      <c r="G961" s="684"/>
      <c r="H961" s="635"/>
    </row>
    <row r="962" spans="1:8" ht="12.75" customHeight="1" x14ac:dyDescent="0.25">
      <c r="A962" s="631">
        <f t="shared" si="15"/>
        <v>957</v>
      </c>
      <c r="B962" s="632"/>
      <c r="C962" s="633"/>
      <c r="D962" s="634"/>
      <c r="E962" s="655"/>
      <c r="F962" s="684"/>
      <c r="G962" s="684"/>
      <c r="H962" s="635"/>
    </row>
    <row r="963" spans="1:8" ht="12.75" customHeight="1" x14ac:dyDescent="0.25">
      <c r="A963" s="631">
        <f t="shared" si="15"/>
        <v>958</v>
      </c>
      <c r="B963" s="632"/>
      <c r="C963" s="633"/>
      <c r="D963" s="634"/>
      <c r="E963" s="655"/>
      <c r="F963" s="684"/>
      <c r="G963" s="684"/>
      <c r="H963" s="635"/>
    </row>
    <row r="964" spans="1:8" ht="12.75" customHeight="1" x14ac:dyDescent="0.25">
      <c r="A964" s="631">
        <f t="shared" si="15"/>
        <v>959</v>
      </c>
      <c r="B964" s="632"/>
      <c r="C964" s="633"/>
      <c r="D964" s="634"/>
      <c r="E964" s="655"/>
      <c r="F964" s="684"/>
      <c r="G964" s="684"/>
      <c r="H964" s="635"/>
    </row>
    <row r="965" spans="1:8" ht="12.75" customHeight="1" x14ac:dyDescent="0.25">
      <c r="A965" s="631">
        <f t="shared" si="15"/>
        <v>960</v>
      </c>
      <c r="B965" s="632"/>
      <c r="C965" s="633"/>
      <c r="D965" s="634"/>
      <c r="E965" s="655"/>
      <c r="F965" s="684"/>
      <c r="G965" s="684"/>
      <c r="H965" s="635"/>
    </row>
    <row r="966" spans="1:8" ht="12.75" customHeight="1" x14ac:dyDescent="0.25">
      <c r="A966" s="631">
        <f t="shared" si="15"/>
        <v>961</v>
      </c>
      <c r="B966" s="632"/>
      <c r="C966" s="633"/>
      <c r="D966" s="634"/>
      <c r="E966" s="655"/>
      <c r="F966" s="684"/>
      <c r="G966" s="684"/>
      <c r="H966" s="635"/>
    </row>
    <row r="967" spans="1:8" ht="12.75" customHeight="1" x14ac:dyDescent="0.25">
      <c r="A967" s="631">
        <f t="shared" si="15"/>
        <v>962</v>
      </c>
      <c r="B967" s="632"/>
      <c r="C967" s="633"/>
      <c r="D967" s="634"/>
      <c r="E967" s="655"/>
      <c r="F967" s="684"/>
      <c r="G967" s="684"/>
      <c r="H967" s="635"/>
    </row>
    <row r="968" spans="1:8" ht="12.75" customHeight="1" x14ac:dyDescent="0.25">
      <c r="A968" s="631">
        <f t="shared" si="15"/>
        <v>963</v>
      </c>
      <c r="B968" s="632"/>
      <c r="C968" s="633"/>
      <c r="D968" s="634"/>
      <c r="E968" s="655"/>
      <c r="F968" s="684"/>
      <c r="G968" s="684"/>
      <c r="H968" s="635"/>
    </row>
    <row r="969" spans="1:8" ht="12.75" customHeight="1" x14ac:dyDescent="0.25">
      <c r="A969" s="631">
        <f t="shared" si="15"/>
        <v>964</v>
      </c>
      <c r="B969" s="632"/>
      <c r="C969" s="633"/>
      <c r="D969" s="634"/>
      <c r="E969" s="655"/>
      <c r="F969" s="684"/>
      <c r="G969" s="684"/>
      <c r="H969" s="635"/>
    </row>
    <row r="970" spans="1:8" ht="12.75" customHeight="1" x14ac:dyDescent="0.25">
      <c r="A970" s="631">
        <f t="shared" si="15"/>
        <v>965</v>
      </c>
      <c r="B970" s="632"/>
      <c r="C970" s="633"/>
      <c r="D970" s="634"/>
      <c r="E970" s="655"/>
      <c r="F970" s="684"/>
      <c r="G970" s="684"/>
      <c r="H970" s="635"/>
    </row>
    <row r="971" spans="1:8" ht="12.75" customHeight="1" x14ac:dyDescent="0.25">
      <c r="A971" s="631">
        <f t="shared" si="15"/>
        <v>966</v>
      </c>
      <c r="B971" s="632"/>
      <c r="C971" s="633"/>
      <c r="D971" s="634"/>
      <c r="E971" s="655"/>
      <c r="F971" s="684"/>
      <c r="G971" s="684"/>
      <c r="H971" s="635"/>
    </row>
    <row r="972" spans="1:8" ht="12.75" customHeight="1" x14ac:dyDescent="0.25">
      <c r="A972" s="631">
        <f t="shared" si="15"/>
        <v>967</v>
      </c>
      <c r="B972" s="632"/>
      <c r="C972" s="633"/>
      <c r="D972" s="634"/>
      <c r="E972" s="655"/>
      <c r="F972" s="684"/>
      <c r="G972" s="684"/>
      <c r="H972" s="635"/>
    </row>
    <row r="973" spans="1:8" ht="12.75" customHeight="1" x14ac:dyDescent="0.25">
      <c r="A973" s="631">
        <f t="shared" si="15"/>
        <v>968</v>
      </c>
      <c r="B973" s="632"/>
      <c r="C973" s="633"/>
      <c r="D973" s="634"/>
      <c r="E973" s="655"/>
      <c r="F973" s="684"/>
      <c r="G973" s="684"/>
      <c r="H973" s="635"/>
    </row>
    <row r="974" spans="1:8" ht="12.75" customHeight="1" x14ac:dyDescent="0.25">
      <c r="A974" s="631">
        <f t="shared" si="15"/>
        <v>969</v>
      </c>
      <c r="B974" s="632"/>
      <c r="C974" s="633"/>
      <c r="D974" s="634"/>
      <c r="E974" s="655"/>
      <c r="F974" s="684"/>
      <c r="G974" s="684"/>
      <c r="H974" s="635"/>
    </row>
    <row r="975" spans="1:8" ht="12.75" customHeight="1" x14ac:dyDescent="0.25">
      <c r="A975" s="631">
        <f t="shared" si="15"/>
        <v>970</v>
      </c>
      <c r="B975" s="632"/>
      <c r="C975" s="633"/>
      <c r="D975" s="634"/>
      <c r="E975" s="655"/>
      <c r="F975" s="684"/>
      <c r="G975" s="684"/>
      <c r="H975" s="635"/>
    </row>
    <row r="976" spans="1:8" ht="12.75" customHeight="1" x14ac:dyDescent="0.25">
      <c r="A976" s="631">
        <f t="shared" si="15"/>
        <v>971</v>
      </c>
      <c r="B976" s="632"/>
      <c r="C976" s="633"/>
      <c r="D976" s="634"/>
      <c r="E976" s="655"/>
      <c r="F976" s="684"/>
      <c r="G976" s="684"/>
      <c r="H976" s="635"/>
    </row>
    <row r="977" spans="1:8" ht="12.75" customHeight="1" x14ac:dyDescent="0.25">
      <c r="A977" s="631">
        <f t="shared" si="15"/>
        <v>972</v>
      </c>
      <c r="B977" s="632"/>
      <c r="C977" s="633"/>
      <c r="D977" s="634"/>
      <c r="E977" s="655"/>
      <c r="F977" s="684"/>
      <c r="G977" s="684"/>
      <c r="H977" s="635"/>
    </row>
    <row r="978" spans="1:8" ht="12.75" customHeight="1" x14ac:dyDescent="0.25">
      <c r="A978" s="631">
        <f t="shared" si="15"/>
        <v>973</v>
      </c>
      <c r="B978" s="632"/>
      <c r="C978" s="633"/>
      <c r="D978" s="634"/>
      <c r="E978" s="655"/>
      <c r="F978" s="684"/>
      <c r="G978" s="684"/>
      <c r="H978" s="635"/>
    </row>
    <row r="979" spans="1:8" ht="12.75" customHeight="1" x14ac:dyDescent="0.25">
      <c r="A979" s="631">
        <f t="shared" si="15"/>
        <v>974</v>
      </c>
      <c r="B979" s="632"/>
      <c r="C979" s="633"/>
      <c r="D979" s="634"/>
      <c r="E979" s="655"/>
      <c r="F979" s="684"/>
      <c r="G979" s="684"/>
      <c r="H979" s="635"/>
    </row>
    <row r="980" spans="1:8" ht="12.75" customHeight="1" x14ac:dyDescent="0.25">
      <c r="A980" s="631">
        <f t="shared" si="15"/>
        <v>975</v>
      </c>
      <c r="B980" s="632"/>
      <c r="C980" s="633"/>
      <c r="D980" s="634"/>
      <c r="E980" s="655"/>
      <c r="F980" s="684"/>
      <c r="G980" s="684"/>
      <c r="H980" s="635"/>
    </row>
    <row r="981" spans="1:8" ht="12.75" customHeight="1" x14ac:dyDescent="0.25">
      <c r="A981" s="631">
        <f t="shared" si="15"/>
        <v>976</v>
      </c>
      <c r="B981" s="632"/>
      <c r="C981" s="633"/>
      <c r="D981" s="634"/>
      <c r="E981" s="655"/>
      <c r="F981" s="684"/>
      <c r="G981" s="684"/>
      <c r="H981" s="635"/>
    </row>
    <row r="982" spans="1:8" ht="12.75" customHeight="1" x14ac:dyDescent="0.25">
      <c r="A982" s="631">
        <f t="shared" si="15"/>
        <v>977</v>
      </c>
      <c r="B982" s="632"/>
      <c r="C982" s="633"/>
      <c r="D982" s="634"/>
      <c r="E982" s="655"/>
      <c r="F982" s="684"/>
      <c r="G982" s="684"/>
      <c r="H982" s="635"/>
    </row>
    <row r="983" spans="1:8" ht="12.75" customHeight="1" x14ac:dyDescent="0.25">
      <c r="A983" s="631">
        <f t="shared" si="15"/>
        <v>978</v>
      </c>
      <c r="B983" s="632"/>
      <c r="C983" s="633"/>
      <c r="D983" s="634"/>
      <c r="E983" s="655"/>
      <c r="F983" s="684"/>
      <c r="G983" s="684"/>
      <c r="H983" s="635"/>
    </row>
    <row r="984" spans="1:8" ht="12.75" customHeight="1" x14ac:dyDescent="0.25">
      <c r="A984" s="631">
        <f t="shared" si="15"/>
        <v>979</v>
      </c>
      <c r="B984" s="632"/>
      <c r="C984" s="633"/>
      <c r="D984" s="634"/>
      <c r="E984" s="655"/>
      <c r="F984" s="684"/>
      <c r="G984" s="684"/>
      <c r="H984" s="635"/>
    </row>
    <row r="985" spans="1:8" ht="12.75" customHeight="1" x14ac:dyDescent="0.25">
      <c r="A985" s="631">
        <f t="shared" si="15"/>
        <v>980</v>
      </c>
      <c r="B985" s="632"/>
      <c r="C985" s="633"/>
      <c r="D985" s="634"/>
      <c r="E985" s="655"/>
      <c r="F985" s="684"/>
      <c r="G985" s="684"/>
      <c r="H985" s="635"/>
    </row>
    <row r="986" spans="1:8" ht="12.75" customHeight="1" x14ac:dyDescent="0.25">
      <c r="A986" s="631">
        <f t="shared" si="15"/>
        <v>981</v>
      </c>
      <c r="B986" s="632"/>
      <c r="C986" s="633"/>
      <c r="D986" s="634"/>
      <c r="E986" s="655"/>
      <c r="F986" s="684"/>
      <c r="G986" s="684"/>
      <c r="H986" s="635"/>
    </row>
    <row r="987" spans="1:8" ht="12.75" customHeight="1" x14ac:dyDescent="0.25">
      <c r="A987" s="631">
        <f t="shared" si="15"/>
        <v>982</v>
      </c>
      <c r="B987" s="632"/>
      <c r="C987" s="633"/>
      <c r="D987" s="634"/>
      <c r="E987" s="655"/>
      <c r="F987" s="684"/>
      <c r="G987" s="684"/>
      <c r="H987" s="635"/>
    </row>
    <row r="988" spans="1:8" ht="12.75" customHeight="1" x14ac:dyDescent="0.25">
      <c r="A988" s="631">
        <f t="shared" si="15"/>
        <v>983</v>
      </c>
      <c r="B988" s="632"/>
      <c r="C988" s="633"/>
      <c r="D988" s="634"/>
      <c r="E988" s="655"/>
      <c r="F988" s="684"/>
      <c r="G988" s="684"/>
      <c r="H988" s="635"/>
    </row>
    <row r="989" spans="1:8" ht="12.75" customHeight="1" x14ac:dyDescent="0.25">
      <c r="A989" s="631">
        <f t="shared" si="15"/>
        <v>984</v>
      </c>
      <c r="B989" s="632"/>
      <c r="C989" s="633"/>
      <c r="D989" s="634"/>
      <c r="E989" s="655"/>
      <c r="F989" s="684"/>
      <c r="G989" s="684"/>
      <c r="H989" s="635"/>
    </row>
    <row r="990" spans="1:8" ht="12.75" customHeight="1" x14ac:dyDescent="0.25">
      <c r="A990" s="631">
        <f t="shared" si="15"/>
        <v>985</v>
      </c>
      <c r="B990" s="632"/>
      <c r="C990" s="633"/>
      <c r="D990" s="634"/>
      <c r="E990" s="655"/>
      <c r="F990" s="684"/>
      <c r="G990" s="684"/>
      <c r="H990" s="635"/>
    </row>
    <row r="991" spans="1:8" ht="12.75" customHeight="1" x14ac:dyDescent="0.25">
      <c r="A991" s="631">
        <f t="shared" si="15"/>
        <v>986</v>
      </c>
      <c r="B991" s="632"/>
      <c r="C991" s="633"/>
      <c r="D991" s="634"/>
      <c r="E991" s="655"/>
      <c r="F991" s="684"/>
      <c r="G991" s="684"/>
      <c r="H991" s="635"/>
    </row>
    <row r="992" spans="1:8" ht="12.75" customHeight="1" x14ac:dyDescent="0.25">
      <c r="A992" s="631">
        <f t="shared" si="15"/>
        <v>987</v>
      </c>
      <c r="B992" s="632"/>
      <c r="C992" s="633"/>
      <c r="D992" s="634"/>
      <c r="E992" s="655"/>
      <c r="F992" s="684"/>
      <c r="G992" s="684"/>
      <c r="H992" s="635"/>
    </row>
    <row r="993" spans="1:8" ht="12.75" customHeight="1" x14ac:dyDescent="0.25">
      <c r="A993" s="631">
        <f t="shared" si="15"/>
        <v>988</v>
      </c>
      <c r="B993" s="632"/>
      <c r="C993" s="633"/>
      <c r="D993" s="634"/>
      <c r="E993" s="655"/>
      <c r="F993" s="684"/>
      <c r="G993" s="684"/>
      <c r="H993" s="635"/>
    </row>
    <row r="994" spans="1:8" ht="12.75" customHeight="1" x14ac:dyDescent="0.25">
      <c r="A994" s="631">
        <f t="shared" si="15"/>
        <v>989</v>
      </c>
      <c r="B994" s="632"/>
      <c r="C994" s="633"/>
      <c r="D994" s="634"/>
      <c r="E994" s="655"/>
      <c r="F994" s="684"/>
      <c r="G994" s="684"/>
      <c r="H994" s="635"/>
    </row>
    <row r="995" spans="1:8" ht="12.75" customHeight="1" x14ac:dyDescent="0.25">
      <c r="A995" s="631">
        <f t="shared" si="15"/>
        <v>990</v>
      </c>
      <c r="B995" s="632"/>
      <c r="C995" s="633"/>
      <c r="D995" s="634"/>
      <c r="E995" s="655"/>
      <c r="F995" s="684"/>
      <c r="G995" s="684"/>
      <c r="H995" s="635"/>
    </row>
    <row r="996" spans="1:8" ht="12.75" customHeight="1" x14ac:dyDescent="0.25">
      <c r="A996" s="631">
        <f t="shared" si="15"/>
        <v>991</v>
      </c>
      <c r="B996" s="632"/>
      <c r="C996" s="633"/>
      <c r="D996" s="634"/>
      <c r="E996" s="655"/>
      <c r="F996" s="684"/>
      <c r="G996" s="684"/>
      <c r="H996" s="635"/>
    </row>
    <row r="997" spans="1:8" ht="12.75" customHeight="1" x14ac:dyDescent="0.25">
      <c r="A997" s="631">
        <f t="shared" si="15"/>
        <v>992</v>
      </c>
      <c r="B997" s="632"/>
      <c r="C997" s="633"/>
      <c r="D997" s="634"/>
      <c r="E997" s="655"/>
      <c r="F997" s="684"/>
      <c r="G997" s="684"/>
      <c r="H997" s="635"/>
    </row>
    <row r="998" spans="1:8" ht="12.75" customHeight="1" x14ac:dyDescent="0.25">
      <c r="A998" s="631">
        <f t="shared" si="15"/>
        <v>993</v>
      </c>
      <c r="B998" s="632"/>
      <c r="C998" s="633"/>
      <c r="D998" s="634"/>
      <c r="E998" s="655"/>
      <c r="F998" s="684"/>
      <c r="G998" s="684"/>
      <c r="H998" s="635"/>
    </row>
    <row r="999" spans="1:8" ht="12.75" customHeight="1" x14ac:dyDescent="0.25">
      <c r="A999" s="631">
        <f t="shared" si="15"/>
        <v>994</v>
      </c>
      <c r="B999" s="632"/>
      <c r="C999" s="633"/>
      <c r="D999" s="634"/>
      <c r="E999" s="655"/>
      <c r="F999" s="684"/>
      <c r="G999" s="684"/>
      <c r="H999" s="635"/>
    </row>
    <row r="1000" spans="1:8" ht="12.75" customHeight="1" x14ac:dyDescent="0.25">
      <c r="A1000" s="631">
        <f t="shared" si="15"/>
        <v>995</v>
      </c>
      <c r="B1000" s="632"/>
      <c r="C1000" s="633"/>
      <c r="D1000" s="634"/>
      <c r="E1000" s="655"/>
      <c r="F1000" s="684"/>
      <c r="G1000" s="684"/>
      <c r="H1000" s="635"/>
    </row>
    <row r="1001" spans="1:8" ht="12.75" customHeight="1" x14ac:dyDescent="0.25">
      <c r="A1001" s="631">
        <f t="shared" si="15"/>
        <v>996</v>
      </c>
      <c r="B1001" s="632"/>
      <c r="C1001" s="633"/>
      <c r="D1001" s="634"/>
      <c r="E1001" s="655"/>
      <c r="F1001" s="684"/>
      <c r="G1001" s="684"/>
      <c r="H1001" s="635"/>
    </row>
    <row r="1002" spans="1:8" ht="12.75" customHeight="1" x14ac:dyDescent="0.25">
      <c r="A1002" s="631">
        <f t="shared" si="15"/>
        <v>997</v>
      </c>
      <c r="B1002" s="632"/>
      <c r="C1002" s="633"/>
      <c r="D1002" s="634"/>
      <c r="E1002" s="655"/>
      <c r="F1002" s="684"/>
      <c r="G1002" s="684"/>
      <c r="H1002" s="635"/>
    </row>
    <row r="1003" spans="1:8" ht="12.75" customHeight="1" x14ac:dyDescent="0.25">
      <c r="A1003" s="631">
        <f t="shared" si="15"/>
        <v>998</v>
      </c>
      <c r="B1003" s="632"/>
      <c r="C1003" s="633"/>
      <c r="D1003" s="634"/>
      <c r="E1003" s="655"/>
      <c r="F1003" s="684"/>
      <c r="G1003" s="684"/>
      <c r="H1003" s="635"/>
    </row>
    <row r="1004" spans="1:8" ht="12.75" customHeight="1" x14ac:dyDescent="0.25">
      <c r="A1004" s="631">
        <f t="shared" si="15"/>
        <v>999</v>
      </c>
      <c r="B1004" s="632"/>
      <c r="C1004" s="633"/>
      <c r="D1004" s="634"/>
      <c r="E1004" s="655"/>
      <c r="F1004" s="684"/>
      <c r="G1004" s="684"/>
      <c r="H1004" s="635"/>
    </row>
    <row r="1005" spans="1:8" ht="12.75" customHeight="1" x14ac:dyDescent="0.25">
      <c r="A1005" s="631">
        <f t="shared" si="15"/>
        <v>1000</v>
      </c>
      <c r="B1005" s="632"/>
      <c r="C1005" s="633"/>
      <c r="D1005" s="634"/>
      <c r="E1005" s="655"/>
      <c r="F1005" s="684"/>
      <c r="G1005" s="684"/>
      <c r="H1005" s="635"/>
    </row>
    <row r="1006" spans="1:8" ht="12.75" customHeight="1" x14ac:dyDescent="0.25">
      <c r="A1006" s="631">
        <f t="shared" si="15"/>
        <v>1001</v>
      </c>
      <c r="B1006" s="632"/>
      <c r="C1006" s="633"/>
      <c r="D1006" s="634"/>
      <c r="E1006" s="655"/>
      <c r="F1006" s="684"/>
      <c r="G1006" s="684"/>
      <c r="H1006" s="635"/>
    </row>
    <row r="1007" spans="1:8" ht="12.75" customHeight="1" x14ac:dyDescent="0.25">
      <c r="A1007" s="631">
        <f t="shared" si="15"/>
        <v>1002</v>
      </c>
      <c r="B1007" s="632"/>
      <c r="C1007" s="633"/>
      <c r="D1007" s="634"/>
      <c r="E1007" s="655"/>
      <c r="F1007" s="684"/>
      <c r="G1007" s="684"/>
      <c r="H1007" s="635"/>
    </row>
    <row r="1008" spans="1:8" ht="12.75" customHeight="1" x14ac:dyDescent="0.25">
      <c r="A1008" s="631">
        <f t="shared" si="15"/>
        <v>1003</v>
      </c>
      <c r="B1008" s="632"/>
      <c r="C1008" s="633"/>
      <c r="D1008" s="634"/>
      <c r="E1008" s="655"/>
      <c r="F1008" s="684"/>
      <c r="G1008" s="684"/>
      <c r="H1008" s="635"/>
    </row>
    <row r="1009" spans="1:8" ht="12.75" customHeight="1" x14ac:dyDescent="0.25">
      <c r="A1009" s="631">
        <f t="shared" si="15"/>
        <v>1004</v>
      </c>
      <c r="B1009" s="632"/>
      <c r="C1009" s="633"/>
      <c r="D1009" s="634"/>
      <c r="E1009" s="655"/>
      <c r="F1009" s="684"/>
      <c r="G1009" s="684"/>
      <c r="H1009" s="635"/>
    </row>
    <row r="1010" spans="1:8" ht="12.75" customHeight="1" x14ac:dyDescent="0.25">
      <c r="A1010" s="631">
        <f t="shared" si="15"/>
        <v>1005</v>
      </c>
      <c r="B1010" s="632"/>
      <c r="C1010" s="633"/>
      <c r="D1010" s="634"/>
      <c r="E1010" s="655"/>
      <c r="F1010" s="684"/>
      <c r="G1010" s="684"/>
      <c r="H1010" s="635"/>
    </row>
    <row r="1011" spans="1:8" ht="12.75" customHeight="1" x14ac:dyDescent="0.25">
      <c r="A1011" s="631">
        <f t="shared" si="15"/>
        <v>1006</v>
      </c>
      <c r="B1011" s="632"/>
      <c r="C1011" s="633"/>
      <c r="D1011" s="634"/>
      <c r="E1011" s="655"/>
      <c r="F1011" s="684"/>
      <c r="G1011" s="684"/>
      <c r="H1011" s="635"/>
    </row>
    <row r="1012" spans="1:8" ht="12.75" customHeight="1" x14ac:dyDescent="0.25">
      <c r="A1012" s="631">
        <f t="shared" si="15"/>
        <v>1007</v>
      </c>
      <c r="B1012" s="632"/>
      <c r="C1012" s="633"/>
      <c r="D1012" s="634"/>
      <c r="E1012" s="655"/>
      <c r="F1012" s="684"/>
      <c r="G1012" s="684"/>
      <c r="H1012" s="635"/>
    </row>
    <row r="1013" spans="1:8" ht="12.75" customHeight="1" x14ac:dyDescent="0.25">
      <c r="A1013" s="631">
        <f t="shared" si="15"/>
        <v>1008</v>
      </c>
      <c r="B1013" s="632"/>
      <c r="C1013" s="633"/>
      <c r="D1013" s="634"/>
      <c r="E1013" s="655"/>
      <c r="F1013" s="684"/>
      <c r="G1013" s="684"/>
      <c r="H1013" s="635"/>
    </row>
    <row r="1014" spans="1:8" ht="12.75" customHeight="1" x14ac:dyDescent="0.25">
      <c r="A1014" s="631">
        <f t="shared" si="15"/>
        <v>1009</v>
      </c>
      <c r="B1014" s="632"/>
      <c r="C1014" s="633"/>
      <c r="D1014" s="634"/>
      <c r="E1014" s="655"/>
      <c r="F1014" s="684"/>
      <c r="G1014" s="684"/>
      <c r="H1014" s="635"/>
    </row>
    <row r="1015" spans="1:8" ht="12.75" customHeight="1" x14ac:dyDescent="0.25">
      <c r="A1015" s="631">
        <f t="shared" si="15"/>
        <v>1010</v>
      </c>
      <c r="B1015" s="632"/>
      <c r="C1015" s="633"/>
      <c r="D1015" s="634"/>
      <c r="E1015" s="655"/>
      <c r="F1015" s="684"/>
      <c r="G1015" s="684"/>
      <c r="H1015" s="635"/>
    </row>
    <row r="1016" spans="1:8" ht="12.75" customHeight="1" x14ac:dyDescent="0.25">
      <c r="A1016" s="631">
        <f t="shared" si="15"/>
        <v>1011</v>
      </c>
      <c r="B1016" s="632"/>
      <c r="C1016" s="633"/>
      <c r="D1016" s="634"/>
      <c r="E1016" s="655"/>
      <c r="F1016" s="684"/>
      <c r="G1016" s="684"/>
      <c r="H1016" s="635"/>
    </row>
    <row r="1017" spans="1:8" ht="12.75" customHeight="1" x14ac:dyDescent="0.25">
      <c r="A1017" s="631">
        <f t="shared" si="15"/>
        <v>1012</v>
      </c>
      <c r="B1017" s="632"/>
      <c r="C1017" s="633"/>
      <c r="D1017" s="634"/>
      <c r="E1017" s="655"/>
      <c r="F1017" s="684"/>
      <c r="G1017" s="684"/>
      <c r="H1017" s="635"/>
    </row>
    <row r="1018" spans="1:8" ht="12.75" customHeight="1" x14ac:dyDescent="0.25">
      <c r="A1018" s="631">
        <f t="shared" si="15"/>
        <v>1013</v>
      </c>
      <c r="B1018" s="632"/>
      <c r="C1018" s="633"/>
      <c r="D1018" s="634"/>
      <c r="E1018" s="655"/>
      <c r="F1018" s="684"/>
      <c r="G1018" s="684"/>
      <c r="H1018" s="635"/>
    </row>
    <row r="1019" spans="1:8" ht="12.75" customHeight="1" x14ac:dyDescent="0.25">
      <c r="A1019" s="631">
        <f t="shared" si="15"/>
        <v>1014</v>
      </c>
      <c r="B1019" s="632"/>
      <c r="C1019" s="633"/>
      <c r="D1019" s="634"/>
      <c r="E1019" s="655"/>
      <c r="F1019" s="684"/>
      <c r="G1019" s="684"/>
      <c r="H1019" s="635"/>
    </row>
    <row r="1020" spans="1:8" ht="12.75" customHeight="1" x14ac:dyDescent="0.25">
      <c r="A1020" s="631">
        <f t="shared" si="15"/>
        <v>1015</v>
      </c>
      <c r="B1020" s="632"/>
      <c r="C1020" s="633"/>
      <c r="D1020" s="634"/>
      <c r="E1020" s="655"/>
      <c r="F1020" s="684"/>
      <c r="G1020" s="684"/>
      <c r="H1020" s="635"/>
    </row>
    <row r="1021" spans="1:8" ht="12.75" customHeight="1" x14ac:dyDescent="0.25">
      <c r="A1021" s="631">
        <f t="shared" si="15"/>
        <v>1016</v>
      </c>
      <c r="B1021" s="632"/>
      <c r="C1021" s="633"/>
      <c r="D1021" s="634"/>
      <c r="E1021" s="655"/>
      <c r="F1021" s="684"/>
      <c r="G1021" s="684"/>
      <c r="H1021" s="635"/>
    </row>
    <row r="1022" spans="1:8" ht="12.75" customHeight="1" x14ac:dyDescent="0.25">
      <c r="A1022" s="631">
        <f t="shared" si="15"/>
        <v>1017</v>
      </c>
      <c r="B1022" s="632"/>
      <c r="C1022" s="633"/>
      <c r="D1022" s="634"/>
      <c r="E1022" s="655"/>
      <c r="F1022" s="684"/>
      <c r="G1022" s="684"/>
      <c r="H1022" s="635"/>
    </row>
    <row r="1023" spans="1:8" ht="12.75" customHeight="1" x14ac:dyDescent="0.25">
      <c r="A1023" s="631">
        <f t="shared" si="15"/>
        <v>1018</v>
      </c>
      <c r="B1023" s="632"/>
      <c r="C1023" s="633"/>
      <c r="D1023" s="634"/>
      <c r="E1023" s="655"/>
      <c r="F1023" s="684"/>
      <c r="G1023" s="684"/>
      <c r="H1023" s="635"/>
    </row>
    <row r="1024" spans="1:8" ht="12.75" customHeight="1" x14ac:dyDescent="0.25">
      <c r="A1024" s="631">
        <f t="shared" si="15"/>
        <v>1019</v>
      </c>
      <c r="B1024" s="632"/>
      <c r="C1024" s="633"/>
      <c r="D1024" s="634"/>
      <c r="E1024" s="655"/>
      <c r="F1024" s="684"/>
      <c r="G1024" s="684"/>
      <c r="H1024" s="635"/>
    </row>
    <row r="1025" spans="1:8" ht="12.75" customHeight="1" x14ac:dyDescent="0.25">
      <c r="A1025" s="631">
        <f t="shared" ref="A1025:A1088" si="16">ROW()-5</f>
        <v>1020</v>
      </c>
      <c r="B1025" s="632"/>
      <c r="C1025" s="633"/>
      <c r="D1025" s="634"/>
      <c r="E1025" s="655"/>
      <c r="F1025" s="684"/>
      <c r="G1025" s="684"/>
      <c r="H1025" s="635"/>
    </row>
    <row r="1026" spans="1:8" ht="12.75" customHeight="1" x14ac:dyDescent="0.25">
      <c r="A1026" s="631">
        <f t="shared" si="16"/>
        <v>1021</v>
      </c>
      <c r="B1026" s="632"/>
      <c r="C1026" s="633"/>
      <c r="D1026" s="634"/>
      <c r="E1026" s="655"/>
      <c r="F1026" s="684"/>
      <c r="G1026" s="684"/>
      <c r="H1026" s="635"/>
    </row>
    <row r="1027" spans="1:8" ht="12.75" customHeight="1" x14ac:dyDescent="0.25">
      <c r="A1027" s="631">
        <f t="shared" si="16"/>
        <v>1022</v>
      </c>
      <c r="B1027" s="632"/>
      <c r="C1027" s="633"/>
      <c r="D1027" s="634"/>
      <c r="E1027" s="655"/>
      <c r="F1027" s="684"/>
      <c r="G1027" s="684"/>
      <c r="H1027" s="635"/>
    </row>
    <row r="1028" spans="1:8" ht="12.75" customHeight="1" x14ac:dyDescent="0.25">
      <c r="A1028" s="631">
        <f t="shared" si="16"/>
        <v>1023</v>
      </c>
      <c r="B1028" s="632"/>
      <c r="C1028" s="633"/>
      <c r="D1028" s="634"/>
      <c r="E1028" s="655"/>
      <c r="F1028" s="684"/>
      <c r="G1028" s="684"/>
      <c r="H1028" s="635"/>
    </row>
    <row r="1029" spans="1:8" ht="12.75" customHeight="1" x14ac:dyDescent="0.25">
      <c r="A1029" s="631">
        <f t="shared" si="16"/>
        <v>1024</v>
      </c>
      <c r="B1029" s="632"/>
      <c r="C1029" s="633"/>
      <c r="D1029" s="634"/>
      <c r="E1029" s="655"/>
      <c r="F1029" s="684"/>
      <c r="G1029" s="684"/>
      <c r="H1029" s="635"/>
    </row>
    <row r="1030" spans="1:8" ht="12.75" customHeight="1" x14ac:dyDescent="0.25">
      <c r="A1030" s="631">
        <f t="shared" si="16"/>
        <v>1025</v>
      </c>
      <c r="B1030" s="632"/>
      <c r="C1030" s="633"/>
      <c r="D1030" s="634"/>
      <c r="E1030" s="655"/>
      <c r="F1030" s="684"/>
      <c r="G1030" s="684"/>
      <c r="H1030" s="635"/>
    </row>
    <row r="1031" spans="1:8" ht="12.75" customHeight="1" x14ac:dyDescent="0.25">
      <c r="A1031" s="631">
        <f t="shared" si="16"/>
        <v>1026</v>
      </c>
      <c r="B1031" s="632"/>
      <c r="C1031" s="633"/>
      <c r="D1031" s="634"/>
      <c r="E1031" s="655"/>
      <c r="F1031" s="684"/>
      <c r="G1031" s="684"/>
      <c r="H1031" s="635"/>
    </row>
    <row r="1032" spans="1:8" ht="12.75" customHeight="1" x14ac:dyDescent="0.25">
      <c r="A1032" s="631">
        <f t="shared" si="16"/>
        <v>1027</v>
      </c>
      <c r="B1032" s="632"/>
      <c r="C1032" s="633"/>
      <c r="D1032" s="634"/>
      <c r="E1032" s="655"/>
      <c r="F1032" s="684"/>
      <c r="G1032" s="684"/>
      <c r="H1032" s="635"/>
    </row>
    <row r="1033" spans="1:8" ht="12.75" customHeight="1" x14ac:dyDescent="0.25">
      <c r="A1033" s="631">
        <f t="shared" si="16"/>
        <v>1028</v>
      </c>
      <c r="B1033" s="632"/>
      <c r="C1033" s="633"/>
      <c r="D1033" s="634"/>
      <c r="E1033" s="655"/>
      <c r="F1033" s="684"/>
      <c r="G1033" s="684"/>
      <c r="H1033" s="635"/>
    </row>
    <row r="1034" spans="1:8" ht="12.75" customHeight="1" x14ac:dyDescent="0.25">
      <c r="A1034" s="631">
        <f t="shared" si="16"/>
        <v>1029</v>
      </c>
      <c r="B1034" s="632"/>
      <c r="C1034" s="633"/>
      <c r="D1034" s="634"/>
      <c r="E1034" s="655"/>
      <c r="F1034" s="684"/>
      <c r="G1034" s="684"/>
      <c r="H1034" s="635"/>
    </row>
    <row r="1035" spans="1:8" ht="12.75" customHeight="1" x14ac:dyDescent="0.25">
      <c r="A1035" s="631">
        <f t="shared" si="16"/>
        <v>1030</v>
      </c>
      <c r="B1035" s="632"/>
      <c r="C1035" s="633"/>
      <c r="D1035" s="634"/>
      <c r="E1035" s="655"/>
      <c r="F1035" s="684"/>
      <c r="G1035" s="684"/>
      <c r="H1035" s="635"/>
    </row>
    <row r="1036" spans="1:8" ht="12.75" customHeight="1" x14ac:dyDescent="0.25">
      <c r="A1036" s="631">
        <f t="shared" si="16"/>
        <v>1031</v>
      </c>
      <c r="B1036" s="632"/>
      <c r="C1036" s="633"/>
      <c r="D1036" s="634"/>
      <c r="E1036" s="655"/>
      <c r="F1036" s="684"/>
      <c r="G1036" s="684"/>
      <c r="H1036" s="635"/>
    </row>
    <row r="1037" spans="1:8" ht="12.75" customHeight="1" x14ac:dyDescent="0.25">
      <c r="A1037" s="631">
        <f t="shared" si="16"/>
        <v>1032</v>
      </c>
      <c r="B1037" s="632"/>
      <c r="C1037" s="633"/>
      <c r="D1037" s="634"/>
      <c r="E1037" s="655"/>
      <c r="F1037" s="684"/>
      <c r="G1037" s="684"/>
      <c r="H1037" s="635"/>
    </row>
    <row r="1038" spans="1:8" ht="12.75" customHeight="1" x14ac:dyDescent="0.25">
      <c r="A1038" s="631">
        <f t="shared" si="16"/>
        <v>1033</v>
      </c>
      <c r="B1038" s="632"/>
      <c r="C1038" s="633"/>
      <c r="D1038" s="634"/>
      <c r="E1038" s="655"/>
      <c r="F1038" s="684"/>
      <c r="G1038" s="684"/>
      <c r="H1038" s="635"/>
    </row>
    <row r="1039" spans="1:8" ht="12.75" customHeight="1" x14ac:dyDescent="0.25">
      <c r="A1039" s="631">
        <f t="shared" si="16"/>
        <v>1034</v>
      </c>
      <c r="B1039" s="632"/>
      <c r="C1039" s="633"/>
      <c r="D1039" s="634"/>
      <c r="E1039" s="655"/>
      <c r="F1039" s="684"/>
      <c r="G1039" s="684"/>
      <c r="H1039" s="635"/>
    </row>
    <row r="1040" spans="1:8" ht="12.75" customHeight="1" x14ac:dyDescent="0.25">
      <c r="A1040" s="631">
        <f t="shared" si="16"/>
        <v>1035</v>
      </c>
      <c r="B1040" s="632"/>
      <c r="C1040" s="633"/>
      <c r="D1040" s="634"/>
      <c r="E1040" s="655"/>
      <c r="F1040" s="684"/>
      <c r="G1040" s="684"/>
      <c r="H1040" s="635"/>
    </row>
    <row r="1041" spans="1:8" ht="12.75" customHeight="1" x14ac:dyDescent="0.25">
      <c r="A1041" s="631">
        <f t="shared" si="16"/>
        <v>1036</v>
      </c>
      <c r="B1041" s="632"/>
      <c r="C1041" s="633"/>
      <c r="D1041" s="634"/>
      <c r="E1041" s="655"/>
      <c r="F1041" s="684"/>
      <c r="G1041" s="684"/>
      <c r="H1041" s="635"/>
    </row>
    <row r="1042" spans="1:8" ht="12.75" customHeight="1" x14ac:dyDescent="0.25">
      <c r="A1042" s="631">
        <f t="shared" si="16"/>
        <v>1037</v>
      </c>
      <c r="B1042" s="632"/>
      <c r="C1042" s="633"/>
      <c r="D1042" s="634"/>
      <c r="E1042" s="655"/>
      <c r="F1042" s="684"/>
      <c r="G1042" s="684"/>
      <c r="H1042" s="635"/>
    </row>
    <row r="1043" spans="1:8" ht="12.75" customHeight="1" x14ac:dyDescent="0.25">
      <c r="A1043" s="631">
        <f t="shared" si="16"/>
        <v>1038</v>
      </c>
      <c r="B1043" s="632"/>
      <c r="C1043" s="633"/>
      <c r="D1043" s="634"/>
      <c r="E1043" s="655"/>
      <c r="F1043" s="684"/>
      <c r="G1043" s="684"/>
      <c r="H1043" s="635"/>
    </row>
    <row r="1044" spans="1:8" ht="12.75" customHeight="1" x14ac:dyDescent="0.25">
      <c r="A1044" s="631">
        <f t="shared" si="16"/>
        <v>1039</v>
      </c>
      <c r="B1044" s="632"/>
      <c r="C1044" s="633"/>
      <c r="D1044" s="634"/>
      <c r="E1044" s="655"/>
      <c r="F1044" s="684"/>
      <c r="G1044" s="684"/>
      <c r="H1044" s="635"/>
    </row>
    <row r="1045" spans="1:8" ht="12.75" customHeight="1" x14ac:dyDescent="0.25">
      <c r="A1045" s="631">
        <f t="shared" si="16"/>
        <v>1040</v>
      </c>
      <c r="B1045" s="632"/>
      <c r="C1045" s="633"/>
      <c r="D1045" s="634"/>
      <c r="E1045" s="655"/>
      <c r="F1045" s="684"/>
      <c r="G1045" s="684"/>
      <c r="H1045" s="635"/>
    </row>
    <row r="1046" spans="1:8" ht="12.75" customHeight="1" x14ac:dyDescent="0.25">
      <c r="A1046" s="631">
        <f t="shared" si="16"/>
        <v>1041</v>
      </c>
      <c r="B1046" s="632"/>
      <c r="C1046" s="633"/>
      <c r="D1046" s="634"/>
      <c r="E1046" s="655"/>
      <c r="F1046" s="684"/>
      <c r="G1046" s="684"/>
      <c r="H1046" s="635"/>
    </row>
    <row r="1047" spans="1:8" ht="12.75" customHeight="1" x14ac:dyDescent="0.25">
      <c r="A1047" s="631">
        <f t="shared" si="16"/>
        <v>1042</v>
      </c>
      <c r="B1047" s="632"/>
      <c r="C1047" s="633"/>
      <c r="D1047" s="634"/>
      <c r="E1047" s="655"/>
      <c r="F1047" s="684"/>
      <c r="G1047" s="684"/>
      <c r="H1047" s="635"/>
    </row>
    <row r="1048" spans="1:8" ht="12.75" customHeight="1" x14ac:dyDescent="0.25">
      <c r="A1048" s="631">
        <f t="shared" si="16"/>
        <v>1043</v>
      </c>
      <c r="B1048" s="632"/>
      <c r="C1048" s="633"/>
      <c r="D1048" s="634"/>
      <c r="E1048" s="655"/>
      <c r="F1048" s="684"/>
      <c r="G1048" s="684"/>
      <c r="H1048" s="635"/>
    </row>
    <row r="1049" spans="1:8" ht="12.75" customHeight="1" x14ac:dyDescent="0.25">
      <c r="A1049" s="631">
        <f t="shared" si="16"/>
        <v>1044</v>
      </c>
      <c r="B1049" s="632"/>
      <c r="C1049" s="633"/>
      <c r="D1049" s="634"/>
      <c r="E1049" s="655"/>
      <c r="F1049" s="684"/>
      <c r="G1049" s="684"/>
      <c r="H1049" s="635"/>
    </row>
    <row r="1050" spans="1:8" ht="12.75" customHeight="1" x14ac:dyDescent="0.25">
      <c r="A1050" s="631">
        <f t="shared" si="16"/>
        <v>1045</v>
      </c>
      <c r="B1050" s="632"/>
      <c r="C1050" s="633"/>
      <c r="D1050" s="634"/>
      <c r="E1050" s="655"/>
      <c r="F1050" s="684"/>
      <c r="G1050" s="684"/>
      <c r="H1050" s="635"/>
    </row>
    <row r="1051" spans="1:8" ht="12.75" customHeight="1" x14ac:dyDescent="0.25">
      <c r="A1051" s="631">
        <f t="shared" si="16"/>
        <v>1046</v>
      </c>
      <c r="B1051" s="632"/>
      <c r="C1051" s="633"/>
      <c r="D1051" s="634"/>
      <c r="E1051" s="655"/>
      <c r="F1051" s="684"/>
      <c r="G1051" s="684"/>
      <c r="H1051" s="635"/>
    </row>
    <row r="1052" spans="1:8" ht="12.75" customHeight="1" x14ac:dyDescent="0.25">
      <c r="A1052" s="631">
        <f t="shared" si="16"/>
        <v>1047</v>
      </c>
      <c r="B1052" s="632"/>
      <c r="C1052" s="633"/>
      <c r="D1052" s="634"/>
      <c r="E1052" s="655"/>
      <c r="F1052" s="684"/>
      <c r="G1052" s="684"/>
      <c r="H1052" s="635"/>
    </row>
    <row r="1053" spans="1:8" ht="12.75" customHeight="1" x14ac:dyDescent="0.25">
      <c r="A1053" s="631">
        <f t="shared" si="16"/>
        <v>1048</v>
      </c>
      <c r="B1053" s="632"/>
      <c r="C1053" s="633"/>
      <c r="D1053" s="634"/>
      <c r="E1053" s="655"/>
      <c r="F1053" s="684"/>
      <c r="G1053" s="684"/>
      <c r="H1053" s="635"/>
    </row>
    <row r="1054" spans="1:8" ht="12.75" customHeight="1" x14ac:dyDescent="0.25">
      <c r="A1054" s="631">
        <f t="shared" si="16"/>
        <v>1049</v>
      </c>
      <c r="B1054" s="632"/>
      <c r="C1054" s="633"/>
      <c r="D1054" s="634"/>
      <c r="E1054" s="655"/>
      <c r="F1054" s="684"/>
      <c r="G1054" s="684"/>
      <c r="H1054" s="635"/>
    </row>
    <row r="1055" spans="1:8" ht="12.75" customHeight="1" x14ac:dyDescent="0.25">
      <c r="A1055" s="631">
        <f t="shared" si="16"/>
        <v>1050</v>
      </c>
      <c r="B1055" s="632"/>
      <c r="C1055" s="633"/>
      <c r="D1055" s="634"/>
      <c r="E1055" s="655"/>
      <c r="F1055" s="684"/>
      <c r="G1055" s="684"/>
      <c r="H1055" s="635"/>
    </row>
    <row r="1056" spans="1:8" ht="12.75" customHeight="1" x14ac:dyDescent="0.25">
      <c r="A1056" s="631">
        <f t="shared" si="16"/>
        <v>1051</v>
      </c>
      <c r="B1056" s="632"/>
      <c r="C1056" s="633"/>
      <c r="D1056" s="634"/>
      <c r="E1056" s="655"/>
      <c r="F1056" s="684"/>
      <c r="G1056" s="684"/>
      <c r="H1056" s="635"/>
    </row>
    <row r="1057" spans="1:8" ht="12.75" customHeight="1" x14ac:dyDescent="0.25">
      <c r="A1057" s="631">
        <f t="shared" si="16"/>
        <v>1052</v>
      </c>
      <c r="B1057" s="632"/>
      <c r="C1057" s="633"/>
      <c r="D1057" s="634"/>
      <c r="E1057" s="655"/>
      <c r="F1057" s="684"/>
      <c r="G1057" s="684"/>
      <c r="H1057" s="635"/>
    </row>
    <row r="1058" spans="1:8" ht="12.75" customHeight="1" x14ac:dyDescent="0.25">
      <c r="A1058" s="631">
        <f t="shared" si="16"/>
        <v>1053</v>
      </c>
      <c r="B1058" s="632"/>
      <c r="C1058" s="633"/>
      <c r="D1058" s="634"/>
      <c r="E1058" s="655"/>
      <c r="F1058" s="684"/>
      <c r="G1058" s="684"/>
      <c r="H1058" s="635"/>
    </row>
    <row r="1059" spans="1:8" ht="12.75" customHeight="1" x14ac:dyDescent="0.25">
      <c r="A1059" s="631">
        <f t="shared" si="16"/>
        <v>1054</v>
      </c>
      <c r="B1059" s="632"/>
      <c r="C1059" s="633"/>
      <c r="D1059" s="634"/>
      <c r="E1059" s="655"/>
      <c r="F1059" s="684"/>
      <c r="G1059" s="684"/>
      <c r="H1059" s="635"/>
    </row>
    <row r="1060" spans="1:8" ht="12.75" customHeight="1" x14ac:dyDescent="0.25">
      <c r="A1060" s="631">
        <f t="shared" si="16"/>
        <v>1055</v>
      </c>
      <c r="B1060" s="632"/>
      <c r="C1060" s="633"/>
      <c r="D1060" s="634"/>
      <c r="E1060" s="655"/>
      <c r="F1060" s="684"/>
      <c r="G1060" s="684"/>
      <c r="H1060" s="635"/>
    </row>
    <row r="1061" spans="1:8" ht="12.75" customHeight="1" x14ac:dyDescent="0.25">
      <c r="A1061" s="631">
        <f t="shared" si="16"/>
        <v>1056</v>
      </c>
      <c r="B1061" s="632"/>
      <c r="C1061" s="633"/>
      <c r="D1061" s="634"/>
      <c r="E1061" s="655"/>
      <c r="F1061" s="684"/>
      <c r="G1061" s="684"/>
      <c r="H1061" s="635"/>
    </row>
    <row r="1062" spans="1:8" ht="12.75" customHeight="1" x14ac:dyDescent="0.25">
      <c r="A1062" s="631">
        <f t="shared" si="16"/>
        <v>1057</v>
      </c>
      <c r="B1062" s="632"/>
      <c r="C1062" s="633"/>
      <c r="D1062" s="634"/>
      <c r="E1062" s="655"/>
      <c r="F1062" s="684"/>
      <c r="G1062" s="684"/>
      <c r="H1062" s="635"/>
    </row>
    <row r="1063" spans="1:8" ht="12.75" customHeight="1" x14ac:dyDescent="0.25">
      <c r="A1063" s="631">
        <f t="shared" si="16"/>
        <v>1058</v>
      </c>
      <c r="B1063" s="632"/>
      <c r="C1063" s="633"/>
      <c r="D1063" s="634"/>
      <c r="E1063" s="655"/>
      <c r="F1063" s="684"/>
      <c r="G1063" s="684"/>
      <c r="H1063" s="635"/>
    </row>
    <row r="1064" spans="1:8" ht="12.75" customHeight="1" x14ac:dyDescent="0.25">
      <c r="A1064" s="631">
        <f t="shared" si="16"/>
        <v>1059</v>
      </c>
      <c r="B1064" s="632"/>
      <c r="C1064" s="633"/>
      <c r="D1064" s="634"/>
      <c r="E1064" s="655"/>
      <c r="F1064" s="684"/>
      <c r="G1064" s="684"/>
      <c r="H1064" s="635"/>
    </row>
    <row r="1065" spans="1:8" ht="12.75" customHeight="1" x14ac:dyDescent="0.25">
      <c r="A1065" s="631">
        <f t="shared" si="16"/>
        <v>1060</v>
      </c>
      <c r="B1065" s="632"/>
      <c r="C1065" s="633"/>
      <c r="D1065" s="634"/>
      <c r="E1065" s="655"/>
      <c r="F1065" s="684"/>
      <c r="G1065" s="684"/>
      <c r="H1065" s="635"/>
    </row>
    <row r="1066" spans="1:8" ht="12.75" customHeight="1" x14ac:dyDescent="0.25">
      <c r="A1066" s="631">
        <f t="shared" si="16"/>
        <v>1061</v>
      </c>
      <c r="B1066" s="632"/>
      <c r="C1066" s="633"/>
      <c r="D1066" s="634"/>
      <c r="E1066" s="655"/>
      <c r="F1066" s="684"/>
      <c r="G1066" s="684"/>
      <c r="H1066" s="635"/>
    </row>
    <row r="1067" spans="1:8" ht="12.75" customHeight="1" x14ac:dyDescent="0.25">
      <c r="A1067" s="631">
        <f t="shared" si="16"/>
        <v>1062</v>
      </c>
      <c r="B1067" s="632"/>
      <c r="C1067" s="633"/>
      <c r="D1067" s="634"/>
      <c r="E1067" s="655"/>
      <c r="F1067" s="684"/>
      <c r="G1067" s="684"/>
      <c r="H1067" s="635"/>
    </row>
    <row r="1068" spans="1:8" ht="12.75" customHeight="1" x14ac:dyDescent="0.25">
      <c r="A1068" s="631">
        <f t="shared" si="16"/>
        <v>1063</v>
      </c>
      <c r="B1068" s="632"/>
      <c r="C1068" s="633"/>
      <c r="D1068" s="634"/>
      <c r="E1068" s="655"/>
      <c r="F1068" s="684"/>
      <c r="G1068" s="684"/>
      <c r="H1068" s="635"/>
    </row>
    <row r="1069" spans="1:8" ht="12.75" customHeight="1" x14ac:dyDescent="0.25">
      <c r="A1069" s="631">
        <f t="shared" si="16"/>
        <v>1064</v>
      </c>
      <c r="B1069" s="632"/>
      <c r="C1069" s="633"/>
      <c r="D1069" s="634"/>
      <c r="E1069" s="655"/>
      <c r="F1069" s="684"/>
      <c r="G1069" s="684"/>
      <c r="H1069" s="635"/>
    </row>
    <row r="1070" spans="1:8" ht="12.75" customHeight="1" x14ac:dyDescent="0.25">
      <c r="A1070" s="631">
        <f t="shared" si="16"/>
        <v>1065</v>
      </c>
      <c r="B1070" s="632"/>
      <c r="C1070" s="633"/>
      <c r="D1070" s="634"/>
      <c r="E1070" s="655"/>
      <c r="F1070" s="684"/>
      <c r="G1070" s="684"/>
      <c r="H1070" s="635"/>
    </row>
    <row r="1071" spans="1:8" ht="12.75" customHeight="1" x14ac:dyDescent="0.25">
      <c r="A1071" s="631">
        <f t="shared" si="16"/>
        <v>1066</v>
      </c>
      <c r="B1071" s="632"/>
      <c r="C1071" s="633"/>
      <c r="D1071" s="634"/>
      <c r="E1071" s="655"/>
      <c r="F1071" s="684"/>
      <c r="G1071" s="684"/>
      <c r="H1071" s="635"/>
    </row>
    <row r="1072" spans="1:8" ht="12.75" customHeight="1" x14ac:dyDescent="0.25">
      <c r="A1072" s="631">
        <f t="shared" si="16"/>
        <v>1067</v>
      </c>
      <c r="B1072" s="632"/>
      <c r="C1072" s="633"/>
      <c r="D1072" s="634"/>
      <c r="E1072" s="655"/>
      <c r="F1072" s="684"/>
      <c r="G1072" s="684"/>
      <c r="H1072" s="635"/>
    </row>
    <row r="1073" spans="1:8" ht="12.75" customHeight="1" x14ac:dyDescent="0.25">
      <c r="A1073" s="631">
        <f t="shared" si="16"/>
        <v>1068</v>
      </c>
      <c r="B1073" s="632"/>
      <c r="C1073" s="633"/>
      <c r="D1073" s="634"/>
      <c r="E1073" s="655"/>
      <c r="F1073" s="684"/>
      <c r="G1073" s="684"/>
      <c r="H1073" s="635"/>
    </row>
    <row r="1074" spans="1:8" ht="12.75" customHeight="1" x14ac:dyDescent="0.25">
      <c r="A1074" s="631">
        <f t="shared" si="16"/>
        <v>1069</v>
      </c>
      <c r="B1074" s="632"/>
      <c r="C1074" s="633"/>
      <c r="D1074" s="634"/>
      <c r="E1074" s="655"/>
      <c r="F1074" s="684"/>
      <c r="G1074" s="684"/>
      <c r="H1074" s="635"/>
    </row>
    <row r="1075" spans="1:8" ht="12.75" customHeight="1" x14ac:dyDescent="0.25">
      <c r="A1075" s="631">
        <f t="shared" si="16"/>
        <v>1070</v>
      </c>
      <c r="B1075" s="632"/>
      <c r="C1075" s="633"/>
      <c r="D1075" s="634"/>
      <c r="E1075" s="655"/>
      <c r="F1075" s="684"/>
      <c r="G1075" s="684"/>
      <c r="H1075" s="635"/>
    </row>
    <row r="1076" spans="1:8" ht="12.75" customHeight="1" x14ac:dyDescent="0.25">
      <c r="A1076" s="631">
        <f t="shared" si="16"/>
        <v>1071</v>
      </c>
      <c r="B1076" s="632"/>
      <c r="C1076" s="633"/>
      <c r="D1076" s="634"/>
      <c r="E1076" s="655"/>
      <c r="F1076" s="684"/>
      <c r="G1076" s="684"/>
      <c r="H1076" s="635"/>
    </row>
    <row r="1077" spans="1:8" ht="12.75" customHeight="1" x14ac:dyDescent="0.25">
      <c r="A1077" s="631">
        <f t="shared" si="16"/>
        <v>1072</v>
      </c>
      <c r="B1077" s="632"/>
      <c r="C1077" s="633"/>
      <c r="D1077" s="634"/>
      <c r="E1077" s="655"/>
      <c r="F1077" s="684"/>
      <c r="G1077" s="684"/>
      <c r="H1077" s="635"/>
    </row>
    <row r="1078" spans="1:8" ht="12.75" customHeight="1" x14ac:dyDescent="0.25">
      <c r="A1078" s="631">
        <f t="shared" si="16"/>
        <v>1073</v>
      </c>
      <c r="B1078" s="632"/>
      <c r="C1078" s="633"/>
      <c r="D1078" s="634"/>
      <c r="E1078" s="655"/>
      <c r="F1078" s="684"/>
      <c r="G1078" s="684"/>
      <c r="H1078" s="635"/>
    </row>
    <row r="1079" spans="1:8" ht="12.75" customHeight="1" x14ac:dyDescent="0.25">
      <c r="A1079" s="631">
        <f t="shared" si="16"/>
        <v>1074</v>
      </c>
      <c r="B1079" s="632"/>
      <c r="C1079" s="633"/>
      <c r="D1079" s="634"/>
      <c r="E1079" s="655"/>
      <c r="F1079" s="684"/>
      <c r="G1079" s="684"/>
      <c r="H1079" s="635"/>
    </row>
    <row r="1080" spans="1:8" ht="12.75" customHeight="1" x14ac:dyDescent="0.25">
      <c r="A1080" s="631">
        <f t="shared" si="16"/>
        <v>1075</v>
      </c>
      <c r="B1080" s="632"/>
      <c r="C1080" s="633"/>
      <c r="D1080" s="634"/>
      <c r="E1080" s="655"/>
      <c r="F1080" s="684"/>
      <c r="G1080" s="684"/>
      <c r="H1080" s="635"/>
    </row>
    <row r="1081" spans="1:8" ht="12.75" customHeight="1" x14ac:dyDescent="0.25">
      <c r="A1081" s="631">
        <f t="shared" si="16"/>
        <v>1076</v>
      </c>
      <c r="B1081" s="632"/>
      <c r="C1081" s="633"/>
      <c r="D1081" s="634"/>
      <c r="E1081" s="655"/>
      <c r="F1081" s="684"/>
      <c r="G1081" s="684"/>
      <c r="H1081" s="635"/>
    </row>
    <row r="1082" spans="1:8" ht="12.75" customHeight="1" x14ac:dyDescent="0.25">
      <c r="A1082" s="631">
        <f t="shared" si="16"/>
        <v>1077</v>
      </c>
      <c r="B1082" s="632"/>
      <c r="C1082" s="633"/>
      <c r="D1082" s="634"/>
      <c r="E1082" s="655"/>
      <c r="F1082" s="684"/>
      <c r="G1082" s="684"/>
      <c r="H1082" s="635"/>
    </row>
    <row r="1083" spans="1:8" ht="12.75" customHeight="1" x14ac:dyDescent="0.25">
      <c r="A1083" s="631">
        <f t="shared" si="16"/>
        <v>1078</v>
      </c>
      <c r="B1083" s="632"/>
      <c r="C1083" s="633"/>
      <c r="D1083" s="634"/>
      <c r="E1083" s="655"/>
      <c r="F1083" s="684"/>
      <c r="G1083" s="684"/>
      <c r="H1083" s="635"/>
    </row>
    <row r="1084" spans="1:8" ht="12.75" customHeight="1" x14ac:dyDescent="0.25">
      <c r="A1084" s="631">
        <f t="shared" si="16"/>
        <v>1079</v>
      </c>
      <c r="B1084" s="632"/>
      <c r="C1084" s="633"/>
      <c r="D1084" s="634"/>
      <c r="E1084" s="655"/>
      <c r="F1084" s="684"/>
      <c r="G1084" s="684"/>
      <c r="H1084" s="635"/>
    </row>
    <row r="1085" spans="1:8" ht="12.75" customHeight="1" x14ac:dyDescent="0.25">
      <c r="A1085" s="631">
        <f t="shared" si="16"/>
        <v>1080</v>
      </c>
      <c r="B1085" s="632"/>
      <c r="C1085" s="633"/>
      <c r="D1085" s="634"/>
      <c r="E1085" s="655"/>
      <c r="F1085" s="684"/>
      <c r="G1085" s="684"/>
      <c r="H1085" s="635"/>
    </row>
    <row r="1086" spans="1:8" ht="12.75" customHeight="1" x14ac:dyDescent="0.25">
      <c r="A1086" s="631">
        <f t="shared" si="16"/>
        <v>1081</v>
      </c>
      <c r="B1086" s="632"/>
      <c r="C1086" s="633"/>
      <c r="D1086" s="634"/>
      <c r="E1086" s="655"/>
      <c r="F1086" s="684"/>
      <c r="G1086" s="684"/>
      <c r="H1086" s="635"/>
    </row>
    <row r="1087" spans="1:8" ht="12.75" customHeight="1" x14ac:dyDescent="0.25">
      <c r="A1087" s="631">
        <f t="shared" si="16"/>
        <v>1082</v>
      </c>
      <c r="B1087" s="632"/>
      <c r="C1087" s="633"/>
      <c r="D1087" s="634"/>
      <c r="E1087" s="655"/>
      <c r="F1087" s="684"/>
      <c r="G1087" s="684"/>
      <c r="H1087" s="635"/>
    </row>
    <row r="1088" spans="1:8" ht="12.75" customHeight="1" x14ac:dyDescent="0.25">
      <c r="A1088" s="631">
        <f t="shared" si="16"/>
        <v>1083</v>
      </c>
      <c r="B1088" s="632"/>
      <c r="C1088" s="633"/>
      <c r="D1088" s="634"/>
      <c r="E1088" s="655"/>
      <c r="F1088" s="684"/>
      <c r="G1088" s="684"/>
      <c r="H1088" s="635"/>
    </row>
    <row r="1089" spans="1:8" ht="12.75" customHeight="1" x14ac:dyDescent="0.25">
      <c r="A1089" s="631">
        <f t="shared" ref="A1089:A1152" si="17">ROW()-5</f>
        <v>1084</v>
      </c>
      <c r="B1089" s="632"/>
      <c r="C1089" s="633"/>
      <c r="D1089" s="634"/>
      <c r="E1089" s="655"/>
      <c r="F1089" s="684"/>
      <c r="G1089" s="684"/>
      <c r="H1089" s="635"/>
    </row>
    <row r="1090" spans="1:8" ht="12.75" customHeight="1" x14ac:dyDescent="0.25">
      <c r="A1090" s="631">
        <f t="shared" si="17"/>
        <v>1085</v>
      </c>
      <c r="B1090" s="632"/>
      <c r="C1090" s="633"/>
      <c r="D1090" s="634"/>
      <c r="E1090" s="655"/>
      <c r="F1090" s="684"/>
      <c r="G1090" s="684"/>
      <c r="H1090" s="635"/>
    </row>
    <row r="1091" spans="1:8" ht="12.75" customHeight="1" x14ac:dyDescent="0.25">
      <c r="A1091" s="631">
        <f t="shared" si="17"/>
        <v>1086</v>
      </c>
      <c r="B1091" s="632"/>
      <c r="C1091" s="633"/>
      <c r="D1091" s="634"/>
      <c r="E1091" s="655"/>
      <c r="F1091" s="684"/>
      <c r="G1091" s="684"/>
      <c r="H1091" s="635"/>
    </row>
    <row r="1092" spans="1:8" ht="12.75" customHeight="1" x14ac:dyDescent="0.25">
      <c r="A1092" s="631">
        <f t="shared" si="17"/>
        <v>1087</v>
      </c>
      <c r="B1092" s="632"/>
      <c r="C1092" s="633"/>
      <c r="D1092" s="634"/>
      <c r="E1092" s="655"/>
      <c r="F1092" s="684"/>
      <c r="G1092" s="684"/>
      <c r="H1092" s="635"/>
    </row>
    <row r="1093" spans="1:8" ht="12.75" customHeight="1" x14ac:dyDescent="0.25">
      <c r="A1093" s="631">
        <f t="shared" si="17"/>
        <v>1088</v>
      </c>
      <c r="B1093" s="632"/>
      <c r="C1093" s="633"/>
      <c r="D1093" s="634"/>
      <c r="E1093" s="655"/>
      <c r="F1093" s="684"/>
      <c r="G1093" s="684"/>
      <c r="H1093" s="635"/>
    </row>
    <row r="1094" spans="1:8" ht="12.75" customHeight="1" x14ac:dyDescent="0.25">
      <c r="A1094" s="631">
        <f t="shared" si="17"/>
        <v>1089</v>
      </c>
      <c r="B1094" s="632"/>
      <c r="C1094" s="633"/>
      <c r="D1094" s="634"/>
      <c r="E1094" s="655"/>
      <c r="F1094" s="684"/>
      <c r="G1094" s="684"/>
      <c r="H1094" s="635"/>
    </row>
    <row r="1095" spans="1:8" ht="12.75" customHeight="1" x14ac:dyDescent="0.25">
      <c r="A1095" s="631">
        <f t="shared" si="17"/>
        <v>1090</v>
      </c>
      <c r="B1095" s="632"/>
      <c r="C1095" s="633"/>
      <c r="D1095" s="634"/>
      <c r="E1095" s="655"/>
      <c r="F1095" s="684"/>
      <c r="G1095" s="684"/>
      <c r="H1095" s="635"/>
    </row>
    <row r="1096" spans="1:8" ht="12.75" customHeight="1" x14ac:dyDescent="0.25">
      <c r="A1096" s="631">
        <f t="shared" si="17"/>
        <v>1091</v>
      </c>
      <c r="B1096" s="632"/>
      <c r="C1096" s="633"/>
      <c r="D1096" s="634"/>
      <c r="E1096" s="655"/>
      <c r="F1096" s="684"/>
      <c r="G1096" s="684"/>
      <c r="H1096" s="635"/>
    </row>
    <row r="1097" spans="1:8" ht="12.75" customHeight="1" x14ac:dyDescent="0.25">
      <c r="A1097" s="631">
        <f t="shared" si="17"/>
        <v>1092</v>
      </c>
      <c r="B1097" s="632"/>
      <c r="C1097" s="633"/>
      <c r="D1097" s="634"/>
      <c r="E1097" s="655"/>
      <c r="F1097" s="684"/>
      <c r="G1097" s="684"/>
      <c r="H1097" s="635"/>
    </row>
    <row r="1098" spans="1:8" ht="12.75" customHeight="1" x14ac:dyDescent="0.25">
      <c r="A1098" s="631">
        <f t="shared" si="17"/>
        <v>1093</v>
      </c>
      <c r="B1098" s="632"/>
      <c r="C1098" s="633"/>
      <c r="D1098" s="634"/>
      <c r="E1098" s="655"/>
      <c r="F1098" s="684"/>
      <c r="G1098" s="684"/>
      <c r="H1098" s="635"/>
    </row>
    <row r="1099" spans="1:8" ht="12.75" customHeight="1" x14ac:dyDescent="0.25">
      <c r="A1099" s="631">
        <f t="shared" si="17"/>
        <v>1094</v>
      </c>
      <c r="B1099" s="632"/>
      <c r="C1099" s="633"/>
      <c r="D1099" s="634"/>
      <c r="E1099" s="655"/>
      <c r="F1099" s="684"/>
      <c r="G1099" s="684"/>
      <c r="H1099" s="635"/>
    </row>
    <row r="1100" spans="1:8" ht="12.75" customHeight="1" x14ac:dyDescent="0.25">
      <c r="A1100" s="631">
        <f t="shared" si="17"/>
        <v>1095</v>
      </c>
      <c r="B1100" s="632"/>
      <c r="C1100" s="633"/>
      <c r="D1100" s="634"/>
      <c r="E1100" s="655"/>
      <c r="F1100" s="684"/>
      <c r="G1100" s="684"/>
      <c r="H1100" s="635"/>
    </row>
    <row r="1101" spans="1:8" ht="12.75" customHeight="1" x14ac:dyDescent="0.25">
      <c r="A1101" s="631">
        <f t="shared" si="17"/>
        <v>1096</v>
      </c>
      <c r="B1101" s="632"/>
      <c r="C1101" s="633"/>
      <c r="D1101" s="634"/>
      <c r="E1101" s="655"/>
      <c r="F1101" s="684"/>
      <c r="G1101" s="684"/>
      <c r="H1101" s="635"/>
    </row>
    <row r="1102" spans="1:8" ht="12.75" customHeight="1" x14ac:dyDescent="0.25">
      <c r="A1102" s="631">
        <f t="shared" si="17"/>
        <v>1097</v>
      </c>
      <c r="B1102" s="632"/>
      <c r="C1102" s="633"/>
      <c r="D1102" s="634"/>
      <c r="E1102" s="655"/>
      <c r="F1102" s="684"/>
      <c r="G1102" s="684"/>
      <c r="H1102" s="635"/>
    </row>
    <row r="1103" spans="1:8" ht="12.75" customHeight="1" x14ac:dyDescent="0.25">
      <c r="A1103" s="631">
        <f t="shared" si="17"/>
        <v>1098</v>
      </c>
      <c r="B1103" s="632"/>
      <c r="C1103" s="633"/>
      <c r="D1103" s="634"/>
      <c r="E1103" s="655"/>
      <c r="F1103" s="684"/>
      <c r="G1103" s="684"/>
      <c r="H1103" s="635"/>
    </row>
    <row r="1104" spans="1:8" ht="12.75" customHeight="1" x14ac:dyDescent="0.25">
      <c r="A1104" s="631">
        <f t="shared" si="17"/>
        <v>1099</v>
      </c>
      <c r="B1104" s="632"/>
      <c r="C1104" s="633"/>
      <c r="D1104" s="634"/>
      <c r="E1104" s="655"/>
      <c r="F1104" s="684"/>
      <c r="G1104" s="684"/>
      <c r="H1104" s="635"/>
    </row>
    <row r="1105" spans="1:8" ht="12.75" customHeight="1" x14ac:dyDescent="0.25">
      <c r="A1105" s="631">
        <f t="shared" si="17"/>
        <v>1100</v>
      </c>
      <c r="B1105" s="632"/>
      <c r="C1105" s="633"/>
      <c r="D1105" s="634"/>
      <c r="E1105" s="655"/>
      <c r="F1105" s="684"/>
      <c r="G1105" s="684"/>
      <c r="H1105" s="635"/>
    </row>
    <row r="1106" spans="1:8" ht="12.75" customHeight="1" x14ac:dyDescent="0.25">
      <c r="A1106" s="631">
        <f t="shared" si="17"/>
        <v>1101</v>
      </c>
      <c r="B1106" s="632"/>
      <c r="C1106" s="633"/>
      <c r="D1106" s="634"/>
      <c r="E1106" s="655"/>
      <c r="F1106" s="684"/>
      <c r="G1106" s="684"/>
      <c r="H1106" s="635"/>
    </row>
    <row r="1107" spans="1:8" ht="12.75" customHeight="1" x14ac:dyDescent="0.25">
      <c r="A1107" s="631">
        <f t="shared" si="17"/>
        <v>1102</v>
      </c>
      <c r="B1107" s="632"/>
      <c r="C1107" s="633"/>
      <c r="D1107" s="634"/>
      <c r="E1107" s="655"/>
      <c r="F1107" s="684"/>
      <c r="G1107" s="684"/>
      <c r="H1107" s="635"/>
    </row>
    <row r="1108" spans="1:8" ht="12.75" customHeight="1" x14ac:dyDescent="0.25">
      <c r="A1108" s="631">
        <f t="shared" si="17"/>
        <v>1103</v>
      </c>
      <c r="B1108" s="632"/>
      <c r="C1108" s="633"/>
      <c r="D1108" s="634"/>
      <c r="E1108" s="655"/>
      <c r="F1108" s="684"/>
      <c r="G1108" s="684"/>
      <c r="H1108" s="635"/>
    </row>
    <row r="1109" spans="1:8" ht="12.75" customHeight="1" x14ac:dyDescent="0.25">
      <c r="A1109" s="631">
        <f t="shared" si="17"/>
        <v>1104</v>
      </c>
      <c r="B1109" s="632"/>
      <c r="C1109" s="633"/>
      <c r="D1109" s="634"/>
      <c r="E1109" s="655"/>
      <c r="F1109" s="684"/>
      <c r="G1109" s="684"/>
      <c r="H1109" s="635"/>
    </row>
    <row r="1110" spans="1:8" ht="12.75" customHeight="1" x14ac:dyDescent="0.25">
      <c r="A1110" s="631">
        <f t="shared" si="17"/>
        <v>1105</v>
      </c>
      <c r="B1110" s="632"/>
      <c r="C1110" s="633"/>
      <c r="D1110" s="634"/>
      <c r="E1110" s="655"/>
      <c r="F1110" s="684"/>
      <c r="G1110" s="684"/>
      <c r="H1110" s="635"/>
    </row>
    <row r="1111" spans="1:8" ht="12.75" customHeight="1" x14ac:dyDescent="0.25">
      <c r="A1111" s="631">
        <f t="shared" si="17"/>
        <v>1106</v>
      </c>
      <c r="B1111" s="632"/>
      <c r="C1111" s="633"/>
      <c r="D1111" s="634"/>
      <c r="E1111" s="655"/>
      <c r="F1111" s="684"/>
      <c r="G1111" s="684"/>
      <c r="H1111" s="635"/>
    </row>
    <row r="1112" spans="1:8" ht="12.75" customHeight="1" x14ac:dyDescent="0.25">
      <c r="A1112" s="631">
        <f t="shared" si="17"/>
        <v>1107</v>
      </c>
      <c r="B1112" s="632"/>
      <c r="C1112" s="633"/>
      <c r="D1112" s="634"/>
      <c r="E1112" s="655"/>
      <c r="F1112" s="684"/>
      <c r="G1112" s="684"/>
      <c r="H1112" s="635"/>
    </row>
    <row r="1113" spans="1:8" ht="12.75" customHeight="1" x14ac:dyDescent="0.25">
      <c r="A1113" s="631">
        <f t="shared" si="17"/>
        <v>1108</v>
      </c>
      <c r="B1113" s="632"/>
      <c r="C1113" s="633"/>
      <c r="D1113" s="634"/>
      <c r="E1113" s="655"/>
      <c r="F1113" s="684"/>
      <c r="G1113" s="684"/>
      <c r="H1113" s="635"/>
    </row>
    <row r="1114" spans="1:8" ht="12.75" customHeight="1" x14ac:dyDescent="0.25">
      <c r="A1114" s="631">
        <f t="shared" si="17"/>
        <v>1109</v>
      </c>
      <c r="B1114" s="632"/>
      <c r="C1114" s="633"/>
      <c r="D1114" s="634"/>
      <c r="E1114" s="655"/>
      <c r="F1114" s="684"/>
      <c r="G1114" s="684"/>
      <c r="H1114" s="635"/>
    </row>
    <row r="1115" spans="1:8" ht="12.75" customHeight="1" x14ac:dyDescent="0.25">
      <c r="A1115" s="631">
        <f t="shared" si="17"/>
        <v>1110</v>
      </c>
      <c r="B1115" s="632"/>
      <c r="C1115" s="633"/>
      <c r="D1115" s="634"/>
      <c r="E1115" s="655"/>
      <c r="F1115" s="684"/>
      <c r="G1115" s="684"/>
      <c r="H1115" s="635"/>
    </row>
    <row r="1116" spans="1:8" ht="12.75" customHeight="1" x14ac:dyDescent="0.25">
      <c r="A1116" s="631">
        <f t="shared" si="17"/>
        <v>1111</v>
      </c>
      <c r="B1116" s="632"/>
      <c r="C1116" s="633"/>
      <c r="D1116" s="634"/>
      <c r="E1116" s="655"/>
      <c r="F1116" s="684"/>
      <c r="G1116" s="684"/>
      <c r="H1116" s="635"/>
    </row>
    <row r="1117" spans="1:8" ht="12.75" customHeight="1" x14ac:dyDescent="0.25">
      <c r="A1117" s="631">
        <f t="shared" si="17"/>
        <v>1112</v>
      </c>
      <c r="B1117" s="632"/>
      <c r="C1117" s="633"/>
      <c r="D1117" s="634"/>
      <c r="E1117" s="655"/>
      <c r="F1117" s="684"/>
      <c r="G1117" s="684"/>
      <c r="H1117" s="635"/>
    </row>
    <row r="1118" spans="1:8" ht="12.75" customHeight="1" x14ac:dyDescent="0.25">
      <c r="A1118" s="631">
        <f t="shared" si="17"/>
        <v>1113</v>
      </c>
      <c r="B1118" s="632"/>
      <c r="C1118" s="633"/>
      <c r="D1118" s="634"/>
      <c r="E1118" s="655"/>
      <c r="F1118" s="684"/>
      <c r="G1118" s="684"/>
      <c r="H1118" s="635"/>
    </row>
    <row r="1119" spans="1:8" ht="12.75" customHeight="1" x14ac:dyDescent="0.25">
      <c r="A1119" s="631">
        <f t="shared" si="17"/>
        <v>1114</v>
      </c>
      <c r="B1119" s="632"/>
      <c r="C1119" s="633"/>
      <c r="D1119" s="634"/>
      <c r="E1119" s="655"/>
      <c r="F1119" s="684"/>
      <c r="G1119" s="684"/>
      <c r="H1119" s="635"/>
    </row>
    <row r="1120" spans="1:8" ht="12.75" customHeight="1" x14ac:dyDescent="0.25">
      <c r="A1120" s="631">
        <f t="shared" si="17"/>
        <v>1115</v>
      </c>
      <c r="B1120" s="632"/>
      <c r="C1120" s="633"/>
      <c r="D1120" s="634"/>
      <c r="E1120" s="655"/>
      <c r="F1120" s="684"/>
      <c r="G1120" s="684"/>
      <c r="H1120" s="635"/>
    </row>
    <row r="1121" spans="1:8" ht="12.75" customHeight="1" x14ac:dyDescent="0.25">
      <c r="A1121" s="631">
        <f t="shared" si="17"/>
        <v>1116</v>
      </c>
      <c r="B1121" s="632"/>
      <c r="C1121" s="633"/>
      <c r="D1121" s="634"/>
      <c r="E1121" s="655"/>
      <c r="F1121" s="684"/>
      <c r="G1121" s="684"/>
      <c r="H1121" s="635"/>
    </row>
    <row r="1122" spans="1:8" ht="12.75" customHeight="1" x14ac:dyDescent="0.25">
      <c r="A1122" s="631">
        <f t="shared" si="17"/>
        <v>1117</v>
      </c>
      <c r="B1122" s="632"/>
      <c r="C1122" s="633"/>
      <c r="D1122" s="634"/>
      <c r="E1122" s="655"/>
      <c r="F1122" s="684"/>
      <c r="G1122" s="684"/>
      <c r="H1122" s="635"/>
    </row>
    <row r="1123" spans="1:8" ht="12.75" customHeight="1" x14ac:dyDescent="0.25">
      <c r="A1123" s="631">
        <f t="shared" si="17"/>
        <v>1118</v>
      </c>
      <c r="B1123" s="632"/>
      <c r="C1123" s="633"/>
      <c r="D1123" s="634"/>
      <c r="E1123" s="655"/>
      <c r="F1123" s="684"/>
      <c r="G1123" s="684"/>
      <c r="H1123" s="635"/>
    </row>
    <row r="1124" spans="1:8" ht="12.75" customHeight="1" x14ac:dyDescent="0.25">
      <c r="A1124" s="631">
        <f t="shared" si="17"/>
        <v>1119</v>
      </c>
      <c r="B1124" s="632"/>
      <c r="C1124" s="633"/>
      <c r="D1124" s="634"/>
      <c r="E1124" s="655"/>
      <c r="F1124" s="684"/>
      <c r="G1124" s="684"/>
      <c r="H1124" s="635"/>
    </row>
    <row r="1125" spans="1:8" ht="12.75" customHeight="1" x14ac:dyDescent="0.25">
      <c r="A1125" s="631">
        <f t="shared" si="17"/>
        <v>1120</v>
      </c>
      <c r="B1125" s="632"/>
      <c r="C1125" s="633"/>
      <c r="D1125" s="634"/>
      <c r="E1125" s="655"/>
      <c r="F1125" s="684"/>
      <c r="G1125" s="684"/>
      <c r="H1125" s="635"/>
    </row>
    <row r="1126" spans="1:8" ht="12.75" customHeight="1" x14ac:dyDescent="0.25">
      <c r="A1126" s="631">
        <f t="shared" si="17"/>
        <v>1121</v>
      </c>
      <c r="B1126" s="632"/>
      <c r="C1126" s="633"/>
      <c r="D1126" s="634"/>
      <c r="E1126" s="655"/>
      <c r="F1126" s="684"/>
      <c r="G1126" s="684"/>
      <c r="H1126" s="635"/>
    </row>
    <row r="1127" spans="1:8" ht="12.75" customHeight="1" x14ac:dyDescent="0.25">
      <c r="A1127" s="631">
        <f t="shared" si="17"/>
        <v>1122</v>
      </c>
      <c r="B1127" s="632"/>
      <c r="C1127" s="633"/>
      <c r="D1127" s="634"/>
      <c r="E1127" s="655"/>
      <c r="F1127" s="684"/>
      <c r="G1127" s="684"/>
      <c r="H1127" s="635"/>
    </row>
    <row r="1128" spans="1:8" ht="12.75" customHeight="1" x14ac:dyDescent="0.25">
      <c r="A1128" s="631">
        <f t="shared" si="17"/>
        <v>1123</v>
      </c>
      <c r="B1128" s="632"/>
      <c r="C1128" s="633"/>
      <c r="D1128" s="634"/>
      <c r="E1128" s="655"/>
      <c r="F1128" s="684"/>
      <c r="G1128" s="684"/>
      <c r="H1128" s="635"/>
    </row>
    <row r="1129" spans="1:8" ht="12.75" customHeight="1" x14ac:dyDescent="0.25">
      <c r="A1129" s="631">
        <f t="shared" si="17"/>
        <v>1124</v>
      </c>
      <c r="B1129" s="632"/>
      <c r="C1129" s="633"/>
      <c r="D1129" s="634"/>
      <c r="E1129" s="655"/>
      <c r="F1129" s="684"/>
      <c r="G1129" s="684"/>
      <c r="H1129" s="635"/>
    </row>
    <row r="1130" spans="1:8" ht="12.75" customHeight="1" x14ac:dyDescent="0.25">
      <c r="A1130" s="631">
        <f t="shared" si="17"/>
        <v>1125</v>
      </c>
      <c r="B1130" s="632"/>
      <c r="C1130" s="633"/>
      <c r="D1130" s="634"/>
      <c r="E1130" s="655"/>
      <c r="F1130" s="684"/>
      <c r="G1130" s="684"/>
      <c r="H1130" s="635"/>
    </row>
    <row r="1131" spans="1:8" ht="12.75" customHeight="1" x14ac:dyDescent="0.25">
      <c r="A1131" s="631">
        <f t="shared" si="17"/>
        <v>1126</v>
      </c>
      <c r="B1131" s="632"/>
      <c r="C1131" s="633"/>
      <c r="D1131" s="634"/>
      <c r="E1131" s="655"/>
      <c r="F1131" s="684"/>
      <c r="G1131" s="684"/>
      <c r="H1131" s="635"/>
    </row>
    <row r="1132" spans="1:8" ht="12.75" customHeight="1" x14ac:dyDescent="0.25">
      <c r="A1132" s="631">
        <f t="shared" si="17"/>
        <v>1127</v>
      </c>
      <c r="B1132" s="632"/>
      <c r="C1132" s="633"/>
      <c r="D1132" s="634"/>
      <c r="E1132" s="655"/>
      <c r="F1132" s="684"/>
      <c r="G1132" s="684"/>
      <c r="H1132" s="635"/>
    </row>
    <row r="1133" spans="1:8" ht="12.75" customHeight="1" x14ac:dyDescent="0.25">
      <c r="A1133" s="631">
        <f t="shared" si="17"/>
        <v>1128</v>
      </c>
      <c r="B1133" s="632"/>
      <c r="C1133" s="633"/>
      <c r="D1133" s="634"/>
      <c r="E1133" s="655"/>
      <c r="F1133" s="684"/>
      <c r="G1133" s="684"/>
      <c r="H1133" s="635"/>
    </row>
    <row r="1134" spans="1:8" ht="12.75" customHeight="1" x14ac:dyDescent="0.25">
      <c r="A1134" s="631">
        <f t="shared" si="17"/>
        <v>1129</v>
      </c>
      <c r="B1134" s="632"/>
      <c r="C1134" s="633"/>
      <c r="D1134" s="634"/>
      <c r="E1134" s="655"/>
      <c r="F1134" s="684"/>
      <c r="G1134" s="684"/>
      <c r="H1134" s="635"/>
    </row>
    <row r="1135" spans="1:8" ht="12.75" customHeight="1" x14ac:dyDescent="0.25">
      <c r="A1135" s="631">
        <f t="shared" si="17"/>
        <v>1130</v>
      </c>
      <c r="B1135" s="632"/>
      <c r="C1135" s="633"/>
      <c r="D1135" s="634"/>
      <c r="E1135" s="655"/>
      <c r="F1135" s="684"/>
      <c r="G1135" s="684"/>
      <c r="H1135" s="635"/>
    </row>
    <row r="1136" spans="1:8" ht="12.75" customHeight="1" x14ac:dyDescent="0.25">
      <c r="A1136" s="631">
        <f t="shared" si="17"/>
        <v>1131</v>
      </c>
      <c r="B1136" s="632"/>
      <c r="C1136" s="633"/>
      <c r="D1136" s="634"/>
      <c r="E1136" s="655"/>
      <c r="F1136" s="684"/>
      <c r="G1136" s="684"/>
      <c r="H1136" s="635"/>
    </row>
    <row r="1137" spans="1:8" ht="12.75" customHeight="1" x14ac:dyDescent="0.25">
      <c r="A1137" s="631">
        <f t="shared" si="17"/>
        <v>1132</v>
      </c>
      <c r="B1137" s="632"/>
      <c r="C1137" s="633"/>
      <c r="D1137" s="634"/>
      <c r="E1137" s="655"/>
      <c r="F1137" s="684"/>
      <c r="G1137" s="684"/>
      <c r="H1137" s="635"/>
    </row>
    <row r="1138" spans="1:8" ht="12.75" customHeight="1" x14ac:dyDescent="0.25">
      <c r="A1138" s="631">
        <f t="shared" si="17"/>
        <v>1133</v>
      </c>
      <c r="B1138" s="632"/>
      <c r="C1138" s="633"/>
      <c r="D1138" s="634"/>
      <c r="E1138" s="655"/>
      <c r="F1138" s="684"/>
      <c r="G1138" s="684"/>
      <c r="H1138" s="635"/>
    </row>
    <row r="1139" spans="1:8" ht="12.75" customHeight="1" x14ac:dyDescent="0.25">
      <c r="A1139" s="631">
        <f t="shared" si="17"/>
        <v>1134</v>
      </c>
      <c r="B1139" s="632"/>
      <c r="C1139" s="633"/>
      <c r="D1139" s="634"/>
      <c r="E1139" s="655"/>
      <c r="F1139" s="684"/>
      <c r="G1139" s="684"/>
      <c r="H1139" s="635"/>
    </row>
    <row r="1140" spans="1:8" ht="12.75" customHeight="1" x14ac:dyDescent="0.25">
      <c r="A1140" s="631">
        <f t="shared" si="17"/>
        <v>1135</v>
      </c>
      <c r="B1140" s="632"/>
      <c r="C1140" s="633"/>
      <c r="D1140" s="634"/>
      <c r="E1140" s="655"/>
      <c r="F1140" s="684"/>
      <c r="G1140" s="684"/>
      <c r="H1140" s="635"/>
    </row>
    <row r="1141" spans="1:8" ht="12.75" customHeight="1" x14ac:dyDescent="0.25">
      <c r="A1141" s="631">
        <f t="shared" si="17"/>
        <v>1136</v>
      </c>
      <c r="B1141" s="632"/>
      <c r="C1141" s="633"/>
      <c r="D1141" s="634"/>
      <c r="E1141" s="655"/>
      <c r="F1141" s="684"/>
      <c r="G1141" s="684"/>
      <c r="H1141" s="635"/>
    </row>
    <row r="1142" spans="1:8" ht="12.75" customHeight="1" x14ac:dyDescent="0.25">
      <c r="A1142" s="631">
        <f t="shared" si="17"/>
        <v>1137</v>
      </c>
      <c r="B1142" s="632"/>
      <c r="C1142" s="633"/>
      <c r="D1142" s="634"/>
      <c r="E1142" s="655"/>
      <c r="F1142" s="684"/>
      <c r="G1142" s="684"/>
      <c r="H1142" s="635"/>
    </row>
    <row r="1143" spans="1:8" ht="12.75" customHeight="1" x14ac:dyDescent="0.25">
      <c r="A1143" s="631">
        <f t="shared" si="17"/>
        <v>1138</v>
      </c>
      <c r="B1143" s="632"/>
      <c r="C1143" s="633"/>
      <c r="D1143" s="634"/>
      <c r="E1143" s="655"/>
      <c r="F1143" s="684"/>
      <c r="G1143" s="684"/>
      <c r="H1143" s="635"/>
    </row>
    <row r="1144" spans="1:8" ht="12.75" customHeight="1" x14ac:dyDescent="0.25">
      <c r="A1144" s="631">
        <f t="shared" si="17"/>
        <v>1139</v>
      </c>
      <c r="B1144" s="632"/>
      <c r="C1144" s="633"/>
      <c r="D1144" s="634"/>
      <c r="E1144" s="655"/>
      <c r="F1144" s="684"/>
      <c r="G1144" s="684"/>
      <c r="H1144" s="635"/>
    </row>
    <row r="1145" spans="1:8" ht="12.75" customHeight="1" x14ac:dyDescent="0.25">
      <c r="A1145" s="631">
        <f t="shared" si="17"/>
        <v>1140</v>
      </c>
      <c r="B1145" s="632"/>
      <c r="C1145" s="633"/>
      <c r="D1145" s="634"/>
      <c r="E1145" s="655"/>
      <c r="F1145" s="684"/>
      <c r="G1145" s="684"/>
      <c r="H1145" s="635"/>
    </row>
    <row r="1146" spans="1:8" ht="12.75" customHeight="1" x14ac:dyDescent="0.25">
      <c r="A1146" s="631">
        <f t="shared" si="17"/>
        <v>1141</v>
      </c>
      <c r="B1146" s="632"/>
      <c r="C1146" s="633"/>
      <c r="D1146" s="634"/>
      <c r="E1146" s="655"/>
      <c r="F1146" s="684"/>
      <c r="G1146" s="684"/>
      <c r="H1146" s="635"/>
    </row>
    <row r="1147" spans="1:8" ht="12.75" customHeight="1" x14ac:dyDescent="0.25">
      <c r="A1147" s="631">
        <f t="shared" si="17"/>
        <v>1142</v>
      </c>
      <c r="B1147" s="632"/>
      <c r="C1147" s="633"/>
      <c r="D1147" s="634"/>
      <c r="E1147" s="655"/>
      <c r="F1147" s="684"/>
      <c r="G1147" s="684"/>
      <c r="H1147" s="635"/>
    </row>
    <row r="1148" spans="1:8" ht="12.75" customHeight="1" x14ac:dyDescent="0.25">
      <c r="A1148" s="631">
        <f t="shared" si="17"/>
        <v>1143</v>
      </c>
      <c r="B1148" s="632"/>
      <c r="C1148" s="633"/>
      <c r="D1148" s="634"/>
      <c r="E1148" s="655"/>
      <c r="F1148" s="684"/>
      <c r="G1148" s="684"/>
      <c r="H1148" s="635"/>
    </row>
    <row r="1149" spans="1:8" ht="12.75" customHeight="1" x14ac:dyDescent="0.25">
      <c r="A1149" s="631">
        <f t="shared" si="17"/>
        <v>1144</v>
      </c>
      <c r="B1149" s="632"/>
      <c r="C1149" s="633"/>
      <c r="D1149" s="634"/>
      <c r="E1149" s="655"/>
      <c r="F1149" s="684"/>
      <c r="G1149" s="684"/>
      <c r="H1149" s="635"/>
    </row>
    <row r="1150" spans="1:8" ht="12.75" customHeight="1" x14ac:dyDescent="0.25">
      <c r="A1150" s="631">
        <f t="shared" si="17"/>
        <v>1145</v>
      </c>
      <c r="B1150" s="632"/>
      <c r="C1150" s="633"/>
      <c r="D1150" s="634"/>
      <c r="E1150" s="655"/>
      <c r="F1150" s="684"/>
      <c r="G1150" s="684"/>
      <c r="H1150" s="635"/>
    </row>
    <row r="1151" spans="1:8" ht="12.75" customHeight="1" x14ac:dyDescent="0.25">
      <c r="A1151" s="631">
        <f t="shared" si="17"/>
        <v>1146</v>
      </c>
      <c r="B1151" s="632"/>
      <c r="C1151" s="633"/>
      <c r="D1151" s="634"/>
      <c r="E1151" s="655"/>
      <c r="F1151" s="684"/>
      <c r="G1151" s="684"/>
      <c r="H1151" s="635"/>
    </row>
    <row r="1152" spans="1:8" ht="12.75" customHeight="1" x14ac:dyDescent="0.25">
      <c r="A1152" s="631">
        <f t="shared" si="17"/>
        <v>1147</v>
      </c>
      <c r="B1152" s="632"/>
      <c r="C1152" s="633"/>
      <c r="D1152" s="634"/>
      <c r="E1152" s="655"/>
      <c r="F1152" s="684"/>
      <c r="G1152" s="684"/>
      <c r="H1152" s="635"/>
    </row>
    <row r="1153" spans="1:8" ht="12.75" customHeight="1" x14ac:dyDescent="0.25">
      <c r="A1153" s="631">
        <f t="shared" ref="A1153:A1216" si="18">ROW()-5</f>
        <v>1148</v>
      </c>
      <c r="B1153" s="632"/>
      <c r="C1153" s="633"/>
      <c r="D1153" s="634"/>
      <c r="E1153" s="655"/>
      <c r="F1153" s="684"/>
      <c r="G1153" s="684"/>
      <c r="H1153" s="635"/>
    </row>
    <row r="1154" spans="1:8" ht="12.75" customHeight="1" x14ac:dyDescent="0.25">
      <c r="A1154" s="631">
        <f t="shared" si="18"/>
        <v>1149</v>
      </c>
      <c r="B1154" s="632"/>
      <c r="C1154" s="633"/>
      <c r="D1154" s="634"/>
      <c r="E1154" s="655"/>
      <c r="F1154" s="684"/>
      <c r="G1154" s="684"/>
      <c r="H1154" s="635"/>
    </row>
    <row r="1155" spans="1:8" ht="12.75" customHeight="1" x14ac:dyDescent="0.25">
      <c r="A1155" s="631">
        <f t="shared" si="18"/>
        <v>1150</v>
      </c>
      <c r="B1155" s="632"/>
      <c r="C1155" s="633"/>
      <c r="D1155" s="634"/>
      <c r="E1155" s="655"/>
      <c r="F1155" s="684"/>
      <c r="G1155" s="684"/>
      <c r="H1155" s="635"/>
    </row>
    <row r="1156" spans="1:8" ht="12.75" customHeight="1" x14ac:dyDescent="0.25">
      <c r="A1156" s="631">
        <f t="shared" si="18"/>
        <v>1151</v>
      </c>
      <c r="B1156" s="632"/>
      <c r="C1156" s="633"/>
      <c r="D1156" s="634"/>
      <c r="E1156" s="655"/>
      <c r="F1156" s="684"/>
      <c r="G1156" s="684"/>
      <c r="H1156" s="635"/>
    </row>
    <row r="1157" spans="1:8" ht="12.75" customHeight="1" x14ac:dyDescent="0.25">
      <c r="A1157" s="631">
        <f t="shared" si="18"/>
        <v>1152</v>
      </c>
      <c r="B1157" s="632"/>
      <c r="C1157" s="633"/>
      <c r="D1157" s="634"/>
      <c r="E1157" s="655"/>
      <c r="F1157" s="684"/>
      <c r="G1157" s="684"/>
      <c r="H1157" s="635"/>
    </row>
    <row r="1158" spans="1:8" ht="12.75" customHeight="1" x14ac:dyDescent="0.25">
      <c r="A1158" s="631">
        <f t="shared" si="18"/>
        <v>1153</v>
      </c>
      <c r="B1158" s="632"/>
      <c r="C1158" s="633"/>
      <c r="D1158" s="634"/>
      <c r="E1158" s="655"/>
      <c r="F1158" s="684"/>
      <c r="G1158" s="684"/>
      <c r="H1158" s="635"/>
    </row>
    <row r="1159" spans="1:8" ht="12.75" customHeight="1" x14ac:dyDescent="0.25">
      <c r="A1159" s="631">
        <f t="shared" si="18"/>
        <v>1154</v>
      </c>
      <c r="B1159" s="632"/>
      <c r="C1159" s="633"/>
      <c r="D1159" s="634"/>
      <c r="E1159" s="655"/>
      <c r="F1159" s="684"/>
      <c r="G1159" s="684"/>
      <c r="H1159" s="635"/>
    </row>
    <row r="1160" spans="1:8" ht="12.75" customHeight="1" x14ac:dyDescent="0.25">
      <c r="A1160" s="631">
        <f t="shared" si="18"/>
        <v>1155</v>
      </c>
      <c r="B1160" s="632"/>
      <c r="C1160" s="633"/>
      <c r="D1160" s="634"/>
      <c r="E1160" s="655"/>
      <c r="F1160" s="684"/>
      <c r="G1160" s="684"/>
      <c r="H1160" s="635"/>
    </row>
    <row r="1161" spans="1:8" ht="12.75" customHeight="1" x14ac:dyDescent="0.25">
      <c r="A1161" s="631">
        <f t="shared" si="18"/>
        <v>1156</v>
      </c>
      <c r="B1161" s="632"/>
      <c r="C1161" s="633"/>
      <c r="D1161" s="634"/>
      <c r="E1161" s="655"/>
      <c r="F1161" s="684"/>
      <c r="G1161" s="684"/>
      <c r="H1161" s="635"/>
    </row>
    <row r="1162" spans="1:8" ht="12.75" customHeight="1" x14ac:dyDescent="0.25">
      <c r="A1162" s="631">
        <f t="shared" si="18"/>
        <v>1157</v>
      </c>
      <c r="B1162" s="632"/>
      <c r="C1162" s="633"/>
      <c r="D1162" s="634"/>
      <c r="E1162" s="655"/>
      <c r="F1162" s="684"/>
      <c r="G1162" s="684"/>
      <c r="H1162" s="635"/>
    </row>
    <row r="1163" spans="1:8" ht="12.75" customHeight="1" x14ac:dyDescent="0.25">
      <c r="A1163" s="631">
        <f t="shared" si="18"/>
        <v>1158</v>
      </c>
      <c r="B1163" s="632"/>
      <c r="C1163" s="633"/>
      <c r="D1163" s="634"/>
      <c r="E1163" s="655"/>
      <c r="F1163" s="684"/>
      <c r="G1163" s="684"/>
      <c r="H1163" s="635"/>
    </row>
    <row r="1164" spans="1:8" ht="12.75" customHeight="1" x14ac:dyDescent="0.25">
      <c r="A1164" s="631">
        <f t="shared" si="18"/>
        <v>1159</v>
      </c>
      <c r="B1164" s="632"/>
      <c r="C1164" s="633"/>
      <c r="D1164" s="634"/>
      <c r="E1164" s="655"/>
      <c r="F1164" s="684"/>
      <c r="G1164" s="684"/>
      <c r="H1164" s="635"/>
    </row>
    <row r="1165" spans="1:8" ht="12.75" customHeight="1" x14ac:dyDescent="0.25">
      <c r="A1165" s="631">
        <f t="shared" si="18"/>
        <v>1160</v>
      </c>
      <c r="B1165" s="632"/>
      <c r="C1165" s="633"/>
      <c r="D1165" s="634"/>
      <c r="E1165" s="655"/>
      <c r="F1165" s="684"/>
      <c r="G1165" s="684"/>
      <c r="H1165" s="635"/>
    </row>
    <row r="1166" spans="1:8" ht="12.75" customHeight="1" x14ac:dyDescent="0.25">
      <c r="A1166" s="631">
        <f t="shared" si="18"/>
        <v>1161</v>
      </c>
      <c r="B1166" s="632"/>
      <c r="C1166" s="633"/>
      <c r="D1166" s="634"/>
      <c r="E1166" s="655"/>
      <c r="F1166" s="684"/>
      <c r="G1166" s="684"/>
      <c r="H1166" s="635"/>
    </row>
    <row r="1167" spans="1:8" ht="12.75" customHeight="1" x14ac:dyDescent="0.25">
      <c r="A1167" s="631">
        <f t="shared" si="18"/>
        <v>1162</v>
      </c>
      <c r="B1167" s="632"/>
      <c r="C1167" s="633"/>
      <c r="D1167" s="634"/>
      <c r="E1167" s="655"/>
      <c r="F1167" s="684"/>
      <c r="G1167" s="684"/>
      <c r="H1167" s="635"/>
    </row>
    <row r="1168" spans="1:8" ht="12.75" customHeight="1" x14ac:dyDescent="0.25">
      <c r="A1168" s="631">
        <f t="shared" si="18"/>
        <v>1163</v>
      </c>
      <c r="B1168" s="632"/>
      <c r="C1168" s="633"/>
      <c r="D1168" s="634"/>
      <c r="E1168" s="655"/>
      <c r="F1168" s="684"/>
      <c r="G1168" s="684"/>
      <c r="H1168" s="635"/>
    </row>
    <row r="1169" spans="1:8" ht="12.75" customHeight="1" x14ac:dyDescent="0.25">
      <c r="A1169" s="631">
        <f t="shared" si="18"/>
        <v>1164</v>
      </c>
      <c r="B1169" s="632"/>
      <c r="C1169" s="633"/>
      <c r="D1169" s="634"/>
      <c r="E1169" s="655"/>
      <c r="F1169" s="684"/>
      <c r="G1169" s="684"/>
      <c r="H1169" s="635"/>
    </row>
    <row r="1170" spans="1:8" ht="12.75" customHeight="1" x14ac:dyDescent="0.25">
      <c r="A1170" s="631">
        <f t="shared" si="18"/>
        <v>1165</v>
      </c>
      <c r="B1170" s="632"/>
      <c r="C1170" s="633"/>
      <c r="D1170" s="634"/>
      <c r="E1170" s="655"/>
      <c r="F1170" s="684"/>
      <c r="G1170" s="684"/>
      <c r="H1170" s="635"/>
    </row>
    <row r="1171" spans="1:8" ht="12.75" customHeight="1" x14ac:dyDescent="0.25">
      <c r="A1171" s="631">
        <f t="shared" si="18"/>
        <v>1166</v>
      </c>
      <c r="B1171" s="632"/>
      <c r="C1171" s="633"/>
      <c r="D1171" s="634"/>
      <c r="E1171" s="655"/>
      <c r="F1171" s="684"/>
      <c r="G1171" s="684"/>
      <c r="H1171" s="635"/>
    </row>
    <row r="1172" spans="1:8" ht="12.75" customHeight="1" x14ac:dyDescent="0.25">
      <c r="A1172" s="631">
        <f t="shared" si="18"/>
        <v>1167</v>
      </c>
      <c r="B1172" s="632"/>
      <c r="C1172" s="633"/>
      <c r="D1172" s="634"/>
      <c r="E1172" s="655"/>
      <c r="F1172" s="684"/>
      <c r="G1172" s="684"/>
      <c r="H1172" s="635"/>
    </row>
    <row r="1173" spans="1:8" ht="12.75" customHeight="1" x14ac:dyDescent="0.25">
      <c r="A1173" s="631">
        <f t="shared" si="18"/>
        <v>1168</v>
      </c>
      <c r="B1173" s="632"/>
      <c r="C1173" s="633"/>
      <c r="D1173" s="634"/>
      <c r="E1173" s="655"/>
      <c r="F1173" s="684"/>
      <c r="G1173" s="684"/>
      <c r="H1173" s="635"/>
    </row>
    <row r="1174" spans="1:8" ht="12.75" customHeight="1" x14ac:dyDescent="0.25">
      <c r="A1174" s="631">
        <f t="shared" si="18"/>
        <v>1169</v>
      </c>
      <c r="B1174" s="632"/>
      <c r="C1174" s="633"/>
      <c r="D1174" s="634"/>
      <c r="E1174" s="655"/>
      <c r="F1174" s="684"/>
      <c r="G1174" s="684"/>
      <c r="H1174" s="635"/>
    </row>
    <row r="1175" spans="1:8" ht="12.75" customHeight="1" x14ac:dyDescent="0.25">
      <c r="A1175" s="631">
        <f t="shared" si="18"/>
        <v>1170</v>
      </c>
      <c r="B1175" s="632"/>
      <c r="C1175" s="633"/>
      <c r="D1175" s="634"/>
      <c r="E1175" s="655"/>
      <c r="F1175" s="684"/>
      <c r="G1175" s="684"/>
      <c r="H1175" s="635"/>
    </row>
    <row r="1176" spans="1:8" ht="12.75" customHeight="1" x14ac:dyDescent="0.25">
      <c r="A1176" s="631">
        <f t="shared" si="18"/>
        <v>1171</v>
      </c>
      <c r="B1176" s="632"/>
      <c r="C1176" s="633"/>
      <c r="D1176" s="634"/>
      <c r="E1176" s="655"/>
      <c r="F1176" s="684"/>
      <c r="G1176" s="684"/>
      <c r="H1176" s="635"/>
    </row>
    <row r="1177" spans="1:8" ht="12.75" customHeight="1" x14ac:dyDescent="0.25">
      <c r="A1177" s="631">
        <f t="shared" si="18"/>
        <v>1172</v>
      </c>
      <c r="B1177" s="632"/>
      <c r="C1177" s="633"/>
      <c r="D1177" s="634"/>
      <c r="E1177" s="655"/>
      <c r="F1177" s="684"/>
      <c r="G1177" s="684"/>
      <c r="H1177" s="635"/>
    </row>
    <row r="1178" spans="1:8" ht="12.75" customHeight="1" x14ac:dyDescent="0.25">
      <c r="A1178" s="631">
        <f t="shared" si="18"/>
        <v>1173</v>
      </c>
      <c r="B1178" s="632"/>
      <c r="C1178" s="633"/>
      <c r="D1178" s="634"/>
      <c r="E1178" s="655"/>
      <c r="F1178" s="684"/>
      <c r="G1178" s="684"/>
      <c r="H1178" s="635"/>
    </row>
    <row r="1179" spans="1:8" ht="12.75" customHeight="1" x14ac:dyDescent="0.25">
      <c r="A1179" s="631">
        <f t="shared" si="18"/>
        <v>1174</v>
      </c>
      <c r="B1179" s="632"/>
      <c r="C1179" s="633"/>
      <c r="D1179" s="634"/>
      <c r="E1179" s="655"/>
      <c r="F1179" s="684"/>
      <c r="G1179" s="684"/>
      <c r="H1179" s="635"/>
    </row>
    <row r="1180" spans="1:8" ht="12.75" customHeight="1" x14ac:dyDescent="0.25">
      <c r="A1180" s="631">
        <f t="shared" si="18"/>
        <v>1175</v>
      </c>
      <c r="B1180" s="632"/>
      <c r="C1180" s="633"/>
      <c r="D1180" s="634"/>
      <c r="E1180" s="655"/>
      <c r="F1180" s="684"/>
      <c r="G1180" s="684"/>
      <c r="H1180" s="635"/>
    </row>
    <row r="1181" spans="1:8" ht="12.75" customHeight="1" x14ac:dyDescent="0.25">
      <c r="A1181" s="631">
        <f t="shared" si="18"/>
        <v>1176</v>
      </c>
      <c r="B1181" s="632"/>
      <c r="C1181" s="633"/>
      <c r="D1181" s="634"/>
      <c r="E1181" s="655"/>
      <c r="F1181" s="684"/>
      <c r="G1181" s="684"/>
      <c r="H1181" s="635"/>
    </row>
    <row r="1182" spans="1:8" ht="12.75" customHeight="1" x14ac:dyDescent="0.25">
      <c r="A1182" s="631">
        <f t="shared" si="18"/>
        <v>1177</v>
      </c>
      <c r="B1182" s="632"/>
      <c r="C1182" s="633"/>
      <c r="D1182" s="634"/>
      <c r="E1182" s="655"/>
      <c r="F1182" s="684"/>
      <c r="G1182" s="684"/>
      <c r="H1182" s="635"/>
    </row>
    <row r="1183" spans="1:8" ht="12.75" customHeight="1" x14ac:dyDescent="0.25">
      <c r="A1183" s="631">
        <f t="shared" si="18"/>
        <v>1178</v>
      </c>
      <c r="B1183" s="632"/>
      <c r="C1183" s="633"/>
      <c r="D1183" s="634"/>
      <c r="E1183" s="655"/>
      <c r="F1183" s="684"/>
      <c r="G1183" s="684"/>
      <c r="H1183" s="635"/>
    </row>
    <row r="1184" spans="1:8" ht="12.75" customHeight="1" x14ac:dyDescent="0.25">
      <c r="A1184" s="631">
        <f t="shared" si="18"/>
        <v>1179</v>
      </c>
      <c r="B1184" s="632"/>
      <c r="C1184" s="633"/>
      <c r="D1184" s="634"/>
      <c r="E1184" s="655"/>
      <c r="F1184" s="684"/>
      <c r="G1184" s="684"/>
      <c r="H1184" s="635"/>
    </row>
    <row r="1185" spans="1:8" ht="12.75" customHeight="1" x14ac:dyDescent="0.25">
      <c r="A1185" s="631">
        <f t="shared" si="18"/>
        <v>1180</v>
      </c>
      <c r="B1185" s="632"/>
      <c r="C1185" s="633"/>
      <c r="D1185" s="634"/>
      <c r="E1185" s="655"/>
      <c r="F1185" s="684"/>
      <c r="G1185" s="684"/>
      <c r="H1185" s="635"/>
    </row>
    <row r="1186" spans="1:8" ht="12.75" customHeight="1" x14ac:dyDescent="0.25">
      <c r="A1186" s="631">
        <f t="shared" si="18"/>
        <v>1181</v>
      </c>
      <c r="B1186" s="632"/>
      <c r="C1186" s="633"/>
      <c r="D1186" s="634"/>
      <c r="E1186" s="655"/>
      <c r="F1186" s="684"/>
      <c r="G1186" s="684"/>
      <c r="H1186" s="635"/>
    </row>
    <row r="1187" spans="1:8" ht="12.75" customHeight="1" x14ac:dyDescent="0.25">
      <c r="A1187" s="631">
        <f t="shared" si="18"/>
        <v>1182</v>
      </c>
      <c r="B1187" s="632"/>
      <c r="C1187" s="633"/>
      <c r="D1187" s="634"/>
      <c r="E1187" s="655"/>
      <c r="F1187" s="684"/>
      <c r="G1187" s="684"/>
      <c r="H1187" s="635"/>
    </row>
    <row r="1188" spans="1:8" ht="12.75" customHeight="1" x14ac:dyDescent="0.25">
      <c r="A1188" s="631">
        <f t="shared" si="18"/>
        <v>1183</v>
      </c>
      <c r="B1188" s="632"/>
      <c r="C1188" s="633"/>
      <c r="D1188" s="634"/>
      <c r="E1188" s="655"/>
      <c r="F1188" s="684"/>
      <c r="G1188" s="684"/>
      <c r="H1188" s="635"/>
    </row>
    <row r="1189" spans="1:8" ht="12.75" customHeight="1" x14ac:dyDescent="0.25">
      <c r="A1189" s="631">
        <f t="shared" si="18"/>
        <v>1184</v>
      </c>
      <c r="B1189" s="632"/>
      <c r="C1189" s="633"/>
      <c r="D1189" s="634"/>
      <c r="E1189" s="655"/>
      <c r="F1189" s="684"/>
      <c r="G1189" s="684"/>
      <c r="H1189" s="635"/>
    </row>
    <row r="1190" spans="1:8" ht="12.75" customHeight="1" x14ac:dyDescent="0.25">
      <c r="A1190" s="631">
        <f t="shared" si="18"/>
        <v>1185</v>
      </c>
      <c r="B1190" s="632"/>
      <c r="C1190" s="633"/>
      <c r="D1190" s="634"/>
      <c r="E1190" s="655"/>
      <c r="F1190" s="684"/>
      <c r="G1190" s="684"/>
      <c r="H1190" s="635"/>
    </row>
    <row r="1191" spans="1:8" ht="12.75" customHeight="1" x14ac:dyDescent="0.25">
      <c r="A1191" s="631">
        <f t="shared" si="18"/>
        <v>1186</v>
      </c>
      <c r="B1191" s="632"/>
      <c r="C1191" s="633"/>
      <c r="D1191" s="634"/>
      <c r="E1191" s="655"/>
      <c r="F1191" s="684"/>
      <c r="G1191" s="684"/>
      <c r="H1191" s="635"/>
    </row>
    <row r="1192" spans="1:8" ht="12.75" customHeight="1" x14ac:dyDescent="0.25">
      <c r="A1192" s="631">
        <f t="shared" si="18"/>
        <v>1187</v>
      </c>
      <c r="B1192" s="632"/>
      <c r="C1192" s="633"/>
      <c r="D1192" s="634"/>
      <c r="E1192" s="655"/>
      <c r="F1192" s="684"/>
      <c r="G1192" s="684"/>
      <c r="H1192" s="635"/>
    </row>
    <row r="1193" spans="1:8" ht="12.75" customHeight="1" x14ac:dyDescent="0.25">
      <c r="A1193" s="631">
        <f t="shared" si="18"/>
        <v>1188</v>
      </c>
      <c r="B1193" s="632"/>
      <c r="C1193" s="633"/>
      <c r="D1193" s="634"/>
      <c r="E1193" s="655"/>
      <c r="F1193" s="684"/>
      <c r="G1193" s="684"/>
      <c r="H1193" s="635"/>
    </row>
    <row r="1194" spans="1:8" ht="12.75" customHeight="1" x14ac:dyDescent="0.25">
      <c r="A1194" s="631">
        <f t="shared" si="18"/>
        <v>1189</v>
      </c>
      <c r="B1194" s="632"/>
      <c r="C1194" s="633"/>
      <c r="D1194" s="634"/>
      <c r="E1194" s="655"/>
      <c r="F1194" s="684"/>
      <c r="G1194" s="684"/>
      <c r="H1194" s="635"/>
    </row>
    <row r="1195" spans="1:8" ht="12.75" customHeight="1" x14ac:dyDescent="0.25">
      <c r="A1195" s="631">
        <f t="shared" si="18"/>
        <v>1190</v>
      </c>
      <c r="B1195" s="632"/>
      <c r="C1195" s="633"/>
      <c r="D1195" s="634"/>
      <c r="E1195" s="655"/>
      <c r="F1195" s="684"/>
      <c r="G1195" s="684"/>
      <c r="H1195" s="635"/>
    </row>
    <row r="1196" spans="1:8" ht="12.75" customHeight="1" x14ac:dyDescent="0.25">
      <c r="A1196" s="631">
        <f t="shared" si="18"/>
        <v>1191</v>
      </c>
      <c r="B1196" s="632"/>
      <c r="C1196" s="633"/>
      <c r="D1196" s="634"/>
      <c r="E1196" s="655"/>
      <c r="F1196" s="684"/>
      <c r="G1196" s="684"/>
      <c r="H1196" s="635"/>
    </row>
    <row r="1197" spans="1:8" ht="12.75" customHeight="1" x14ac:dyDescent="0.25">
      <c r="A1197" s="631">
        <f t="shared" si="18"/>
        <v>1192</v>
      </c>
      <c r="B1197" s="632"/>
      <c r="C1197" s="633"/>
      <c r="D1197" s="634"/>
      <c r="E1197" s="655"/>
      <c r="F1197" s="684"/>
      <c r="G1197" s="684"/>
      <c r="H1197" s="635"/>
    </row>
    <row r="1198" spans="1:8" ht="12.75" customHeight="1" x14ac:dyDescent="0.25">
      <c r="A1198" s="631">
        <f t="shared" si="18"/>
        <v>1193</v>
      </c>
      <c r="B1198" s="632"/>
      <c r="C1198" s="633"/>
      <c r="D1198" s="634"/>
      <c r="E1198" s="655"/>
      <c r="F1198" s="684"/>
      <c r="G1198" s="684"/>
      <c r="H1198" s="635"/>
    </row>
    <row r="1199" spans="1:8" ht="12.75" customHeight="1" x14ac:dyDescent="0.25">
      <c r="A1199" s="631">
        <f t="shared" si="18"/>
        <v>1194</v>
      </c>
      <c r="B1199" s="632"/>
      <c r="C1199" s="633"/>
      <c r="D1199" s="634"/>
      <c r="E1199" s="655"/>
      <c r="F1199" s="684"/>
      <c r="G1199" s="684"/>
      <c r="H1199" s="635"/>
    </row>
    <row r="1200" spans="1:8" ht="12.75" customHeight="1" x14ac:dyDescent="0.25">
      <c r="A1200" s="631">
        <f t="shared" si="18"/>
        <v>1195</v>
      </c>
      <c r="B1200" s="632"/>
      <c r="C1200" s="633"/>
      <c r="D1200" s="634"/>
      <c r="E1200" s="655"/>
      <c r="F1200" s="684"/>
      <c r="G1200" s="684"/>
      <c r="H1200" s="635"/>
    </row>
    <row r="1201" spans="1:8" ht="12.75" customHeight="1" x14ac:dyDescent="0.25">
      <c r="A1201" s="631">
        <f t="shared" si="18"/>
        <v>1196</v>
      </c>
      <c r="B1201" s="632"/>
      <c r="C1201" s="633"/>
      <c r="D1201" s="634"/>
      <c r="E1201" s="655"/>
      <c r="F1201" s="684"/>
      <c r="G1201" s="684"/>
      <c r="H1201" s="635"/>
    </row>
    <row r="1202" spans="1:8" ht="12.75" customHeight="1" x14ac:dyDescent="0.25">
      <c r="A1202" s="631">
        <f t="shared" si="18"/>
        <v>1197</v>
      </c>
      <c r="B1202" s="632"/>
      <c r="C1202" s="633"/>
      <c r="D1202" s="634"/>
      <c r="E1202" s="655"/>
      <c r="F1202" s="684"/>
      <c r="G1202" s="684"/>
      <c r="H1202" s="635"/>
    </row>
    <row r="1203" spans="1:8" ht="12.75" customHeight="1" x14ac:dyDescent="0.25">
      <c r="A1203" s="631">
        <f t="shared" si="18"/>
        <v>1198</v>
      </c>
      <c r="B1203" s="632"/>
      <c r="C1203" s="633"/>
      <c r="D1203" s="634"/>
      <c r="E1203" s="655"/>
      <c r="F1203" s="684"/>
      <c r="G1203" s="684"/>
      <c r="H1203" s="635"/>
    </row>
    <row r="1204" spans="1:8" ht="12.75" customHeight="1" x14ac:dyDescent="0.25">
      <c r="A1204" s="631">
        <f t="shared" si="18"/>
        <v>1199</v>
      </c>
      <c r="B1204" s="632"/>
      <c r="C1204" s="633"/>
      <c r="D1204" s="634"/>
      <c r="E1204" s="655"/>
      <c r="F1204" s="684"/>
      <c r="G1204" s="684"/>
      <c r="H1204" s="635"/>
    </row>
    <row r="1205" spans="1:8" ht="12.75" customHeight="1" x14ac:dyDescent="0.25">
      <c r="A1205" s="631">
        <f t="shared" si="18"/>
        <v>1200</v>
      </c>
      <c r="B1205" s="632"/>
      <c r="C1205" s="633"/>
      <c r="D1205" s="634"/>
      <c r="E1205" s="655"/>
      <c r="F1205" s="684"/>
      <c r="G1205" s="684"/>
      <c r="H1205" s="635"/>
    </row>
    <row r="1206" spans="1:8" ht="12.75" customHeight="1" x14ac:dyDescent="0.25">
      <c r="A1206" s="631">
        <f t="shared" si="18"/>
        <v>1201</v>
      </c>
      <c r="B1206" s="632"/>
      <c r="C1206" s="633"/>
      <c r="D1206" s="634"/>
      <c r="E1206" s="655"/>
      <c r="F1206" s="684"/>
      <c r="G1206" s="684"/>
      <c r="H1206" s="635"/>
    </row>
    <row r="1207" spans="1:8" ht="12.75" customHeight="1" x14ac:dyDescent="0.25">
      <c r="A1207" s="631">
        <f t="shared" si="18"/>
        <v>1202</v>
      </c>
      <c r="B1207" s="632"/>
      <c r="C1207" s="633"/>
      <c r="D1207" s="634"/>
      <c r="E1207" s="655"/>
      <c r="F1207" s="684"/>
      <c r="G1207" s="684"/>
      <c r="H1207" s="635"/>
    </row>
    <row r="1208" spans="1:8" ht="12.75" customHeight="1" x14ac:dyDescent="0.25">
      <c r="A1208" s="631">
        <f t="shared" si="18"/>
        <v>1203</v>
      </c>
      <c r="B1208" s="632"/>
      <c r="C1208" s="633"/>
      <c r="D1208" s="634"/>
      <c r="E1208" s="655"/>
      <c r="F1208" s="684"/>
      <c r="G1208" s="684"/>
      <c r="H1208" s="635"/>
    </row>
    <row r="1209" spans="1:8" ht="12.75" customHeight="1" x14ac:dyDescent="0.25">
      <c r="A1209" s="631">
        <f t="shared" si="18"/>
        <v>1204</v>
      </c>
      <c r="B1209" s="632"/>
      <c r="C1209" s="633"/>
      <c r="D1209" s="634"/>
      <c r="E1209" s="655"/>
      <c r="F1209" s="684"/>
      <c r="G1209" s="684"/>
      <c r="H1209" s="635"/>
    </row>
    <row r="1210" spans="1:8" ht="12.75" customHeight="1" x14ac:dyDescent="0.25">
      <c r="A1210" s="631">
        <f t="shared" si="18"/>
        <v>1205</v>
      </c>
      <c r="B1210" s="632"/>
      <c r="C1210" s="633"/>
      <c r="D1210" s="634"/>
      <c r="E1210" s="655"/>
      <c r="F1210" s="684"/>
      <c r="G1210" s="684"/>
      <c r="H1210" s="635"/>
    </row>
    <row r="1211" spans="1:8" ht="12.75" customHeight="1" x14ac:dyDescent="0.25">
      <c r="A1211" s="631">
        <f t="shared" si="18"/>
        <v>1206</v>
      </c>
      <c r="B1211" s="632"/>
      <c r="C1211" s="633"/>
      <c r="D1211" s="634"/>
      <c r="E1211" s="655"/>
      <c r="F1211" s="684"/>
      <c r="G1211" s="684"/>
      <c r="H1211" s="635"/>
    </row>
    <row r="1212" spans="1:8" ht="12.75" customHeight="1" x14ac:dyDescent="0.25">
      <c r="A1212" s="631">
        <f t="shared" si="18"/>
        <v>1207</v>
      </c>
      <c r="B1212" s="632"/>
      <c r="C1212" s="633"/>
      <c r="D1212" s="634"/>
      <c r="E1212" s="655"/>
      <c r="F1212" s="684"/>
      <c r="G1212" s="684"/>
      <c r="H1212" s="635"/>
    </row>
    <row r="1213" spans="1:8" ht="12.75" customHeight="1" x14ac:dyDescent="0.25">
      <c r="A1213" s="631">
        <f t="shared" si="18"/>
        <v>1208</v>
      </c>
      <c r="B1213" s="632"/>
      <c r="C1213" s="633"/>
      <c r="D1213" s="634"/>
      <c r="E1213" s="655"/>
      <c r="F1213" s="684"/>
      <c r="G1213" s="684"/>
      <c r="H1213" s="635"/>
    </row>
    <row r="1214" spans="1:8" ht="12.75" customHeight="1" x14ac:dyDescent="0.25">
      <c r="A1214" s="631">
        <f t="shared" si="18"/>
        <v>1209</v>
      </c>
      <c r="B1214" s="632"/>
      <c r="C1214" s="633"/>
      <c r="D1214" s="634"/>
      <c r="E1214" s="655"/>
      <c r="F1214" s="684"/>
      <c r="G1214" s="684"/>
      <c r="H1214" s="635"/>
    </row>
    <row r="1215" spans="1:8" ht="12.75" customHeight="1" x14ac:dyDescent="0.25">
      <c r="A1215" s="631">
        <f t="shared" si="18"/>
        <v>1210</v>
      </c>
      <c r="B1215" s="632"/>
      <c r="C1215" s="633"/>
      <c r="D1215" s="634"/>
      <c r="E1215" s="655"/>
      <c r="F1215" s="684"/>
      <c r="G1215" s="684"/>
      <c r="H1215" s="635"/>
    </row>
    <row r="1216" spans="1:8" ht="12.75" customHeight="1" x14ac:dyDescent="0.25">
      <c r="A1216" s="631">
        <f t="shared" si="18"/>
        <v>1211</v>
      </c>
      <c r="B1216" s="632"/>
      <c r="C1216" s="633"/>
      <c r="D1216" s="634"/>
      <c r="E1216" s="655"/>
      <c r="F1216" s="684"/>
      <c r="G1216" s="684"/>
      <c r="H1216" s="635"/>
    </row>
    <row r="1217" spans="1:8" ht="12.75" customHeight="1" x14ac:dyDescent="0.25">
      <c r="A1217" s="631">
        <f t="shared" ref="A1217:A1280" si="19">ROW()-5</f>
        <v>1212</v>
      </c>
      <c r="B1217" s="632"/>
      <c r="C1217" s="633"/>
      <c r="D1217" s="634"/>
      <c r="E1217" s="655"/>
      <c r="F1217" s="684"/>
      <c r="G1217" s="684"/>
      <c r="H1217" s="635"/>
    </row>
    <row r="1218" spans="1:8" ht="12.75" customHeight="1" x14ac:dyDescent="0.25">
      <c r="A1218" s="631">
        <f t="shared" si="19"/>
        <v>1213</v>
      </c>
      <c r="B1218" s="632"/>
      <c r="C1218" s="633"/>
      <c r="D1218" s="634"/>
      <c r="E1218" s="655"/>
      <c r="F1218" s="684"/>
      <c r="G1218" s="684"/>
      <c r="H1218" s="635"/>
    </row>
    <row r="1219" spans="1:8" ht="12.75" customHeight="1" x14ac:dyDescent="0.25">
      <c r="A1219" s="631">
        <f t="shared" si="19"/>
        <v>1214</v>
      </c>
      <c r="B1219" s="632"/>
      <c r="C1219" s="633"/>
      <c r="D1219" s="634"/>
      <c r="E1219" s="655"/>
      <c r="F1219" s="684"/>
      <c r="G1219" s="684"/>
      <c r="H1219" s="635"/>
    </row>
    <row r="1220" spans="1:8" ht="12.75" customHeight="1" x14ac:dyDescent="0.25">
      <c r="A1220" s="631">
        <f t="shared" si="19"/>
        <v>1215</v>
      </c>
      <c r="B1220" s="632"/>
      <c r="C1220" s="633"/>
      <c r="D1220" s="634"/>
      <c r="E1220" s="655"/>
      <c r="F1220" s="684"/>
      <c r="G1220" s="684"/>
      <c r="H1220" s="635"/>
    </row>
    <row r="1221" spans="1:8" ht="12.75" customHeight="1" x14ac:dyDescent="0.25">
      <c r="A1221" s="631">
        <f t="shared" si="19"/>
        <v>1216</v>
      </c>
      <c r="B1221" s="632"/>
      <c r="C1221" s="633"/>
      <c r="D1221" s="634"/>
      <c r="E1221" s="655"/>
      <c r="F1221" s="684"/>
      <c r="G1221" s="684"/>
      <c r="H1221" s="635"/>
    </row>
    <row r="1222" spans="1:8" ht="12.75" customHeight="1" x14ac:dyDescent="0.25">
      <c r="A1222" s="631">
        <f t="shared" si="19"/>
        <v>1217</v>
      </c>
      <c r="B1222" s="632"/>
      <c r="C1222" s="633"/>
      <c r="D1222" s="634"/>
      <c r="E1222" s="655"/>
      <c r="F1222" s="684"/>
      <c r="G1222" s="684"/>
      <c r="H1222" s="635"/>
    </row>
    <row r="1223" spans="1:8" ht="12.75" customHeight="1" x14ac:dyDescent="0.25">
      <c r="A1223" s="631">
        <f t="shared" si="19"/>
        <v>1218</v>
      </c>
      <c r="B1223" s="632"/>
      <c r="C1223" s="633"/>
      <c r="D1223" s="634"/>
      <c r="E1223" s="655"/>
      <c r="F1223" s="684"/>
      <c r="G1223" s="684"/>
      <c r="H1223" s="635"/>
    </row>
    <row r="1224" spans="1:8" ht="12.75" customHeight="1" x14ac:dyDescent="0.25">
      <c r="A1224" s="631">
        <f t="shared" si="19"/>
        <v>1219</v>
      </c>
      <c r="B1224" s="632"/>
      <c r="C1224" s="633"/>
      <c r="D1224" s="634"/>
      <c r="E1224" s="655"/>
      <c r="F1224" s="684"/>
      <c r="G1224" s="684"/>
      <c r="H1224" s="635"/>
    </row>
    <row r="1225" spans="1:8" ht="12.75" customHeight="1" x14ac:dyDescent="0.25">
      <c r="A1225" s="631">
        <f t="shared" si="19"/>
        <v>1220</v>
      </c>
      <c r="B1225" s="632"/>
      <c r="C1225" s="633"/>
      <c r="D1225" s="634"/>
      <c r="E1225" s="655"/>
      <c r="F1225" s="684"/>
      <c r="G1225" s="684"/>
      <c r="H1225" s="635"/>
    </row>
    <row r="1226" spans="1:8" ht="12.75" customHeight="1" x14ac:dyDescent="0.25">
      <c r="A1226" s="631">
        <f t="shared" si="19"/>
        <v>1221</v>
      </c>
      <c r="B1226" s="632"/>
      <c r="C1226" s="633"/>
      <c r="D1226" s="634"/>
      <c r="E1226" s="655"/>
      <c r="F1226" s="684"/>
      <c r="G1226" s="684"/>
      <c r="H1226" s="635"/>
    </row>
    <row r="1227" spans="1:8" ht="12.75" customHeight="1" x14ac:dyDescent="0.25">
      <c r="A1227" s="631">
        <f t="shared" si="19"/>
        <v>1222</v>
      </c>
      <c r="B1227" s="632"/>
      <c r="C1227" s="633"/>
      <c r="D1227" s="634"/>
      <c r="E1227" s="655"/>
      <c r="F1227" s="684"/>
      <c r="G1227" s="684"/>
      <c r="H1227" s="635"/>
    </row>
    <row r="1228" spans="1:8" ht="12.75" customHeight="1" x14ac:dyDescent="0.25">
      <c r="A1228" s="631">
        <f t="shared" si="19"/>
        <v>1223</v>
      </c>
      <c r="B1228" s="632"/>
      <c r="C1228" s="633"/>
      <c r="D1228" s="634"/>
      <c r="E1228" s="655"/>
      <c r="F1228" s="684"/>
      <c r="G1228" s="684"/>
      <c r="H1228" s="635"/>
    </row>
    <row r="1229" spans="1:8" ht="12.75" customHeight="1" x14ac:dyDescent="0.25">
      <c r="A1229" s="631">
        <f t="shared" si="19"/>
        <v>1224</v>
      </c>
      <c r="B1229" s="632"/>
      <c r="C1229" s="633"/>
      <c r="D1229" s="634"/>
      <c r="E1229" s="655"/>
      <c r="F1229" s="684"/>
      <c r="G1229" s="684"/>
      <c r="H1229" s="635"/>
    </row>
    <row r="1230" spans="1:8" ht="12.75" customHeight="1" x14ac:dyDescent="0.25">
      <c r="A1230" s="631">
        <f t="shared" si="19"/>
        <v>1225</v>
      </c>
      <c r="B1230" s="632"/>
      <c r="C1230" s="633"/>
      <c r="D1230" s="634"/>
      <c r="E1230" s="655"/>
      <c r="F1230" s="684"/>
      <c r="G1230" s="684"/>
      <c r="H1230" s="635"/>
    </row>
    <row r="1231" spans="1:8" ht="12.75" customHeight="1" x14ac:dyDescent="0.25">
      <c r="A1231" s="631">
        <f t="shared" si="19"/>
        <v>1226</v>
      </c>
      <c r="B1231" s="632"/>
      <c r="C1231" s="633"/>
      <c r="D1231" s="634"/>
      <c r="E1231" s="655"/>
      <c r="F1231" s="684"/>
      <c r="G1231" s="684"/>
      <c r="H1231" s="635"/>
    </row>
    <row r="1232" spans="1:8" ht="12.75" customHeight="1" x14ac:dyDescent="0.25">
      <c r="A1232" s="631">
        <f t="shared" si="19"/>
        <v>1227</v>
      </c>
      <c r="B1232" s="632"/>
      <c r="C1232" s="633"/>
      <c r="D1232" s="634"/>
      <c r="E1232" s="655"/>
      <c r="F1232" s="684"/>
      <c r="G1232" s="684"/>
      <c r="H1232" s="635"/>
    </row>
    <row r="1233" spans="1:8" ht="12.75" customHeight="1" x14ac:dyDescent="0.25">
      <c r="A1233" s="631">
        <f t="shared" si="19"/>
        <v>1228</v>
      </c>
      <c r="B1233" s="632"/>
      <c r="C1233" s="633"/>
      <c r="D1233" s="634"/>
      <c r="E1233" s="655"/>
      <c r="F1233" s="684"/>
      <c r="G1233" s="684"/>
      <c r="H1233" s="635"/>
    </row>
    <row r="1234" spans="1:8" ht="12.75" customHeight="1" x14ac:dyDescent="0.25">
      <c r="A1234" s="631">
        <f t="shared" si="19"/>
        <v>1229</v>
      </c>
      <c r="B1234" s="632"/>
      <c r="C1234" s="633"/>
      <c r="D1234" s="634"/>
      <c r="E1234" s="655"/>
      <c r="F1234" s="684"/>
      <c r="G1234" s="684"/>
      <c r="H1234" s="635"/>
    </row>
    <row r="1235" spans="1:8" ht="12.75" customHeight="1" x14ac:dyDescent="0.25">
      <c r="A1235" s="631">
        <f t="shared" si="19"/>
        <v>1230</v>
      </c>
      <c r="B1235" s="632"/>
      <c r="C1235" s="633"/>
      <c r="D1235" s="634"/>
      <c r="E1235" s="655"/>
      <c r="F1235" s="684"/>
      <c r="G1235" s="684"/>
      <c r="H1235" s="635"/>
    </row>
    <row r="1236" spans="1:8" ht="12.75" customHeight="1" x14ac:dyDescent="0.25">
      <c r="A1236" s="631">
        <f t="shared" si="19"/>
        <v>1231</v>
      </c>
      <c r="B1236" s="632"/>
      <c r="C1236" s="633"/>
      <c r="D1236" s="634"/>
      <c r="E1236" s="655"/>
      <c r="F1236" s="684"/>
      <c r="G1236" s="684"/>
      <c r="H1236" s="635"/>
    </row>
    <row r="1237" spans="1:8" ht="12.75" customHeight="1" x14ac:dyDescent="0.25">
      <c r="A1237" s="631">
        <f t="shared" si="19"/>
        <v>1232</v>
      </c>
      <c r="B1237" s="632"/>
      <c r="C1237" s="633"/>
      <c r="D1237" s="634"/>
      <c r="E1237" s="655"/>
      <c r="F1237" s="684"/>
      <c r="G1237" s="684"/>
      <c r="H1237" s="635"/>
    </row>
    <row r="1238" spans="1:8" ht="12.75" customHeight="1" x14ac:dyDescent="0.25">
      <c r="A1238" s="631">
        <f t="shared" si="19"/>
        <v>1233</v>
      </c>
      <c r="B1238" s="632"/>
      <c r="C1238" s="633"/>
      <c r="D1238" s="634"/>
      <c r="E1238" s="655"/>
      <c r="F1238" s="684"/>
      <c r="G1238" s="684"/>
      <c r="H1238" s="635"/>
    </row>
    <row r="1239" spans="1:8" ht="12.75" customHeight="1" x14ac:dyDescent="0.25">
      <c r="A1239" s="631">
        <f t="shared" si="19"/>
        <v>1234</v>
      </c>
      <c r="B1239" s="632"/>
      <c r="C1239" s="633"/>
      <c r="D1239" s="634"/>
      <c r="E1239" s="655"/>
      <c r="F1239" s="684"/>
      <c r="G1239" s="684"/>
      <c r="H1239" s="635"/>
    </row>
    <row r="1240" spans="1:8" ht="12.75" customHeight="1" x14ac:dyDescent="0.25">
      <c r="A1240" s="631">
        <f t="shared" si="19"/>
        <v>1235</v>
      </c>
      <c r="B1240" s="632"/>
      <c r="C1240" s="633"/>
      <c r="D1240" s="634"/>
      <c r="E1240" s="655"/>
      <c r="F1240" s="684"/>
      <c r="G1240" s="684"/>
      <c r="H1240" s="635"/>
    </row>
    <row r="1241" spans="1:8" ht="12.75" customHeight="1" x14ac:dyDescent="0.25">
      <c r="A1241" s="631">
        <f t="shared" si="19"/>
        <v>1236</v>
      </c>
      <c r="B1241" s="632"/>
      <c r="C1241" s="633"/>
      <c r="D1241" s="634"/>
      <c r="E1241" s="655"/>
      <c r="F1241" s="684"/>
      <c r="G1241" s="684"/>
      <c r="H1241" s="635"/>
    </row>
    <row r="1242" spans="1:8" ht="12.75" customHeight="1" x14ac:dyDescent="0.25">
      <c r="A1242" s="631">
        <f t="shared" si="19"/>
        <v>1237</v>
      </c>
      <c r="B1242" s="632"/>
      <c r="C1242" s="633"/>
      <c r="D1242" s="634"/>
      <c r="E1242" s="655"/>
      <c r="F1242" s="684"/>
      <c r="G1242" s="684"/>
      <c r="H1242" s="635"/>
    </row>
    <row r="1243" spans="1:8" ht="12.75" customHeight="1" x14ac:dyDescent="0.25">
      <c r="A1243" s="631">
        <f t="shared" si="19"/>
        <v>1238</v>
      </c>
      <c r="B1243" s="632"/>
      <c r="C1243" s="633"/>
      <c r="D1243" s="634"/>
      <c r="E1243" s="655"/>
      <c r="F1243" s="684"/>
      <c r="G1243" s="684"/>
      <c r="H1243" s="635"/>
    </row>
    <row r="1244" spans="1:8" ht="12.75" customHeight="1" x14ac:dyDescent="0.25">
      <c r="A1244" s="631">
        <f t="shared" si="19"/>
        <v>1239</v>
      </c>
      <c r="B1244" s="632"/>
      <c r="C1244" s="633"/>
      <c r="D1244" s="634"/>
      <c r="E1244" s="655"/>
      <c r="F1244" s="684"/>
      <c r="G1244" s="684"/>
      <c r="H1244" s="635"/>
    </row>
    <row r="1245" spans="1:8" ht="12.75" customHeight="1" x14ac:dyDescent="0.25">
      <c r="A1245" s="631">
        <f t="shared" si="19"/>
        <v>1240</v>
      </c>
      <c r="B1245" s="632"/>
      <c r="C1245" s="633"/>
      <c r="D1245" s="634"/>
      <c r="E1245" s="655"/>
      <c r="F1245" s="684"/>
      <c r="G1245" s="684"/>
      <c r="H1245" s="635"/>
    </row>
    <row r="1246" spans="1:8" ht="12.75" customHeight="1" x14ac:dyDescent="0.25">
      <c r="A1246" s="631">
        <f t="shared" si="19"/>
        <v>1241</v>
      </c>
      <c r="B1246" s="632"/>
      <c r="C1246" s="633"/>
      <c r="D1246" s="634"/>
      <c r="E1246" s="655"/>
      <c r="F1246" s="684"/>
      <c r="G1246" s="684"/>
      <c r="H1246" s="635"/>
    </row>
    <row r="1247" spans="1:8" ht="12.75" customHeight="1" x14ac:dyDescent="0.25">
      <c r="A1247" s="631">
        <f t="shared" si="19"/>
        <v>1242</v>
      </c>
      <c r="B1247" s="632"/>
      <c r="C1247" s="633"/>
      <c r="D1247" s="634"/>
      <c r="E1247" s="655"/>
      <c r="F1247" s="684"/>
      <c r="G1247" s="684"/>
      <c r="H1247" s="635"/>
    </row>
    <row r="1248" spans="1:8" ht="12.75" customHeight="1" x14ac:dyDescent="0.25">
      <c r="A1248" s="631">
        <f t="shared" si="19"/>
        <v>1243</v>
      </c>
      <c r="B1248" s="632"/>
      <c r="C1248" s="633"/>
      <c r="D1248" s="634"/>
      <c r="E1248" s="655"/>
      <c r="F1248" s="684"/>
      <c r="G1248" s="684"/>
      <c r="H1248" s="635"/>
    </row>
    <row r="1249" spans="1:8" ht="12.75" customHeight="1" x14ac:dyDescent="0.25">
      <c r="A1249" s="631">
        <f t="shared" si="19"/>
        <v>1244</v>
      </c>
      <c r="B1249" s="632"/>
      <c r="C1249" s="633"/>
      <c r="D1249" s="634"/>
      <c r="E1249" s="655"/>
      <c r="F1249" s="684"/>
      <c r="G1249" s="684"/>
      <c r="H1249" s="635"/>
    </row>
    <row r="1250" spans="1:8" ht="12.75" customHeight="1" x14ac:dyDescent="0.25">
      <c r="A1250" s="631">
        <f t="shared" si="19"/>
        <v>1245</v>
      </c>
      <c r="B1250" s="632"/>
      <c r="C1250" s="633"/>
      <c r="D1250" s="634"/>
      <c r="E1250" s="655"/>
      <c r="F1250" s="684"/>
      <c r="G1250" s="684"/>
      <c r="H1250" s="635"/>
    </row>
    <row r="1251" spans="1:8" ht="12.75" customHeight="1" x14ac:dyDescent="0.25">
      <c r="A1251" s="631">
        <f t="shared" si="19"/>
        <v>1246</v>
      </c>
      <c r="B1251" s="632"/>
      <c r="C1251" s="633"/>
      <c r="D1251" s="634"/>
      <c r="E1251" s="655"/>
      <c r="F1251" s="684"/>
      <c r="G1251" s="684"/>
      <c r="H1251" s="635"/>
    </row>
    <row r="1252" spans="1:8" ht="12.75" customHeight="1" x14ac:dyDescent="0.25">
      <c r="A1252" s="631">
        <f t="shared" si="19"/>
        <v>1247</v>
      </c>
      <c r="B1252" s="632"/>
      <c r="C1252" s="633"/>
      <c r="D1252" s="634"/>
      <c r="E1252" s="655"/>
      <c r="F1252" s="684"/>
      <c r="G1252" s="684"/>
      <c r="H1252" s="635"/>
    </row>
    <row r="1253" spans="1:8" ht="12.75" customHeight="1" x14ac:dyDescent="0.25">
      <c r="A1253" s="631">
        <f t="shared" si="19"/>
        <v>1248</v>
      </c>
      <c r="B1253" s="632"/>
      <c r="C1253" s="633"/>
      <c r="D1253" s="634"/>
      <c r="E1253" s="655"/>
      <c r="F1253" s="684"/>
      <c r="G1253" s="684"/>
      <c r="H1253" s="635"/>
    </row>
    <row r="1254" spans="1:8" ht="12.75" customHeight="1" x14ac:dyDescent="0.25">
      <c r="A1254" s="631">
        <f t="shared" si="19"/>
        <v>1249</v>
      </c>
      <c r="B1254" s="632"/>
      <c r="C1254" s="633"/>
      <c r="D1254" s="634"/>
      <c r="E1254" s="655"/>
      <c r="F1254" s="684"/>
      <c r="G1254" s="684"/>
      <c r="H1254" s="635"/>
    </row>
    <row r="1255" spans="1:8" ht="12.75" customHeight="1" x14ac:dyDescent="0.25">
      <c r="A1255" s="631">
        <f t="shared" si="19"/>
        <v>1250</v>
      </c>
      <c r="B1255" s="632"/>
      <c r="C1255" s="633"/>
      <c r="D1255" s="634"/>
      <c r="E1255" s="655"/>
      <c r="F1255" s="684"/>
      <c r="G1255" s="684"/>
      <c r="H1255" s="635"/>
    </row>
    <row r="1256" spans="1:8" ht="12.75" customHeight="1" x14ac:dyDescent="0.25">
      <c r="A1256" s="631">
        <f t="shared" si="19"/>
        <v>1251</v>
      </c>
      <c r="B1256" s="632"/>
      <c r="C1256" s="633"/>
      <c r="D1256" s="634"/>
      <c r="E1256" s="655"/>
      <c r="F1256" s="684"/>
      <c r="G1256" s="684"/>
      <c r="H1256" s="635"/>
    </row>
    <row r="1257" spans="1:8" ht="12.75" customHeight="1" x14ac:dyDescent="0.25">
      <c r="A1257" s="631">
        <f t="shared" si="19"/>
        <v>1252</v>
      </c>
      <c r="B1257" s="632"/>
      <c r="C1257" s="633"/>
      <c r="D1257" s="634"/>
      <c r="E1257" s="655"/>
      <c r="F1257" s="684"/>
      <c r="G1257" s="684"/>
      <c r="H1257" s="635"/>
    </row>
    <row r="1258" spans="1:8" ht="12.75" customHeight="1" x14ac:dyDescent="0.25">
      <c r="A1258" s="631">
        <f t="shared" si="19"/>
        <v>1253</v>
      </c>
      <c r="B1258" s="632"/>
      <c r="C1258" s="633"/>
      <c r="D1258" s="634"/>
      <c r="E1258" s="655"/>
      <c r="F1258" s="684"/>
      <c r="G1258" s="684"/>
      <c r="H1258" s="635"/>
    </row>
    <row r="1259" spans="1:8" ht="12.75" customHeight="1" x14ac:dyDescent="0.25">
      <c r="A1259" s="631">
        <f t="shared" si="19"/>
        <v>1254</v>
      </c>
      <c r="B1259" s="632"/>
      <c r="C1259" s="633"/>
      <c r="D1259" s="634"/>
      <c r="E1259" s="655"/>
      <c r="F1259" s="684"/>
      <c r="G1259" s="684"/>
      <c r="H1259" s="635"/>
    </row>
    <row r="1260" spans="1:8" ht="12.75" customHeight="1" x14ac:dyDescent="0.25">
      <c r="A1260" s="631">
        <f t="shared" si="19"/>
        <v>1255</v>
      </c>
      <c r="B1260" s="632"/>
      <c r="C1260" s="633"/>
      <c r="D1260" s="634"/>
      <c r="E1260" s="655"/>
      <c r="F1260" s="684"/>
      <c r="G1260" s="684"/>
      <c r="H1260" s="635"/>
    </row>
    <row r="1261" spans="1:8" ht="12.75" customHeight="1" x14ac:dyDescent="0.25">
      <c r="A1261" s="631">
        <f t="shared" si="19"/>
        <v>1256</v>
      </c>
      <c r="B1261" s="632"/>
      <c r="C1261" s="633"/>
      <c r="D1261" s="634"/>
      <c r="E1261" s="655"/>
      <c r="F1261" s="684"/>
      <c r="G1261" s="684"/>
      <c r="H1261" s="635"/>
    </row>
    <row r="1262" spans="1:8" ht="12.75" customHeight="1" x14ac:dyDescent="0.25">
      <c r="A1262" s="631">
        <f t="shared" si="19"/>
        <v>1257</v>
      </c>
      <c r="B1262" s="632"/>
      <c r="C1262" s="633"/>
      <c r="D1262" s="634"/>
      <c r="E1262" s="655"/>
      <c r="F1262" s="684"/>
      <c r="G1262" s="684"/>
      <c r="H1262" s="635"/>
    </row>
    <row r="1263" spans="1:8" ht="12.75" customHeight="1" x14ac:dyDescent="0.25">
      <c r="A1263" s="631">
        <f t="shared" si="19"/>
        <v>1258</v>
      </c>
      <c r="B1263" s="632"/>
      <c r="C1263" s="633"/>
      <c r="D1263" s="634"/>
      <c r="E1263" s="655"/>
      <c r="F1263" s="684"/>
      <c r="G1263" s="684"/>
      <c r="H1263" s="635"/>
    </row>
    <row r="1264" spans="1:8" ht="12.75" customHeight="1" x14ac:dyDescent="0.25">
      <c r="A1264" s="631">
        <f t="shared" si="19"/>
        <v>1259</v>
      </c>
      <c r="B1264" s="632"/>
      <c r="C1264" s="633"/>
      <c r="D1264" s="634"/>
      <c r="E1264" s="655"/>
      <c r="F1264" s="684"/>
      <c r="G1264" s="684"/>
      <c r="H1264" s="635"/>
    </row>
    <row r="1265" spans="1:8" ht="12.75" customHeight="1" x14ac:dyDescent="0.25">
      <c r="A1265" s="631">
        <f t="shared" si="19"/>
        <v>1260</v>
      </c>
      <c r="B1265" s="632"/>
      <c r="C1265" s="633"/>
      <c r="D1265" s="634"/>
      <c r="E1265" s="655"/>
      <c r="F1265" s="684"/>
      <c r="G1265" s="684"/>
      <c r="H1265" s="635"/>
    </row>
    <row r="1266" spans="1:8" ht="12.75" customHeight="1" x14ac:dyDescent="0.25">
      <c r="A1266" s="631">
        <f t="shared" si="19"/>
        <v>1261</v>
      </c>
      <c r="B1266" s="632"/>
      <c r="C1266" s="633"/>
      <c r="D1266" s="634"/>
      <c r="E1266" s="655"/>
      <c r="F1266" s="684"/>
      <c r="G1266" s="684"/>
      <c r="H1266" s="635"/>
    </row>
    <row r="1267" spans="1:8" ht="12.75" customHeight="1" x14ac:dyDescent="0.25">
      <c r="A1267" s="631">
        <f t="shared" si="19"/>
        <v>1262</v>
      </c>
      <c r="B1267" s="632"/>
      <c r="C1267" s="633"/>
      <c r="D1267" s="634"/>
      <c r="E1267" s="655"/>
      <c r="F1267" s="684"/>
      <c r="G1267" s="684"/>
      <c r="H1267" s="635"/>
    </row>
    <row r="1268" spans="1:8" ht="12.75" customHeight="1" x14ac:dyDescent="0.25">
      <c r="A1268" s="631">
        <f t="shared" si="19"/>
        <v>1263</v>
      </c>
      <c r="B1268" s="632"/>
      <c r="C1268" s="633"/>
      <c r="D1268" s="634"/>
      <c r="E1268" s="655"/>
      <c r="F1268" s="684"/>
      <c r="G1268" s="684"/>
      <c r="H1268" s="635"/>
    </row>
    <row r="1269" spans="1:8" ht="12.75" customHeight="1" x14ac:dyDescent="0.25">
      <c r="A1269" s="631">
        <f t="shared" si="19"/>
        <v>1264</v>
      </c>
      <c r="B1269" s="632"/>
      <c r="C1269" s="633"/>
      <c r="D1269" s="634"/>
      <c r="E1269" s="655"/>
      <c r="F1269" s="684"/>
      <c r="G1269" s="684"/>
      <c r="H1269" s="635"/>
    </row>
    <row r="1270" spans="1:8" ht="12.75" customHeight="1" x14ac:dyDescent="0.25">
      <c r="A1270" s="631">
        <f t="shared" si="19"/>
        <v>1265</v>
      </c>
      <c r="B1270" s="632"/>
      <c r="C1270" s="633"/>
      <c r="D1270" s="634"/>
      <c r="E1270" s="655"/>
      <c r="F1270" s="684"/>
      <c r="G1270" s="684"/>
      <c r="H1270" s="635"/>
    </row>
    <row r="1271" spans="1:8" ht="12.75" customHeight="1" x14ac:dyDescent="0.25">
      <c r="A1271" s="631">
        <f t="shared" si="19"/>
        <v>1266</v>
      </c>
      <c r="B1271" s="632"/>
      <c r="C1271" s="633"/>
      <c r="D1271" s="634"/>
      <c r="E1271" s="655"/>
      <c r="F1271" s="684"/>
      <c r="G1271" s="684"/>
      <c r="H1271" s="635"/>
    </row>
    <row r="1272" spans="1:8" ht="12.75" customHeight="1" x14ac:dyDescent="0.25">
      <c r="A1272" s="631">
        <f t="shared" si="19"/>
        <v>1267</v>
      </c>
      <c r="B1272" s="632"/>
      <c r="C1272" s="633"/>
      <c r="D1272" s="634"/>
      <c r="E1272" s="655"/>
      <c r="F1272" s="684"/>
      <c r="G1272" s="684"/>
      <c r="H1272" s="635"/>
    </row>
    <row r="1273" spans="1:8" ht="12.75" customHeight="1" x14ac:dyDescent="0.25">
      <c r="A1273" s="631">
        <f t="shared" si="19"/>
        <v>1268</v>
      </c>
      <c r="B1273" s="632"/>
      <c r="C1273" s="633"/>
      <c r="D1273" s="634"/>
      <c r="E1273" s="655"/>
      <c r="F1273" s="684"/>
      <c r="G1273" s="684"/>
      <c r="H1273" s="635"/>
    </row>
    <row r="1274" spans="1:8" ht="12.75" customHeight="1" x14ac:dyDescent="0.25">
      <c r="A1274" s="631">
        <f t="shared" si="19"/>
        <v>1269</v>
      </c>
      <c r="B1274" s="632"/>
      <c r="C1274" s="633"/>
      <c r="D1274" s="634"/>
      <c r="E1274" s="655"/>
      <c r="F1274" s="684"/>
      <c r="G1274" s="684"/>
      <c r="H1274" s="635"/>
    </row>
    <row r="1275" spans="1:8" ht="12.75" customHeight="1" x14ac:dyDescent="0.25">
      <c r="A1275" s="631">
        <f t="shared" si="19"/>
        <v>1270</v>
      </c>
      <c r="B1275" s="632"/>
      <c r="C1275" s="633"/>
      <c r="D1275" s="634"/>
      <c r="E1275" s="655"/>
      <c r="F1275" s="684"/>
      <c r="G1275" s="684"/>
      <c r="H1275" s="635"/>
    </row>
    <row r="1276" spans="1:8" ht="12.75" customHeight="1" x14ac:dyDescent="0.25">
      <c r="A1276" s="631">
        <f t="shared" si="19"/>
        <v>1271</v>
      </c>
      <c r="B1276" s="632"/>
      <c r="C1276" s="633"/>
      <c r="D1276" s="634"/>
      <c r="E1276" s="655"/>
      <c r="F1276" s="684"/>
      <c r="G1276" s="684"/>
      <c r="H1276" s="635"/>
    </row>
    <row r="1277" spans="1:8" ht="12.75" customHeight="1" x14ac:dyDescent="0.25">
      <c r="A1277" s="631">
        <f t="shared" si="19"/>
        <v>1272</v>
      </c>
      <c r="B1277" s="632"/>
      <c r="C1277" s="633"/>
      <c r="D1277" s="634"/>
      <c r="E1277" s="655"/>
      <c r="F1277" s="684"/>
      <c r="G1277" s="684"/>
      <c r="H1277" s="635"/>
    </row>
    <row r="1278" spans="1:8" ht="12.75" customHeight="1" x14ac:dyDescent="0.25">
      <c r="A1278" s="631">
        <f t="shared" si="19"/>
        <v>1273</v>
      </c>
      <c r="B1278" s="632"/>
      <c r="C1278" s="633"/>
      <c r="D1278" s="634"/>
      <c r="E1278" s="655"/>
      <c r="F1278" s="684"/>
      <c r="G1278" s="684"/>
      <c r="H1278" s="635"/>
    </row>
    <row r="1279" spans="1:8" ht="12.75" customHeight="1" x14ac:dyDescent="0.25">
      <c r="A1279" s="631">
        <f t="shared" si="19"/>
        <v>1274</v>
      </c>
      <c r="B1279" s="632"/>
      <c r="C1279" s="633"/>
      <c r="D1279" s="634"/>
      <c r="E1279" s="655"/>
      <c r="F1279" s="684"/>
      <c r="G1279" s="684"/>
      <c r="H1279" s="635"/>
    </row>
    <row r="1280" spans="1:8" ht="12.75" customHeight="1" x14ac:dyDescent="0.25">
      <c r="A1280" s="631">
        <f t="shared" si="19"/>
        <v>1275</v>
      </c>
      <c r="B1280" s="632"/>
      <c r="C1280" s="633"/>
      <c r="D1280" s="634"/>
      <c r="E1280" s="655"/>
      <c r="F1280" s="684"/>
      <c r="G1280" s="684"/>
      <c r="H1280" s="635"/>
    </row>
    <row r="1281" spans="1:8" ht="12.75" customHeight="1" x14ac:dyDescent="0.25">
      <c r="A1281" s="631">
        <f t="shared" ref="A1281:A1344" si="20">ROW()-5</f>
        <v>1276</v>
      </c>
      <c r="B1281" s="632"/>
      <c r="C1281" s="633"/>
      <c r="D1281" s="634"/>
      <c r="E1281" s="655"/>
      <c r="F1281" s="684"/>
      <c r="G1281" s="684"/>
      <c r="H1281" s="635"/>
    </row>
    <row r="1282" spans="1:8" ht="12.75" customHeight="1" x14ac:dyDescent="0.25">
      <c r="A1282" s="631">
        <f t="shared" si="20"/>
        <v>1277</v>
      </c>
      <c r="B1282" s="632"/>
      <c r="C1282" s="633"/>
      <c r="D1282" s="634"/>
      <c r="E1282" s="655"/>
      <c r="F1282" s="684"/>
      <c r="G1282" s="684"/>
      <c r="H1282" s="635"/>
    </row>
    <row r="1283" spans="1:8" ht="12.75" customHeight="1" x14ac:dyDescent="0.25">
      <c r="A1283" s="631">
        <f t="shared" si="20"/>
        <v>1278</v>
      </c>
      <c r="B1283" s="632"/>
      <c r="C1283" s="633"/>
      <c r="D1283" s="634"/>
      <c r="E1283" s="655"/>
      <c r="F1283" s="684"/>
      <c r="G1283" s="684"/>
      <c r="H1283" s="635"/>
    </row>
    <row r="1284" spans="1:8" ht="12.75" customHeight="1" x14ac:dyDescent="0.25">
      <c r="A1284" s="631">
        <f t="shared" si="20"/>
        <v>1279</v>
      </c>
      <c r="B1284" s="632"/>
      <c r="C1284" s="633"/>
      <c r="D1284" s="634"/>
      <c r="E1284" s="655"/>
      <c r="F1284" s="684"/>
      <c r="G1284" s="684"/>
      <c r="H1284" s="635"/>
    </row>
    <row r="1285" spans="1:8" ht="12.75" customHeight="1" x14ac:dyDescent="0.25">
      <c r="A1285" s="631">
        <f t="shared" si="20"/>
        <v>1280</v>
      </c>
      <c r="B1285" s="632"/>
      <c r="C1285" s="633"/>
      <c r="D1285" s="634"/>
      <c r="E1285" s="655"/>
      <c r="F1285" s="684"/>
      <c r="G1285" s="684"/>
      <c r="H1285" s="635"/>
    </row>
    <row r="1286" spans="1:8" ht="12.75" customHeight="1" x14ac:dyDescent="0.25">
      <c r="A1286" s="631">
        <f t="shared" si="20"/>
        <v>1281</v>
      </c>
      <c r="B1286" s="632"/>
      <c r="C1286" s="633"/>
      <c r="D1286" s="634"/>
      <c r="E1286" s="655"/>
      <c r="F1286" s="684"/>
      <c r="G1286" s="684"/>
      <c r="H1286" s="635"/>
    </row>
    <row r="1287" spans="1:8" ht="12.75" customHeight="1" x14ac:dyDescent="0.25">
      <c r="A1287" s="631">
        <f t="shared" si="20"/>
        <v>1282</v>
      </c>
      <c r="B1287" s="632"/>
      <c r="C1287" s="633"/>
      <c r="D1287" s="634"/>
      <c r="E1287" s="655"/>
      <c r="F1287" s="684"/>
      <c r="G1287" s="684"/>
      <c r="H1287" s="635"/>
    </row>
    <row r="1288" spans="1:8" ht="12.75" customHeight="1" x14ac:dyDescent="0.25">
      <c r="A1288" s="631">
        <f t="shared" si="20"/>
        <v>1283</v>
      </c>
      <c r="B1288" s="632"/>
      <c r="C1288" s="633"/>
      <c r="D1288" s="634"/>
      <c r="E1288" s="655"/>
      <c r="F1288" s="684"/>
      <c r="G1288" s="684"/>
      <c r="H1288" s="635"/>
    </row>
    <row r="1289" spans="1:8" ht="12.75" customHeight="1" x14ac:dyDescent="0.25">
      <c r="A1289" s="631">
        <f t="shared" si="20"/>
        <v>1284</v>
      </c>
      <c r="B1289" s="632"/>
      <c r="C1289" s="633"/>
      <c r="D1289" s="634"/>
      <c r="E1289" s="655"/>
      <c r="F1289" s="684"/>
      <c r="G1289" s="684"/>
      <c r="H1289" s="635"/>
    </row>
    <row r="1290" spans="1:8" ht="12.75" customHeight="1" x14ac:dyDescent="0.25">
      <c r="A1290" s="631">
        <f t="shared" si="20"/>
        <v>1285</v>
      </c>
      <c r="B1290" s="632"/>
      <c r="C1290" s="633"/>
      <c r="D1290" s="634"/>
      <c r="E1290" s="655"/>
      <c r="F1290" s="684"/>
      <c r="G1290" s="684"/>
      <c r="H1290" s="635"/>
    </row>
    <row r="1291" spans="1:8" ht="12.75" customHeight="1" x14ac:dyDescent="0.25">
      <c r="A1291" s="631">
        <f t="shared" si="20"/>
        <v>1286</v>
      </c>
      <c r="B1291" s="632"/>
      <c r="C1291" s="633"/>
      <c r="D1291" s="634"/>
      <c r="E1291" s="655"/>
      <c r="F1291" s="684"/>
      <c r="G1291" s="684"/>
      <c r="H1291" s="635"/>
    </row>
    <row r="1292" spans="1:8" ht="12.75" customHeight="1" x14ac:dyDescent="0.25">
      <c r="A1292" s="631">
        <f t="shared" si="20"/>
        <v>1287</v>
      </c>
      <c r="B1292" s="632"/>
      <c r="C1292" s="633"/>
      <c r="D1292" s="634"/>
      <c r="E1292" s="655"/>
      <c r="F1292" s="684"/>
      <c r="G1292" s="684"/>
      <c r="H1292" s="635"/>
    </row>
    <row r="1293" spans="1:8" ht="12.75" customHeight="1" x14ac:dyDescent="0.25">
      <c r="A1293" s="631">
        <f t="shared" si="20"/>
        <v>1288</v>
      </c>
      <c r="B1293" s="632"/>
      <c r="C1293" s="633"/>
      <c r="D1293" s="634"/>
      <c r="E1293" s="655"/>
      <c r="F1293" s="684"/>
      <c r="G1293" s="684"/>
      <c r="H1293" s="635"/>
    </row>
    <row r="1294" spans="1:8" ht="12.75" customHeight="1" x14ac:dyDescent="0.25">
      <c r="A1294" s="631">
        <f t="shared" si="20"/>
        <v>1289</v>
      </c>
      <c r="B1294" s="632"/>
      <c r="C1294" s="633"/>
      <c r="D1294" s="634"/>
      <c r="E1294" s="655"/>
      <c r="F1294" s="684"/>
      <c r="G1294" s="684"/>
      <c r="H1294" s="635"/>
    </row>
    <row r="1295" spans="1:8" ht="12.75" customHeight="1" x14ac:dyDescent="0.25">
      <c r="A1295" s="631">
        <f t="shared" si="20"/>
        <v>1290</v>
      </c>
      <c r="B1295" s="632"/>
      <c r="C1295" s="633"/>
      <c r="D1295" s="634"/>
      <c r="E1295" s="655"/>
      <c r="F1295" s="684"/>
      <c r="G1295" s="684"/>
      <c r="H1295" s="635"/>
    </row>
    <row r="1296" spans="1:8" ht="12.75" customHeight="1" x14ac:dyDescent="0.25">
      <c r="A1296" s="631">
        <f t="shared" si="20"/>
        <v>1291</v>
      </c>
      <c r="B1296" s="632"/>
      <c r="C1296" s="633"/>
      <c r="D1296" s="634"/>
      <c r="E1296" s="655"/>
      <c r="F1296" s="684"/>
      <c r="G1296" s="684"/>
      <c r="H1296" s="635"/>
    </row>
    <row r="1297" spans="1:8" ht="12.75" customHeight="1" x14ac:dyDescent="0.25">
      <c r="A1297" s="631">
        <f t="shared" si="20"/>
        <v>1292</v>
      </c>
      <c r="B1297" s="632"/>
      <c r="C1297" s="633"/>
      <c r="D1297" s="634"/>
      <c r="E1297" s="655"/>
      <c r="F1297" s="684"/>
      <c r="G1297" s="684"/>
      <c r="H1297" s="635"/>
    </row>
    <row r="1298" spans="1:8" ht="12.75" customHeight="1" x14ac:dyDescent="0.25">
      <c r="A1298" s="631">
        <f t="shared" si="20"/>
        <v>1293</v>
      </c>
      <c r="B1298" s="632"/>
      <c r="C1298" s="633"/>
      <c r="D1298" s="634"/>
      <c r="E1298" s="655"/>
      <c r="F1298" s="684"/>
      <c r="G1298" s="684"/>
      <c r="H1298" s="635"/>
    </row>
    <row r="1299" spans="1:8" ht="12.75" customHeight="1" x14ac:dyDescent="0.25">
      <c r="A1299" s="631">
        <f t="shared" si="20"/>
        <v>1294</v>
      </c>
      <c r="B1299" s="632"/>
      <c r="C1299" s="633"/>
      <c r="D1299" s="634"/>
      <c r="E1299" s="655"/>
      <c r="F1299" s="684"/>
      <c r="G1299" s="684"/>
      <c r="H1299" s="635"/>
    </row>
    <row r="1300" spans="1:8" ht="12.75" customHeight="1" x14ac:dyDescent="0.25">
      <c r="A1300" s="631">
        <f t="shared" si="20"/>
        <v>1295</v>
      </c>
      <c r="B1300" s="632"/>
      <c r="C1300" s="633"/>
      <c r="D1300" s="634"/>
      <c r="E1300" s="655"/>
      <c r="F1300" s="684"/>
      <c r="G1300" s="684"/>
      <c r="H1300" s="635"/>
    </row>
    <row r="1301" spans="1:8" ht="12.75" customHeight="1" x14ac:dyDescent="0.25">
      <c r="A1301" s="631">
        <f t="shared" si="20"/>
        <v>1296</v>
      </c>
      <c r="B1301" s="632"/>
      <c r="C1301" s="633"/>
      <c r="D1301" s="634"/>
      <c r="E1301" s="655"/>
      <c r="F1301" s="684"/>
      <c r="G1301" s="684"/>
      <c r="H1301" s="635"/>
    </row>
    <row r="1302" spans="1:8" ht="12.75" customHeight="1" x14ac:dyDescent="0.25">
      <c r="A1302" s="631">
        <f t="shared" si="20"/>
        <v>1297</v>
      </c>
      <c r="B1302" s="632"/>
      <c r="C1302" s="633"/>
      <c r="D1302" s="634"/>
      <c r="E1302" s="655"/>
      <c r="F1302" s="684"/>
      <c r="G1302" s="684"/>
      <c r="H1302" s="635"/>
    </row>
    <row r="1303" spans="1:8" ht="12.75" customHeight="1" x14ac:dyDescent="0.25">
      <c r="A1303" s="631">
        <f t="shared" si="20"/>
        <v>1298</v>
      </c>
      <c r="B1303" s="632"/>
      <c r="C1303" s="633"/>
      <c r="D1303" s="634"/>
      <c r="E1303" s="655"/>
      <c r="F1303" s="684"/>
      <c r="G1303" s="684"/>
      <c r="H1303" s="635"/>
    </row>
    <row r="1304" spans="1:8" ht="12.75" customHeight="1" x14ac:dyDescent="0.25">
      <c r="A1304" s="631">
        <f t="shared" si="20"/>
        <v>1299</v>
      </c>
      <c r="B1304" s="632"/>
      <c r="C1304" s="633"/>
      <c r="D1304" s="634"/>
      <c r="E1304" s="655"/>
      <c r="F1304" s="684"/>
      <c r="G1304" s="684"/>
      <c r="H1304" s="635"/>
    </row>
    <row r="1305" spans="1:8" ht="12.75" customHeight="1" x14ac:dyDescent="0.25">
      <c r="A1305" s="631">
        <f t="shared" si="20"/>
        <v>1300</v>
      </c>
      <c r="B1305" s="632"/>
      <c r="C1305" s="633"/>
      <c r="D1305" s="634"/>
      <c r="E1305" s="655"/>
      <c r="F1305" s="684"/>
      <c r="G1305" s="684"/>
      <c r="H1305" s="635"/>
    </row>
    <row r="1306" spans="1:8" ht="12.75" customHeight="1" x14ac:dyDescent="0.25">
      <c r="A1306" s="631">
        <f t="shared" si="20"/>
        <v>1301</v>
      </c>
      <c r="B1306" s="632"/>
      <c r="C1306" s="633"/>
      <c r="D1306" s="634"/>
      <c r="E1306" s="655"/>
      <c r="F1306" s="684"/>
      <c r="G1306" s="684"/>
      <c r="H1306" s="635"/>
    </row>
    <row r="1307" spans="1:8" ht="12.75" customHeight="1" x14ac:dyDescent="0.25">
      <c r="A1307" s="631">
        <f t="shared" si="20"/>
        <v>1302</v>
      </c>
      <c r="B1307" s="632"/>
      <c r="C1307" s="633"/>
      <c r="D1307" s="634"/>
      <c r="E1307" s="655"/>
      <c r="F1307" s="684"/>
      <c r="G1307" s="684"/>
      <c r="H1307" s="635"/>
    </row>
    <row r="1308" spans="1:8" ht="12.75" customHeight="1" x14ac:dyDescent="0.25">
      <c r="A1308" s="631">
        <f t="shared" si="20"/>
        <v>1303</v>
      </c>
      <c r="B1308" s="632"/>
      <c r="C1308" s="633"/>
      <c r="D1308" s="634"/>
      <c r="E1308" s="655"/>
      <c r="F1308" s="684"/>
      <c r="G1308" s="684"/>
      <c r="H1308" s="635"/>
    </row>
    <row r="1309" spans="1:8" ht="12.75" customHeight="1" x14ac:dyDescent="0.25">
      <c r="A1309" s="631">
        <f t="shared" si="20"/>
        <v>1304</v>
      </c>
      <c r="B1309" s="632"/>
      <c r="C1309" s="633"/>
      <c r="D1309" s="634"/>
      <c r="E1309" s="655"/>
      <c r="F1309" s="684"/>
      <c r="G1309" s="684"/>
      <c r="H1309" s="635"/>
    </row>
    <row r="1310" spans="1:8" ht="12.75" customHeight="1" x14ac:dyDescent="0.25">
      <c r="A1310" s="631">
        <f t="shared" si="20"/>
        <v>1305</v>
      </c>
      <c r="B1310" s="632"/>
      <c r="C1310" s="633"/>
      <c r="D1310" s="634"/>
      <c r="E1310" s="655"/>
      <c r="F1310" s="684"/>
      <c r="G1310" s="684"/>
      <c r="H1310" s="635"/>
    </row>
    <row r="1311" spans="1:8" ht="12.75" customHeight="1" x14ac:dyDescent="0.25">
      <c r="A1311" s="631">
        <f t="shared" si="20"/>
        <v>1306</v>
      </c>
      <c r="B1311" s="632"/>
      <c r="C1311" s="633"/>
      <c r="D1311" s="634"/>
      <c r="E1311" s="655"/>
      <c r="F1311" s="684"/>
      <c r="G1311" s="684"/>
      <c r="H1311" s="635"/>
    </row>
    <row r="1312" spans="1:8" ht="12.75" customHeight="1" x14ac:dyDescent="0.25">
      <c r="A1312" s="631">
        <f t="shared" si="20"/>
        <v>1307</v>
      </c>
      <c r="B1312" s="632"/>
      <c r="C1312" s="633"/>
      <c r="D1312" s="634"/>
      <c r="E1312" s="655"/>
      <c r="F1312" s="684"/>
      <c r="G1312" s="684"/>
      <c r="H1312" s="635"/>
    </row>
    <row r="1313" spans="1:8" ht="12.75" customHeight="1" x14ac:dyDescent="0.25">
      <c r="A1313" s="631">
        <f t="shared" si="20"/>
        <v>1308</v>
      </c>
      <c r="B1313" s="632"/>
      <c r="C1313" s="633"/>
      <c r="D1313" s="634"/>
      <c r="E1313" s="655"/>
      <c r="F1313" s="684"/>
      <c r="G1313" s="684"/>
      <c r="H1313" s="635"/>
    </row>
    <row r="1314" spans="1:8" ht="12.75" customHeight="1" x14ac:dyDescent="0.25">
      <c r="A1314" s="631">
        <f t="shared" si="20"/>
        <v>1309</v>
      </c>
      <c r="B1314" s="632"/>
      <c r="C1314" s="633"/>
      <c r="D1314" s="634"/>
      <c r="E1314" s="655"/>
      <c r="F1314" s="684"/>
      <c r="G1314" s="684"/>
      <c r="H1314" s="635"/>
    </row>
    <row r="1315" spans="1:8" ht="12.75" customHeight="1" x14ac:dyDescent="0.25">
      <c r="A1315" s="631">
        <f t="shared" si="20"/>
        <v>1310</v>
      </c>
      <c r="B1315" s="632"/>
      <c r="C1315" s="633"/>
      <c r="D1315" s="634"/>
      <c r="E1315" s="655"/>
      <c r="F1315" s="684"/>
      <c r="G1315" s="684"/>
      <c r="H1315" s="635"/>
    </row>
    <row r="1316" spans="1:8" ht="12.75" customHeight="1" x14ac:dyDescent="0.25">
      <c r="A1316" s="631">
        <f t="shared" si="20"/>
        <v>1311</v>
      </c>
      <c r="B1316" s="632"/>
      <c r="C1316" s="633"/>
      <c r="D1316" s="634"/>
      <c r="E1316" s="655"/>
      <c r="F1316" s="684"/>
      <c r="G1316" s="684"/>
      <c r="H1316" s="635"/>
    </row>
    <row r="1317" spans="1:8" ht="12.75" customHeight="1" x14ac:dyDescent="0.25">
      <c r="A1317" s="631">
        <f t="shared" si="20"/>
        <v>1312</v>
      </c>
      <c r="B1317" s="632"/>
      <c r="C1317" s="633"/>
      <c r="D1317" s="634"/>
      <c r="E1317" s="655"/>
      <c r="F1317" s="684"/>
      <c r="G1317" s="684"/>
      <c r="H1317" s="635"/>
    </row>
    <row r="1318" spans="1:8" ht="12.75" customHeight="1" x14ac:dyDescent="0.25">
      <c r="A1318" s="631">
        <f t="shared" si="20"/>
        <v>1313</v>
      </c>
      <c r="B1318" s="632"/>
      <c r="C1318" s="633"/>
      <c r="D1318" s="634"/>
      <c r="E1318" s="655"/>
      <c r="F1318" s="684"/>
      <c r="G1318" s="684"/>
      <c r="H1318" s="635"/>
    </row>
    <row r="1319" spans="1:8" ht="12.75" customHeight="1" x14ac:dyDescent="0.25">
      <c r="A1319" s="631">
        <f t="shared" si="20"/>
        <v>1314</v>
      </c>
      <c r="B1319" s="632"/>
      <c r="C1319" s="633"/>
      <c r="D1319" s="634"/>
      <c r="E1319" s="655"/>
      <c r="F1319" s="684"/>
      <c r="G1319" s="684"/>
      <c r="H1319" s="635"/>
    </row>
    <row r="1320" spans="1:8" ht="12.75" customHeight="1" x14ac:dyDescent="0.25">
      <c r="A1320" s="631">
        <f t="shared" si="20"/>
        <v>1315</v>
      </c>
      <c r="B1320" s="632"/>
      <c r="C1320" s="633"/>
      <c r="D1320" s="634"/>
      <c r="E1320" s="655"/>
      <c r="F1320" s="684"/>
      <c r="G1320" s="684"/>
      <c r="H1320" s="635"/>
    </row>
    <row r="1321" spans="1:8" ht="12.75" customHeight="1" x14ac:dyDescent="0.25">
      <c r="A1321" s="631">
        <f t="shared" si="20"/>
        <v>1316</v>
      </c>
      <c r="B1321" s="632"/>
      <c r="C1321" s="633"/>
      <c r="D1321" s="634"/>
      <c r="E1321" s="655"/>
      <c r="F1321" s="684"/>
      <c r="G1321" s="684"/>
      <c r="H1321" s="635"/>
    </row>
    <row r="1322" spans="1:8" ht="12.75" customHeight="1" x14ac:dyDescent="0.25">
      <c r="A1322" s="631">
        <f t="shared" si="20"/>
        <v>1317</v>
      </c>
      <c r="B1322" s="632"/>
      <c r="C1322" s="633"/>
      <c r="D1322" s="634"/>
      <c r="E1322" s="655"/>
      <c r="F1322" s="684"/>
      <c r="G1322" s="684"/>
      <c r="H1322" s="635"/>
    </row>
    <row r="1323" spans="1:8" ht="12.75" customHeight="1" x14ac:dyDescent="0.25">
      <c r="A1323" s="631">
        <f t="shared" si="20"/>
        <v>1318</v>
      </c>
      <c r="B1323" s="632"/>
      <c r="C1323" s="633"/>
      <c r="D1323" s="634"/>
      <c r="E1323" s="655"/>
      <c r="F1323" s="684"/>
      <c r="G1323" s="684"/>
      <c r="H1323" s="635"/>
    </row>
    <row r="1324" spans="1:8" ht="12.75" customHeight="1" x14ac:dyDescent="0.25">
      <c r="A1324" s="631">
        <f t="shared" si="20"/>
        <v>1319</v>
      </c>
      <c r="B1324" s="632"/>
      <c r="C1324" s="633"/>
      <c r="D1324" s="634"/>
      <c r="E1324" s="655"/>
      <c r="F1324" s="684"/>
      <c r="G1324" s="684"/>
      <c r="H1324" s="635"/>
    </row>
    <row r="1325" spans="1:8" ht="12.75" customHeight="1" x14ac:dyDescent="0.25">
      <c r="A1325" s="631">
        <f t="shared" si="20"/>
        <v>1320</v>
      </c>
      <c r="B1325" s="632"/>
      <c r="C1325" s="633"/>
      <c r="D1325" s="634"/>
      <c r="E1325" s="655"/>
      <c r="F1325" s="684"/>
      <c r="G1325" s="684"/>
      <c r="H1325" s="635"/>
    </row>
    <row r="1326" spans="1:8" ht="12.75" customHeight="1" x14ac:dyDescent="0.25">
      <c r="A1326" s="631">
        <f t="shared" si="20"/>
        <v>1321</v>
      </c>
      <c r="B1326" s="632"/>
      <c r="C1326" s="633"/>
      <c r="D1326" s="634"/>
      <c r="E1326" s="655"/>
      <c r="F1326" s="684"/>
      <c r="G1326" s="684"/>
      <c r="H1326" s="635"/>
    </row>
    <row r="1327" spans="1:8" ht="12.75" customHeight="1" x14ac:dyDescent="0.25">
      <c r="A1327" s="631">
        <f t="shared" si="20"/>
        <v>1322</v>
      </c>
      <c r="B1327" s="632"/>
      <c r="C1327" s="633"/>
      <c r="D1327" s="634"/>
      <c r="E1327" s="655"/>
      <c r="F1327" s="684"/>
      <c r="G1327" s="684"/>
      <c r="H1327" s="635"/>
    </row>
    <row r="1328" spans="1:8" ht="12.75" customHeight="1" x14ac:dyDescent="0.25">
      <c r="A1328" s="631">
        <f t="shared" si="20"/>
        <v>1323</v>
      </c>
      <c r="B1328" s="632"/>
      <c r="C1328" s="633"/>
      <c r="D1328" s="634"/>
      <c r="E1328" s="655"/>
      <c r="F1328" s="684"/>
      <c r="G1328" s="684"/>
      <c r="H1328" s="635"/>
    </row>
    <row r="1329" spans="1:8" ht="12.75" customHeight="1" x14ac:dyDescent="0.25">
      <c r="A1329" s="631">
        <f t="shared" si="20"/>
        <v>1324</v>
      </c>
      <c r="B1329" s="632"/>
      <c r="C1329" s="633"/>
      <c r="D1329" s="634"/>
      <c r="E1329" s="655"/>
      <c r="F1329" s="684"/>
      <c r="G1329" s="684"/>
      <c r="H1329" s="635"/>
    </row>
    <row r="1330" spans="1:8" ht="12.75" customHeight="1" x14ac:dyDescent="0.25">
      <c r="A1330" s="631">
        <f t="shared" si="20"/>
        <v>1325</v>
      </c>
      <c r="B1330" s="632"/>
      <c r="C1330" s="633"/>
      <c r="D1330" s="634"/>
      <c r="E1330" s="655"/>
      <c r="F1330" s="684"/>
      <c r="G1330" s="684"/>
      <c r="H1330" s="635"/>
    </row>
    <row r="1331" spans="1:8" ht="12.75" customHeight="1" x14ac:dyDescent="0.25">
      <c r="A1331" s="631">
        <f t="shared" si="20"/>
        <v>1326</v>
      </c>
      <c r="B1331" s="632"/>
      <c r="C1331" s="633"/>
      <c r="D1331" s="634"/>
      <c r="E1331" s="655"/>
      <c r="F1331" s="684"/>
      <c r="G1331" s="684"/>
      <c r="H1331" s="635"/>
    </row>
    <row r="1332" spans="1:8" ht="12.75" customHeight="1" x14ac:dyDescent="0.25">
      <c r="A1332" s="631">
        <f t="shared" si="20"/>
        <v>1327</v>
      </c>
      <c r="B1332" s="632"/>
      <c r="C1332" s="633"/>
      <c r="D1332" s="634"/>
      <c r="E1332" s="655"/>
      <c r="F1332" s="684"/>
      <c r="G1332" s="684"/>
      <c r="H1332" s="635"/>
    </row>
    <row r="1333" spans="1:8" ht="12.75" customHeight="1" x14ac:dyDescent="0.25">
      <c r="A1333" s="631">
        <f t="shared" si="20"/>
        <v>1328</v>
      </c>
      <c r="B1333" s="632"/>
      <c r="C1333" s="633"/>
      <c r="D1333" s="634"/>
      <c r="E1333" s="655"/>
      <c r="F1333" s="684"/>
      <c r="G1333" s="684"/>
      <c r="H1333" s="635"/>
    </row>
    <row r="1334" spans="1:8" ht="12.75" customHeight="1" x14ac:dyDescent="0.25">
      <c r="A1334" s="631">
        <f t="shared" si="20"/>
        <v>1329</v>
      </c>
      <c r="B1334" s="632"/>
      <c r="C1334" s="633"/>
      <c r="D1334" s="634"/>
      <c r="E1334" s="655"/>
      <c r="F1334" s="684"/>
      <c r="G1334" s="684"/>
      <c r="H1334" s="635"/>
    </row>
    <row r="1335" spans="1:8" ht="12.75" customHeight="1" x14ac:dyDescent="0.25">
      <c r="A1335" s="631">
        <f t="shared" si="20"/>
        <v>1330</v>
      </c>
      <c r="B1335" s="632"/>
      <c r="C1335" s="633"/>
      <c r="D1335" s="634"/>
      <c r="E1335" s="655"/>
      <c r="F1335" s="684"/>
      <c r="G1335" s="684"/>
      <c r="H1335" s="635"/>
    </row>
    <row r="1336" spans="1:8" ht="12.75" customHeight="1" x14ac:dyDescent="0.25">
      <c r="A1336" s="631">
        <f t="shared" si="20"/>
        <v>1331</v>
      </c>
      <c r="B1336" s="632"/>
      <c r="C1336" s="633"/>
      <c r="D1336" s="634"/>
      <c r="E1336" s="655"/>
      <c r="F1336" s="684"/>
      <c r="G1336" s="684"/>
      <c r="H1336" s="635"/>
    </row>
    <row r="1337" spans="1:8" ht="12.75" customHeight="1" x14ac:dyDescent="0.25">
      <c r="A1337" s="631">
        <f t="shared" si="20"/>
        <v>1332</v>
      </c>
      <c r="B1337" s="632"/>
      <c r="C1337" s="633"/>
      <c r="D1337" s="634"/>
      <c r="E1337" s="655"/>
      <c r="F1337" s="684"/>
      <c r="G1337" s="684"/>
      <c r="H1337" s="635"/>
    </row>
    <row r="1338" spans="1:8" ht="12.75" customHeight="1" x14ac:dyDescent="0.25">
      <c r="A1338" s="631">
        <f t="shared" si="20"/>
        <v>1333</v>
      </c>
      <c r="B1338" s="632"/>
      <c r="C1338" s="633"/>
      <c r="D1338" s="634"/>
      <c r="E1338" s="655"/>
      <c r="F1338" s="684"/>
      <c r="G1338" s="684"/>
      <c r="H1338" s="635"/>
    </row>
    <row r="1339" spans="1:8" ht="12.75" customHeight="1" x14ac:dyDescent="0.25">
      <c r="A1339" s="631">
        <f t="shared" si="20"/>
        <v>1334</v>
      </c>
      <c r="B1339" s="632"/>
      <c r="C1339" s="633"/>
      <c r="D1339" s="634"/>
      <c r="E1339" s="655"/>
      <c r="F1339" s="684"/>
      <c r="G1339" s="684"/>
      <c r="H1339" s="635"/>
    </row>
    <row r="1340" spans="1:8" ht="12.75" customHeight="1" x14ac:dyDescent="0.25">
      <c r="A1340" s="631">
        <f t="shared" si="20"/>
        <v>1335</v>
      </c>
      <c r="B1340" s="632"/>
      <c r="C1340" s="633"/>
      <c r="D1340" s="634"/>
      <c r="E1340" s="655"/>
      <c r="F1340" s="684"/>
      <c r="G1340" s="684"/>
      <c r="H1340" s="635"/>
    </row>
    <row r="1341" spans="1:8" ht="12.75" customHeight="1" x14ac:dyDescent="0.25">
      <c r="A1341" s="631">
        <f t="shared" si="20"/>
        <v>1336</v>
      </c>
      <c r="B1341" s="632"/>
      <c r="C1341" s="633"/>
      <c r="D1341" s="634"/>
      <c r="E1341" s="655"/>
      <c r="F1341" s="684"/>
      <c r="G1341" s="684"/>
      <c r="H1341" s="635"/>
    </row>
    <row r="1342" spans="1:8" ht="12.75" customHeight="1" x14ac:dyDescent="0.25">
      <c r="A1342" s="631">
        <f t="shared" si="20"/>
        <v>1337</v>
      </c>
      <c r="B1342" s="632"/>
      <c r="C1342" s="633"/>
      <c r="D1342" s="634"/>
      <c r="E1342" s="655"/>
      <c r="F1342" s="684"/>
      <c r="G1342" s="684"/>
      <c r="H1342" s="635"/>
    </row>
    <row r="1343" spans="1:8" ht="12.75" customHeight="1" x14ac:dyDescent="0.25">
      <c r="A1343" s="631">
        <f t="shared" si="20"/>
        <v>1338</v>
      </c>
      <c r="B1343" s="632"/>
      <c r="C1343" s="633"/>
      <c r="D1343" s="634"/>
      <c r="E1343" s="655"/>
      <c r="F1343" s="684"/>
      <c r="G1343" s="684"/>
      <c r="H1343" s="635"/>
    </row>
    <row r="1344" spans="1:8" ht="12.75" customHeight="1" x14ac:dyDescent="0.25">
      <c r="A1344" s="631">
        <f t="shared" si="20"/>
        <v>1339</v>
      </c>
      <c r="B1344" s="632"/>
      <c r="C1344" s="633"/>
      <c r="D1344" s="634"/>
      <c r="E1344" s="655"/>
      <c r="F1344" s="684"/>
      <c r="G1344" s="684"/>
      <c r="H1344" s="635"/>
    </row>
    <row r="1345" spans="1:8" ht="12.75" customHeight="1" x14ac:dyDescent="0.25">
      <c r="A1345" s="631">
        <f t="shared" ref="A1345:A1408" si="21">ROW()-5</f>
        <v>1340</v>
      </c>
      <c r="B1345" s="632"/>
      <c r="C1345" s="633"/>
      <c r="D1345" s="634"/>
      <c r="E1345" s="655"/>
      <c r="F1345" s="684"/>
      <c r="G1345" s="684"/>
      <c r="H1345" s="635"/>
    </row>
    <row r="1346" spans="1:8" ht="12.75" customHeight="1" x14ac:dyDescent="0.25">
      <c r="A1346" s="631">
        <f t="shared" si="21"/>
        <v>1341</v>
      </c>
      <c r="B1346" s="632"/>
      <c r="C1346" s="633"/>
      <c r="D1346" s="634"/>
      <c r="E1346" s="655"/>
      <c r="F1346" s="684"/>
      <c r="G1346" s="684"/>
      <c r="H1346" s="635"/>
    </row>
    <row r="1347" spans="1:8" ht="12.75" customHeight="1" x14ac:dyDescent="0.25">
      <c r="A1347" s="631">
        <f t="shared" si="21"/>
        <v>1342</v>
      </c>
      <c r="B1347" s="632"/>
      <c r="C1347" s="633"/>
      <c r="D1347" s="634"/>
      <c r="E1347" s="655"/>
      <c r="F1347" s="684"/>
      <c r="G1347" s="684"/>
      <c r="H1347" s="635"/>
    </row>
    <row r="1348" spans="1:8" ht="12.75" customHeight="1" x14ac:dyDescent="0.25">
      <c r="A1348" s="631">
        <f t="shared" si="21"/>
        <v>1343</v>
      </c>
      <c r="B1348" s="632"/>
      <c r="C1348" s="633"/>
      <c r="D1348" s="634"/>
      <c r="E1348" s="655"/>
      <c r="F1348" s="684"/>
      <c r="G1348" s="684"/>
      <c r="H1348" s="635"/>
    </row>
    <row r="1349" spans="1:8" ht="12.75" customHeight="1" x14ac:dyDescent="0.25">
      <c r="A1349" s="631">
        <f t="shared" si="21"/>
        <v>1344</v>
      </c>
      <c r="B1349" s="632"/>
      <c r="C1349" s="633"/>
      <c r="D1349" s="634"/>
      <c r="E1349" s="655"/>
      <c r="F1349" s="684"/>
      <c r="G1349" s="684"/>
      <c r="H1349" s="635"/>
    </row>
    <row r="1350" spans="1:8" ht="12.75" customHeight="1" x14ac:dyDescent="0.25">
      <c r="A1350" s="631">
        <f t="shared" si="21"/>
        <v>1345</v>
      </c>
      <c r="B1350" s="632"/>
      <c r="C1350" s="633"/>
      <c r="D1350" s="634"/>
      <c r="E1350" s="655"/>
      <c r="F1350" s="684"/>
      <c r="G1350" s="684"/>
      <c r="H1350" s="635"/>
    </row>
    <row r="1351" spans="1:8" ht="12.75" customHeight="1" x14ac:dyDescent="0.25">
      <c r="A1351" s="631">
        <f t="shared" si="21"/>
        <v>1346</v>
      </c>
      <c r="B1351" s="632"/>
      <c r="C1351" s="633"/>
      <c r="D1351" s="634"/>
      <c r="E1351" s="655"/>
      <c r="F1351" s="684"/>
      <c r="G1351" s="684"/>
      <c r="H1351" s="635"/>
    </row>
    <row r="1352" spans="1:8" ht="12.75" customHeight="1" x14ac:dyDescent="0.25">
      <c r="A1352" s="631">
        <f t="shared" si="21"/>
        <v>1347</v>
      </c>
      <c r="B1352" s="632"/>
      <c r="C1352" s="633"/>
      <c r="D1352" s="634"/>
      <c r="E1352" s="655"/>
      <c r="F1352" s="684"/>
      <c r="G1352" s="684"/>
      <c r="H1352" s="635"/>
    </row>
    <row r="1353" spans="1:8" ht="12.75" customHeight="1" x14ac:dyDescent="0.25">
      <c r="A1353" s="631">
        <f t="shared" si="21"/>
        <v>1348</v>
      </c>
      <c r="B1353" s="632"/>
      <c r="C1353" s="633"/>
      <c r="D1353" s="634"/>
      <c r="E1353" s="655"/>
      <c r="F1353" s="684"/>
      <c r="G1353" s="684"/>
      <c r="H1353" s="635"/>
    </row>
    <row r="1354" spans="1:8" ht="12.75" customHeight="1" x14ac:dyDescent="0.25">
      <c r="A1354" s="631">
        <f t="shared" si="21"/>
        <v>1349</v>
      </c>
      <c r="B1354" s="632"/>
      <c r="C1354" s="633"/>
      <c r="D1354" s="634"/>
      <c r="E1354" s="655"/>
      <c r="F1354" s="684"/>
      <c r="G1354" s="684"/>
      <c r="H1354" s="635"/>
    </row>
    <row r="1355" spans="1:8" ht="12.75" customHeight="1" x14ac:dyDescent="0.25">
      <c r="A1355" s="631">
        <f t="shared" si="21"/>
        <v>1350</v>
      </c>
      <c r="B1355" s="632"/>
      <c r="C1355" s="633"/>
      <c r="D1355" s="634"/>
      <c r="E1355" s="655"/>
      <c r="F1355" s="684"/>
      <c r="G1355" s="684"/>
      <c r="H1355" s="635"/>
    </row>
    <row r="1356" spans="1:8" ht="12.75" customHeight="1" x14ac:dyDescent="0.25">
      <c r="A1356" s="631">
        <f t="shared" si="21"/>
        <v>1351</v>
      </c>
      <c r="B1356" s="632"/>
      <c r="C1356" s="633"/>
      <c r="D1356" s="634"/>
      <c r="E1356" s="655"/>
      <c r="F1356" s="684"/>
      <c r="G1356" s="684"/>
      <c r="H1356" s="635"/>
    </row>
    <row r="1357" spans="1:8" ht="12.75" customHeight="1" x14ac:dyDescent="0.25">
      <c r="A1357" s="631">
        <f t="shared" si="21"/>
        <v>1352</v>
      </c>
      <c r="B1357" s="632"/>
      <c r="C1357" s="633"/>
      <c r="D1357" s="634"/>
      <c r="E1357" s="655"/>
      <c r="F1357" s="684"/>
      <c r="G1357" s="684"/>
      <c r="H1357" s="635"/>
    </row>
    <row r="1358" spans="1:8" ht="12.75" customHeight="1" x14ac:dyDescent="0.25">
      <c r="A1358" s="631">
        <f t="shared" si="21"/>
        <v>1353</v>
      </c>
      <c r="B1358" s="632"/>
      <c r="C1358" s="633"/>
      <c r="D1358" s="634"/>
      <c r="E1358" s="655"/>
      <c r="F1358" s="684"/>
      <c r="G1358" s="684"/>
      <c r="H1358" s="635"/>
    </row>
    <row r="1359" spans="1:8" ht="12.75" customHeight="1" x14ac:dyDescent="0.25">
      <c r="A1359" s="631">
        <f t="shared" si="21"/>
        <v>1354</v>
      </c>
      <c r="B1359" s="632"/>
      <c r="C1359" s="633"/>
      <c r="D1359" s="634"/>
      <c r="E1359" s="655"/>
      <c r="F1359" s="684"/>
      <c r="G1359" s="684"/>
      <c r="H1359" s="635"/>
    </row>
    <row r="1360" spans="1:8" ht="12.75" customHeight="1" x14ac:dyDescent="0.25">
      <c r="A1360" s="631">
        <f t="shared" si="21"/>
        <v>1355</v>
      </c>
      <c r="B1360" s="632"/>
      <c r="C1360" s="633"/>
      <c r="D1360" s="634"/>
      <c r="E1360" s="655"/>
      <c r="F1360" s="684"/>
      <c r="G1360" s="684"/>
      <c r="H1360" s="635"/>
    </row>
    <row r="1361" spans="1:8" ht="12.75" customHeight="1" x14ac:dyDescent="0.25">
      <c r="A1361" s="631">
        <f t="shared" si="21"/>
        <v>1356</v>
      </c>
      <c r="B1361" s="632"/>
      <c r="C1361" s="633"/>
      <c r="D1361" s="634"/>
      <c r="E1361" s="655"/>
      <c r="F1361" s="684"/>
      <c r="G1361" s="684"/>
      <c r="H1361" s="635"/>
    </row>
    <row r="1362" spans="1:8" ht="12.75" customHeight="1" x14ac:dyDescent="0.25">
      <c r="A1362" s="631">
        <f t="shared" si="21"/>
        <v>1357</v>
      </c>
      <c r="B1362" s="632"/>
      <c r="C1362" s="633"/>
      <c r="D1362" s="634"/>
      <c r="E1362" s="655"/>
      <c r="F1362" s="684"/>
      <c r="G1362" s="684"/>
      <c r="H1362" s="635"/>
    </row>
    <row r="1363" spans="1:8" ht="12.75" customHeight="1" x14ac:dyDescent="0.25">
      <c r="A1363" s="631">
        <f t="shared" si="21"/>
        <v>1358</v>
      </c>
      <c r="B1363" s="632"/>
      <c r="C1363" s="633"/>
      <c r="D1363" s="634"/>
      <c r="E1363" s="655"/>
      <c r="F1363" s="684"/>
      <c r="G1363" s="684"/>
      <c r="H1363" s="635"/>
    </row>
    <row r="1364" spans="1:8" ht="12.75" customHeight="1" x14ac:dyDescent="0.25">
      <c r="A1364" s="631">
        <f t="shared" si="21"/>
        <v>1359</v>
      </c>
      <c r="B1364" s="632"/>
      <c r="C1364" s="633"/>
      <c r="D1364" s="634"/>
      <c r="E1364" s="655"/>
      <c r="F1364" s="684"/>
      <c r="G1364" s="684"/>
      <c r="H1364" s="635"/>
    </row>
    <row r="1365" spans="1:8" ht="12.75" customHeight="1" x14ac:dyDescent="0.25">
      <c r="A1365" s="631">
        <f t="shared" si="21"/>
        <v>1360</v>
      </c>
      <c r="B1365" s="632"/>
      <c r="C1365" s="633"/>
      <c r="D1365" s="634"/>
      <c r="E1365" s="655"/>
      <c r="F1365" s="684"/>
      <c r="G1365" s="684"/>
      <c r="H1365" s="635"/>
    </row>
    <row r="1366" spans="1:8" ht="12.75" customHeight="1" x14ac:dyDescent="0.25">
      <c r="A1366" s="631">
        <f t="shared" si="21"/>
        <v>1361</v>
      </c>
      <c r="B1366" s="632"/>
      <c r="C1366" s="633"/>
      <c r="D1366" s="634"/>
      <c r="E1366" s="655"/>
      <c r="F1366" s="684"/>
      <c r="G1366" s="684"/>
      <c r="H1366" s="635"/>
    </row>
    <row r="1367" spans="1:8" ht="12.75" customHeight="1" x14ac:dyDescent="0.25">
      <c r="A1367" s="631">
        <f t="shared" si="21"/>
        <v>1362</v>
      </c>
      <c r="B1367" s="632"/>
      <c r="C1367" s="633"/>
      <c r="D1367" s="634"/>
      <c r="E1367" s="655"/>
      <c r="F1367" s="684"/>
      <c r="G1367" s="684"/>
      <c r="H1367" s="635"/>
    </row>
    <row r="1368" spans="1:8" ht="12.75" customHeight="1" x14ac:dyDescent="0.25">
      <c r="A1368" s="631">
        <f t="shared" si="21"/>
        <v>1363</v>
      </c>
      <c r="B1368" s="632"/>
      <c r="C1368" s="633"/>
      <c r="D1368" s="634"/>
      <c r="E1368" s="655"/>
      <c r="F1368" s="684"/>
      <c r="G1368" s="684"/>
      <c r="H1368" s="635"/>
    </row>
    <row r="1369" spans="1:8" ht="12.75" customHeight="1" x14ac:dyDescent="0.25">
      <c r="A1369" s="631">
        <f t="shared" si="21"/>
        <v>1364</v>
      </c>
      <c r="B1369" s="632"/>
      <c r="C1369" s="633"/>
      <c r="D1369" s="634"/>
      <c r="E1369" s="655"/>
      <c r="F1369" s="684"/>
      <c r="G1369" s="684"/>
      <c r="H1369" s="635"/>
    </row>
    <row r="1370" spans="1:8" ht="12.75" customHeight="1" x14ac:dyDescent="0.25">
      <c r="A1370" s="631">
        <f t="shared" si="21"/>
        <v>1365</v>
      </c>
      <c r="B1370" s="632"/>
      <c r="C1370" s="633"/>
      <c r="D1370" s="634"/>
      <c r="E1370" s="655"/>
      <c r="F1370" s="684"/>
      <c r="G1370" s="684"/>
      <c r="H1370" s="635"/>
    </row>
    <row r="1371" spans="1:8" ht="12.75" customHeight="1" x14ac:dyDescent="0.25">
      <c r="A1371" s="631">
        <f t="shared" si="21"/>
        <v>1366</v>
      </c>
      <c r="B1371" s="632"/>
      <c r="C1371" s="633"/>
      <c r="D1371" s="634"/>
      <c r="E1371" s="655"/>
      <c r="F1371" s="684"/>
      <c r="G1371" s="684"/>
      <c r="H1371" s="635"/>
    </row>
    <row r="1372" spans="1:8" ht="12.75" customHeight="1" x14ac:dyDescent="0.25">
      <c r="A1372" s="631">
        <f t="shared" si="21"/>
        <v>1367</v>
      </c>
      <c r="B1372" s="632"/>
      <c r="C1372" s="633"/>
      <c r="D1372" s="634"/>
      <c r="E1372" s="655"/>
      <c r="F1372" s="684"/>
      <c r="G1372" s="684"/>
      <c r="H1372" s="635"/>
    </row>
    <row r="1373" spans="1:8" ht="12.75" customHeight="1" x14ac:dyDescent="0.25">
      <c r="A1373" s="631">
        <f t="shared" si="21"/>
        <v>1368</v>
      </c>
      <c r="B1373" s="632"/>
      <c r="C1373" s="633"/>
      <c r="D1373" s="634"/>
      <c r="E1373" s="655"/>
      <c r="F1373" s="684"/>
      <c r="G1373" s="684"/>
      <c r="H1373" s="635"/>
    </row>
    <row r="1374" spans="1:8" ht="12.75" customHeight="1" x14ac:dyDescent="0.25">
      <c r="A1374" s="631">
        <f t="shared" si="21"/>
        <v>1369</v>
      </c>
      <c r="B1374" s="632"/>
      <c r="C1374" s="633"/>
      <c r="D1374" s="634"/>
      <c r="E1374" s="655"/>
      <c r="F1374" s="684"/>
      <c r="G1374" s="684"/>
      <c r="H1374" s="635"/>
    </row>
    <row r="1375" spans="1:8" ht="12.75" customHeight="1" x14ac:dyDescent="0.25">
      <c r="A1375" s="631">
        <f t="shared" si="21"/>
        <v>1370</v>
      </c>
      <c r="B1375" s="632"/>
      <c r="C1375" s="633"/>
      <c r="D1375" s="634"/>
      <c r="E1375" s="655"/>
      <c r="F1375" s="684"/>
      <c r="G1375" s="684"/>
      <c r="H1375" s="635"/>
    </row>
    <row r="1376" spans="1:8" ht="12.75" customHeight="1" x14ac:dyDescent="0.25">
      <c r="A1376" s="631">
        <f t="shared" si="21"/>
        <v>1371</v>
      </c>
      <c r="B1376" s="632"/>
      <c r="C1376" s="633"/>
      <c r="D1376" s="634"/>
      <c r="E1376" s="655"/>
      <c r="F1376" s="684"/>
      <c r="G1376" s="684"/>
      <c r="H1376" s="635"/>
    </row>
    <row r="1377" spans="1:8" ht="12.75" customHeight="1" x14ac:dyDescent="0.25">
      <c r="A1377" s="631">
        <f t="shared" si="21"/>
        <v>1372</v>
      </c>
      <c r="B1377" s="632"/>
      <c r="C1377" s="633"/>
      <c r="D1377" s="634"/>
      <c r="E1377" s="655"/>
      <c r="F1377" s="684"/>
      <c r="G1377" s="684"/>
      <c r="H1377" s="635"/>
    </row>
    <row r="1378" spans="1:8" ht="12.75" customHeight="1" x14ac:dyDescent="0.25">
      <c r="A1378" s="631">
        <f t="shared" si="21"/>
        <v>1373</v>
      </c>
      <c r="B1378" s="632"/>
      <c r="C1378" s="633"/>
      <c r="D1378" s="634"/>
      <c r="E1378" s="655"/>
      <c r="F1378" s="684"/>
      <c r="G1378" s="684"/>
      <c r="H1378" s="635"/>
    </row>
    <row r="1379" spans="1:8" ht="12.75" customHeight="1" x14ac:dyDescent="0.25">
      <c r="A1379" s="631">
        <f t="shared" si="21"/>
        <v>1374</v>
      </c>
      <c r="B1379" s="632"/>
      <c r="C1379" s="633"/>
      <c r="D1379" s="634"/>
      <c r="E1379" s="655"/>
      <c r="F1379" s="684"/>
      <c r="G1379" s="684"/>
      <c r="H1379" s="635"/>
    </row>
    <row r="1380" spans="1:8" ht="12.75" customHeight="1" x14ac:dyDescent="0.25">
      <c r="A1380" s="631">
        <f t="shared" si="21"/>
        <v>1375</v>
      </c>
      <c r="B1380" s="632"/>
      <c r="C1380" s="633"/>
      <c r="D1380" s="634"/>
      <c r="E1380" s="655"/>
      <c r="F1380" s="684"/>
      <c r="G1380" s="684"/>
      <c r="H1380" s="635"/>
    </row>
    <row r="1381" spans="1:8" ht="12.75" customHeight="1" x14ac:dyDescent="0.25">
      <c r="A1381" s="631">
        <f t="shared" si="21"/>
        <v>1376</v>
      </c>
      <c r="B1381" s="632"/>
      <c r="C1381" s="633"/>
      <c r="D1381" s="634"/>
      <c r="E1381" s="655"/>
      <c r="F1381" s="684"/>
      <c r="G1381" s="684"/>
      <c r="H1381" s="635"/>
    </row>
    <row r="1382" spans="1:8" ht="12.75" customHeight="1" x14ac:dyDescent="0.25">
      <c r="A1382" s="631">
        <f t="shared" si="21"/>
        <v>1377</v>
      </c>
      <c r="B1382" s="632"/>
      <c r="C1382" s="633"/>
      <c r="D1382" s="634"/>
      <c r="E1382" s="655"/>
      <c r="F1382" s="684"/>
      <c r="G1382" s="684"/>
      <c r="H1382" s="635"/>
    </row>
    <row r="1383" spans="1:8" ht="12.75" customHeight="1" x14ac:dyDescent="0.25">
      <c r="A1383" s="631">
        <f t="shared" si="21"/>
        <v>1378</v>
      </c>
      <c r="B1383" s="632"/>
      <c r="C1383" s="633"/>
      <c r="D1383" s="634"/>
      <c r="E1383" s="655"/>
      <c r="F1383" s="684"/>
      <c r="G1383" s="684"/>
      <c r="H1383" s="635"/>
    </row>
    <row r="1384" spans="1:8" ht="12.75" customHeight="1" x14ac:dyDescent="0.25">
      <c r="A1384" s="631">
        <f t="shared" si="21"/>
        <v>1379</v>
      </c>
      <c r="B1384" s="632"/>
      <c r="C1384" s="633"/>
      <c r="D1384" s="634"/>
      <c r="E1384" s="655"/>
      <c r="F1384" s="684"/>
      <c r="G1384" s="684"/>
      <c r="H1384" s="635"/>
    </row>
    <row r="1385" spans="1:8" ht="12.75" customHeight="1" x14ac:dyDescent="0.25">
      <c r="A1385" s="631">
        <f t="shared" si="21"/>
        <v>1380</v>
      </c>
      <c r="B1385" s="632"/>
      <c r="C1385" s="633"/>
      <c r="D1385" s="634"/>
      <c r="E1385" s="655"/>
      <c r="F1385" s="684"/>
      <c r="G1385" s="684"/>
      <c r="H1385" s="635"/>
    </row>
    <row r="1386" spans="1:8" ht="12.75" customHeight="1" x14ac:dyDescent="0.25">
      <c r="A1386" s="631">
        <f t="shared" si="21"/>
        <v>1381</v>
      </c>
      <c r="B1386" s="632"/>
      <c r="C1386" s="633"/>
      <c r="D1386" s="634"/>
      <c r="E1386" s="655"/>
      <c r="F1386" s="684"/>
      <c r="G1386" s="684"/>
      <c r="H1386" s="635"/>
    </row>
    <row r="1387" spans="1:8" ht="12.75" customHeight="1" x14ac:dyDescent="0.25">
      <c r="A1387" s="631">
        <f t="shared" si="21"/>
        <v>1382</v>
      </c>
      <c r="B1387" s="632"/>
      <c r="C1387" s="633"/>
      <c r="D1387" s="634"/>
      <c r="E1387" s="655"/>
      <c r="F1387" s="684"/>
      <c r="G1387" s="684"/>
      <c r="H1387" s="635"/>
    </row>
    <row r="1388" spans="1:8" ht="12.75" customHeight="1" x14ac:dyDescent="0.25">
      <c r="A1388" s="631">
        <f t="shared" si="21"/>
        <v>1383</v>
      </c>
      <c r="B1388" s="632"/>
      <c r="C1388" s="633"/>
      <c r="D1388" s="634"/>
      <c r="E1388" s="655"/>
      <c r="F1388" s="684"/>
      <c r="G1388" s="684"/>
      <c r="H1388" s="635"/>
    </row>
    <row r="1389" spans="1:8" ht="12.75" customHeight="1" x14ac:dyDescent="0.25">
      <c r="A1389" s="631">
        <f t="shared" si="21"/>
        <v>1384</v>
      </c>
      <c r="B1389" s="632"/>
      <c r="C1389" s="633"/>
      <c r="D1389" s="634"/>
      <c r="E1389" s="655"/>
      <c r="F1389" s="684"/>
      <c r="G1389" s="684"/>
      <c r="H1389" s="635"/>
    </row>
    <row r="1390" spans="1:8" ht="12.75" customHeight="1" x14ac:dyDescent="0.25">
      <c r="A1390" s="631">
        <f t="shared" si="21"/>
        <v>1385</v>
      </c>
      <c r="B1390" s="632"/>
      <c r="C1390" s="633"/>
      <c r="D1390" s="634"/>
      <c r="E1390" s="655"/>
      <c r="F1390" s="684"/>
      <c r="G1390" s="684"/>
      <c r="H1390" s="635"/>
    </row>
    <row r="1391" spans="1:8" ht="12.75" customHeight="1" x14ac:dyDescent="0.25">
      <c r="A1391" s="631">
        <f t="shared" si="21"/>
        <v>1386</v>
      </c>
      <c r="B1391" s="632"/>
      <c r="C1391" s="633"/>
      <c r="D1391" s="634"/>
      <c r="E1391" s="655"/>
      <c r="F1391" s="684"/>
      <c r="G1391" s="684"/>
      <c r="H1391" s="635"/>
    </row>
    <row r="1392" spans="1:8" ht="12.75" customHeight="1" x14ac:dyDescent="0.25">
      <c r="A1392" s="631">
        <f t="shared" si="21"/>
        <v>1387</v>
      </c>
      <c r="B1392" s="632"/>
      <c r="C1392" s="633"/>
      <c r="D1392" s="634"/>
      <c r="E1392" s="655"/>
      <c r="F1392" s="684"/>
      <c r="G1392" s="684"/>
      <c r="H1392" s="635"/>
    </row>
    <row r="1393" spans="1:8" ht="12.75" customHeight="1" x14ac:dyDescent="0.25">
      <c r="A1393" s="631">
        <f t="shared" si="21"/>
        <v>1388</v>
      </c>
      <c r="B1393" s="632"/>
      <c r="C1393" s="633"/>
      <c r="D1393" s="634"/>
      <c r="E1393" s="655"/>
      <c r="F1393" s="684"/>
      <c r="G1393" s="684"/>
      <c r="H1393" s="635"/>
    </row>
    <row r="1394" spans="1:8" ht="12.75" customHeight="1" x14ac:dyDescent="0.25">
      <c r="A1394" s="631">
        <f t="shared" si="21"/>
        <v>1389</v>
      </c>
      <c r="B1394" s="632"/>
      <c r="C1394" s="633"/>
      <c r="D1394" s="634"/>
      <c r="E1394" s="655"/>
      <c r="F1394" s="684"/>
      <c r="G1394" s="684"/>
      <c r="H1394" s="635"/>
    </row>
    <row r="1395" spans="1:8" ht="12.75" customHeight="1" x14ac:dyDescent="0.25">
      <c r="A1395" s="631">
        <f t="shared" si="21"/>
        <v>1390</v>
      </c>
      <c r="B1395" s="632"/>
      <c r="C1395" s="633"/>
      <c r="D1395" s="634"/>
      <c r="E1395" s="655"/>
      <c r="F1395" s="684"/>
      <c r="G1395" s="684"/>
      <c r="H1395" s="635"/>
    </row>
    <row r="1396" spans="1:8" ht="12.75" customHeight="1" x14ac:dyDescent="0.25">
      <c r="A1396" s="631">
        <f t="shared" si="21"/>
        <v>1391</v>
      </c>
      <c r="B1396" s="632"/>
      <c r="C1396" s="633"/>
      <c r="D1396" s="634"/>
      <c r="E1396" s="655"/>
      <c r="F1396" s="684"/>
      <c r="G1396" s="684"/>
      <c r="H1396" s="635"/>
    </row>
    <row r="1397" spans="1:8" ht="12.75" customHeight="1" x14ac:dyDescent="0.25">
      <c r="A1397" s="631">
        <f t="shared" si="21"/>
        <v>1392</v>
      </c>
      <c r="B1397" s="632"/>
      <c r="C1397" s="633"/>
      <c r="D1397" s="634"/>
      <c r="E1397" s="655"/>
      <c r="F1397" s="684"/>
      <c r="G1397" s="684"/>
      <c r="H1397" s="635"/>
    </row>
    <row r="1398" spans="1:8" ht="12.75" customHeight="1" x14ac:dyDescent="0.25">
      <c r="A1398" s="631">
        <f t="shared" si="21"/>
        <v>1393</v>
      </c>
      <c r="B1398" s="632"/>
      <c r="C1398" s="633"/>
      <c r="D1398" s="634"/>
      <c r="E1398" s="655"/>
      <c r="F1398" s="684"/>
      <c r="G1398" s="684"/>
      <c r="H1398" s="635"/>
    </row>
    <row r="1399" spans="1:8" ht="12.75" customHeight="1" x14ac:dyDescent="0.25">
      <c r="A1399" s="631">
        <f t="shared" si="21"/>
        <v>1394</v>
      </c>
      <c r="B1399" s="632"/>
      <c r="C1399" s="633"/>
      <c r="D1399" s="634"/>
      <c r="E1399" s="655"/>
      <c r="F1399" s="684"/>
      <c r="G1399" s="684"/>
      <c r="H1399" s="635"/>
    </row>
    <row r="1400" spans="1:8" ht="12.75" customHeight="1" x14ac:dyDescent="0.25">
      <c r="A1400" s="631">
        <f t="shared" si="21"/>
        <v>1395</v>
      </c>
      <c r="B1400" s="632"/>
      <c r="C1400" s="633"/>
      <c r="D1400" s="634"/>
      <c r="E1400" s="655"/>
      <c r="F1400" s="684"/>
      <c r="G1400" s="684"/>
      <c r="H1400" s="635"/>
    </row>
    <row r="1401" spans="1:8" ht="12.75" customHeight="1" x14ac:dyDescent="0.25">
      <c r="A1401" s="631">
        <f t="shared" si="21"/>
        <v>1396</v>
      </c>
      <c r="B1401" s="632"/>
      <c r="C1401" s="633"/>
      <c r="D1401" s="634"/>
      <c r="E1401" s="655"/>
      <c r="F1401" s="684"/>
      <c r="G1401" s="684"/>
      <c r="H1401" s="635"/>
    </row>
    <row r="1402" spans="1:8" ht="12.75" customHeight="1" x14ac:dyDescent="0.25">
      <c r="A1402" s="631">
        <f t="shared" si="21"/>
        <v>1397</v>
      </c>
      <c r="B1402" s="632"/>
      <c r="C1402" s="633"/>
      <c r="D1402" s="634"/>
      <c r="E1402" s="655"/>
      <c r="F1402" s="684"/>
      <c r="G1402" s="684"/>
      <c r="H1402" s="635"/>
    </row>
    <row r="1403" spans="1:8" ht="12.75" customHeight="1" x14ac:dyDescent="0.25">
      <c r="A1403" s="631">
        <f t="shared" si="21"/>
        <v>1398</v>
      </c>
      <c r="B1403" s="632"/>
      <c r="C1403" s="633"/>
      <c r="D1403" s="634"/>
      <c r="E1403" s="655"/>
      <c r="F1403" s="684"/>
      <c r="G1403" s="684"/>
      <c r="H1403" s="635"/>
    </row>
    <row r="1404" spans="1:8" ht="12.75" customHeight="1" x14ac:dyDescent="0.25">
      <c r="A1404" s="631">
        <f t="shared" si="21"/>
        <v>1399</v>
      </c>
      <c r="B1404" s="632"/>
      <c r="C1404" s="633"/>
      <c r="D1404" s="634"/>
      <c r="E1404" s="655"/>
      <c r="F1404" s="684"/>
      <c r="G1404" s="684"/>
      <c r="H1404" s="635"/>
    </row>
    <row r="1405" spans="1:8" ht="12.75" customHeight="1" x14ac:dyDescent="0.25">
      <c r="A1405" s="631">
        <f t="shared" si="21"/>
        <v>1400</v>
      </c>
      <c r="B1405" s="632"/>
      <c r="C1405" s="633"/>
      <c r="D1405" s="634"/>
      <c r="E1405" s="655"/>
      <c r="F1405" s="684"/>
      <c r="G1405" s="684"/>
      <c r="H1405" s="635"/>
    </row>
    <row r="1406" spans="1:8" ht="12.75" customHeight="1" x14ac:dyDescent="0.25">
      <c r="A1406" s="631">
        <f t="shared" si="21"/>
        <v>1401</v>
      </c>
      <c r="B1406" s="632"/>
      <c r="C1406" s="633"/>
      <c r="D1406" s="634"/>
      <c r="E1406" s="655"/>
      <c r="F1406" s="684"/>
      <c r="G1406" s="684"/>
      <c r="H1406" s="635"/>
    </row>
    <row r="1407" spans="1:8" ht="12.75" customHeight="1" x14ac:dyDescent="0.25">
      <c r="A1407" s="631">
        <f t="shared" si="21"/>
        <v>1402</v>
      </c>
      <c r="B1407" s="632"/>
      <c r="C1407" s="633"/>
      <c r="D1407" s="634"/>
      <c r="E1407" s="655"/>
      <c r="F1407" s="684"/>
      <c r="G1407" s="684"/>
      <c r="H1407" s="635"/>
    </row>
    <row r="1408" spans="1:8" ht="12.75" customHeight="1" x14ac:dyDescent="0.25">
      <c r="A1408" s="631">
        <f t="shared" si="21"/>
        <v>1403</v>
      </c>
      <c r="B1408" s="632"/>
      <c r="C1408" s="633"/>
      <c r="D1408" s="634"/>
      <c r="E1408" s="655"/>
      <c r="F1408" s="684"/>
      <c r="G1408" s="684"/>
      <c r="H1408" s="635"/>
    </row>
    <row r="1409" spans="1:8" ht="12.75" customHeight="1" x14ac:dyDescent="0.25">
      <c r="A1409" s="631">
        <f t="shared" ref="A1409:A1472" si="22">ROW()-5</f>
        <v>1404</v>
      </c>
      <c r="B1409" s="632"/>
      <c r="C1409" s="633"/>
      <c r="D1409" s="634"/>
      <c r="E1409" s="655"/>
      <c r="F1409" s="684"/>
      <c r="G1409" s="684"/>
      <c r="H1409" s="635"/>
    </row>
    <row r="1410" spans="1:8" ht="12.75" customHeight="1" x14ac:dyDescent="0.25">
      <c r="A1410" s="631">
        <f t="shared" si="22"/>
        <v>1405</v>
      </c>
      <c r="B1410" s="632"/>
      <c r="C1410" s="633"/>
      <c r="D1410" s="634"/>
      <c r="E1410" s="655"/>
      <c r="F1410" s="684"/>
      <c r="G1410" s="684"/>
      <c r="H1410" s="635"/>
    </row>
    <row r="1411" spans="1:8" ht="12.75" customHeight="1" x14ac:dyDescent="0.25">
      <c r="A1411" s="631">
        <f t="shared" si="22"/>
        <v>1406</v>
      </c>
      <c r="B1411" s="632"/>
      <c r="C1411" s="633"/>
      <c r="D1411" s="634"/>
      <c r="E1411" s="655"/>
      <c r="F1411" s="684"/>
      <c r="G1411" s="684"/>
      <c r="H1411" s="635"/>
    </row>
    <row r="1412" spans="1:8" ht="12.75" customHeight="1" x14ac:dyDescent="0.25">
      <c r="A1412" s="631">
        <f t="shared" si="22"/>
        <v>1407</v>
      </c>
      <c r="B1412" s="632"/>
      <c r="C1412" s="633"/>
      <c r="D1412" s="634"/>
      <c r="E1412" s="655"/>
      <c r="F1412" s="684"/>
      <c r="G1412" s="684"/>
      <c r="H1412" s="635"/>
    </row>
    <row r="1413" spans="1:8" ht="12.75" customHeight="1" x14ac:dyDescent="0.25">
      <c r="A1413" s="631">
        <f t="shared" si="22"/>
        <v>1408</v>
      </c>
      <c r="B1413" s="632"/>
      <c r="C1413" s="633"/>
      <c r="D1413" s="634"/>
      <c r="E1413" s="655"/>
      <c r="F1413" s="684"/>
      <c r="G1413" s="684"/>
      <c r="H1413" s="635"/>
    </row>
    <row r="1414" spans="1:8" ht="12.75" customHeight="1" x14ac:dyDescent="0.25">
      <c r="A1414" s="631">
        <f t="shared" si="22"/>
        <v>1409</v>
      </c>
      <c r="B1414" s="632"/>
      <c r="C1414" s="633"/>
      <c r="D1414" s="634"/>
      <c r="E1414" s="655"/>
      <c r="F1414" s="684"/>
      <c r="G1414" s="684"/>
      <c r="H1414" s="635"/>
    </row>
    <row r="1415" spans="1:8" ht="12.75" customHeight="1" x14ac:dyDescent="0.25">
      <c r="A1415" s="631">
        <f t="shared" si="22"/>
        <v>1410</v>
      </c>
      <c r="B1415" s="632"/>
      <c r="C1415" s="633"/>
      <c r="D1415" s="634"/>
      <c r="E1415" s="655"/>
      <c r="F1415" s="684"/>
      <c r="G1415" s="684"/>
      <c r="H1415" s="635"/>
    </row>
    <row r="1416" spans="1:8" ht="12.75" customHeight="1" x14ac:dyDescent="0.25">
      <c r="A1416" s="631">
        <f t="shared" si="22"/>
        <v>1411</v>
      </c>
      <c r="B1416" s="632"/>
      <c r="C1416" s="633"/>
      <c r="D1416" s="634"/>
      <c r="E1416" s="655"/>
      <c r="F1416" s="684"/>
      <c r="G1416" s="684"/>
      <c r="H1416" s="635"/>
    </row>
    <row r="1417" spans="1:8" ht="12.75" customHeight="1" x14ac:dyDescent="0.25">
      <c r="A1417" s="631">
        <f t="shared" si="22"/>
        <v>1412</v>
      </c>
      <c r="B1417" s="632"/>
      <c r="C1417" s="633"/>
      <c r="D1417" s="634"/>
      <c r="E1417" s="655"/>
      <c r="F1417" s="684"/>
      <c r="G1417" s="684"/>
      <c r="H1417" s="635"/>
    </row>
    <row r="1418" spans="1:8" ht="12.75" customHeight="1" x14ac:dyDescent="0.25">
      <c r="A1418" s="631">
        <f t="shared" si="22"/>
        <v>1413</v>
      </c>
      <c r="B1418" s="632"/>
      <c r="C1418" s="633"/>
      <c r="D1418" s="634"/>
      <c r="E1418" s="655"/>
      <c r="F1418" s="684"/>
      <c r="G1418" s="684"/>
      <c r="H1418" s="635"/>
    </row>
    <row r="1419" spans="1:8" ht="12.75" customHeight="1" x14ac:dyDescent="0.25">
      <c r="A1419" s="631">
        <f t="shared" si="22"/>
        <v>1414</v>
      </c>
      <c r="B1419" s="632"/>
      <c r="C1419" s="633"/>
      <c r="D1419" s="634"/>
      <c r="E1419" s="655"/>
      <c r="F1419" s="684"/>
      <c r="G1419" s="684"/>
      <c r="H1419" s="635"/>
    </row>
    <row r="1420" spans="1:8" ht="12.75" customHeight="1" x14ac:dyDescent="0.25">
      <c r="A1420" s="631">
        <f t="shared" si="22"/>
        <v>1415</v>
      </c>
      <c r="B1420" s="632"/>
      <c r="C1420" s="633"/>
      <c r="D1420" s="634"/>
      <c r="E1420" s="655"/>
      <c r="F1420" s="684"/>
      <c r="G1420" s="684"/>
      <c r="H1420" s="635"/>
    </row>
    <row r="1421" spans="1:8" ht="12.75" customHeight="1" x14ac:dyDescent="0.25">
      <c r="A1421" s="631">
        <f t="shared" si="22"/>
        <v>1416</v>
      </c>
      <c r="B1421" s="632"/>
      <c r="C1421" s="633"/>
      <c r="D1421" s="634"/>
      <c r="E1421" s="655"/>
      <c r="F1421" s="684"/>
      <c r="G1421" s="684"/>
      <c r="H1421" s="635"/>
    </row>
    <row r="1422" spans="1:8" ht="12.75" customHeight="1" x14ac:dyDescent="0.25">
      <c r="A1422" s="631">
        <f t="shared" si="22"/>
        <v>1417</v>
      </c>
      <c r="B1422" s="632"/>
      <c r="C1422" s="633"/>
      <c r="D1422" s="634"/>
      <c r="E1422" s="655"/>
      <c r="F1422" s="684"/>
      <c r="G1422" s="684"/>
      <c r="H1422" s="635"/>
    </row>
    <row r="1423" spans="1:8" ht="12.75" customHeight="1" x14ac:dyDescent="0.25">
      <c r="A1423" s="631">
        <f t="shared" si="22"/>
        <v>1418</v>
      </c>
      <c r="B1423" s="632"/>
      <c r="C1423" s="633"/>
      <c r="D1423" s="634"/>
      <c r="E1423" s="655"/>
      <c r="F1423" s="684"/>
      <c r="G1423" s="684"/>
      <c r="H1423" s="635"/>
    </row>
    <row r="1424" spans="1:8" ht="12.75" customHeight="1" x14ac:dyDescent="0.25">
      <c r="A1424" s="631">
        <f t="shared" si="22"/>
        <v>1419</v>
      </c>
      <c r="B1424" s="632"/>
      <c r="C1424" s="633"/>
      <c r="D1424" s="634"/>
      <c r="E1424" s="655"/>
      <c r="F1424" s="684"/>
      <c r="G1424" s="684"/>
      <c r="H1424" s="635"/>
    </row>
    <row r="1425" spans="1:8" ht="12.75" customHeight="1" x14ac:dyDescent="0.25">
      <c r="A1425" s="631">
        <f t="shared" si="22"/>
        <v>1420</v>
      </c>
      <c r="B1425" s="632"/>
      <c r="C1425" s="633"/>
      <c r="D1425" s="634"/>
      <c r="E1425" s="655"/>
      <c r="F1425" s="684"/>
      <c r="G1425" s="684"/>
      <c r="H1425" s="635"/>
    </row>
    <row r="1426" spans="1:8" ht="12.75" customHeight="1" x14ac:dyDescent="0.25">
      <c r="A1426" s="631">
        <f t="shared" si="22"/>
        <v>1421</v>
      </c>
      <c r="B1426" s="632"/>
      <c r="C1426" s="633"/>
      <c r="D1426" s="634"/>
      <c r="E1426" s="655"/>
      <c r="F1426" s="684"/>
      <c r="G1426" s="684"/>
      <c r="H1426" s="635"/>
    </row>
    <row r="1427" spans="1:8" ht="12.75" customHeight="1" x14ac:dyDescent="0.25">
      <c r="A1427" s="631">
        <f t="shared" si="22"/>
        <v>1422</v>
      </c>
      <c r="B1427" s="632"/>
      <c r="C1427" s="633"/>
      <c r="D1427" s="634"/>
      <c r="E1427" s="655"/>
      <c r="F1427" s="684"/>
      <c r="G1427" s="684"/>
      <c r="H1427" s="635"/>
    </row>
    <row r="1428" spans="1:8" ht="12.75" customHeight="1" x14ac:dyDescent="0.25">
      <c r="A1428" s="631">
        <f t="shared" si="22"/>
        <v>1423</v>
      </c>
      <c r="B1428" s="632"/>
      <c r="C1428" s="633"/>
      <c r="D1428" s="634"/>
      <c r="E1428" s="655"/>
      <c r="F1428" s="684"/>
      <c r="G1428" s="684"/>
      <c r="H1428" s="635"/>
    </row>
    <row r="1429" spans="1:8" ht="12.75" customHeight="1" x14ac:dyDescent="0.25">
      <c r="A1429" s="631">
        <f t="shared" si="22"/>
        <v>1424</v>
      </c>
      <c r="B1429" s="632"/>
      <c r="C1429" s="633"/>
      <c r="D1429" s="634"/>
      <c r="E1429" s="655"/>
      <c r="F1429" s="684"/>
      <c r="G1429" s="684"/>
      <c r="H1429" s="635"/>
    </row>
    <row r="1430" spans="1:8" ht="12.75" customHeight="1" x14ac:dyDescent="0.25">
      <c r="A1430" s="631">
        <f t="shared" si="22"/>
        <v>1425</v>
      </c>
      <c r="B1430" s="632"/>
      <c r="C1430" s="633"/>
      <c r="D1430" s="634"/>
      <c r="E1430" s="655"/>
      <c r="F1430" s="684"/>
      <c r="G1430" s="684"/>
      <c r="H1430" s="635"/>
    </row>
    <row r="1431" spans="1:8" ht="12.75" customHeight="1" x14ac:dyDescent="0.25">
      <c r="A1431" s="631">
        <f t="shared" si="22"/>
        <v>1426</v>
      </c>
      <c r="B1431" s="632"/>
      <c r="C1431" s="633"/>
      <c r="D1431" s="634"/>
      <c r="E1431" s="655"/>
      <c r="F1431" s="684"/>
      <c r="G1431" s="684"/>
      <c r="H1431" s="635"/>
    </row>
    <row r="1432" spans="1:8" ht="12.75" customHeight="1" x14ac:dyDescent="0.25">
      <c r="A1432" s="631">
        <f t="shared" si="22"/>
        <v>1427</v>
      </c>
      <c r="B1432" s="632"/>
      <c r="C1432" s="633"/>
      <c r="D1432" s="634"/>
      <c r="E1432" s="655"/>
      <c r="F1432" s="684"/>
      <c r="G1432" s="684"/>
      <c r="H1432" s="635"/>
    </row>
    <row r="1433" spans="1:8" ht="12.75" customHeight="1" x14ac:dyDescent="0.25">
      <c r="A1433" s="631">
        <f t="shared" si="22"/>
        <v>1428</v>
      </c>
      <c r="B1433" s="632"/>
      <c r="C1433" s="633"/>
      <c r="D1433" s="634"/>
      <c r="E1433" s="655"/>
      <c r="F1433" s="684"/>
      <c r="G1433" s="684"/>
      <c r="H1433" s="635"/>
    </row>
    <row r="1434" spans="1:8" ht="12.75" customHeight="1" x14ac:dyDescent="0.25">
      <c r="A1434" s="631">
        <f t="shared" si="22"/>
        <v>1429</v>
      </c>
      <c r="B1434" s="632"/>
      <c r="C1434" s="633"/>
      <c r="D1434" s="634"/>
      <c r="E1434" s="655"/>
      <c r="F1434" s="684"/>
      <c r="G1434" s="684"/>
      <c r="H1434" s="635"/>
    </row>
    <row r="1435" spans="1:8" ht="12.75" customHeight="1" x14ac:dyDescent="0.25">
      <c r="A1435" s="631">
        <f t="shared" si="22"/>
        <v>1430</v>
      </c>
      <c r="B1435" s="632"/>
      <c r="C1435" s="633"/>
      <c r="D1435" s="634"/>
      <c r="E1435" s="655"/>
      <c r="F1435" s="684"/>
      <c r="G1435" s="684"/>
      <c r="H1435" s="635"/>
    </row>
    <row r="1436" spans="1:8" ht="12.75" customHeight="1" x14ac:dyDescent="0.25">
      <c r="A1436" s="631">
        <f t="shared" si="22"/>
        <v>1431</v>
      </c>
      <c r="B1436" s="632"/>
      <c r="C1436" s="633"/>
      <c r="D1436" s="634"/>
      <c r="E1436" s="655"/>
      <c r="F1436" s="684"/>
      <c r="G1436" s="684"/>
      <c r="H1436" s="635"/>
    </row>
    <row r="1437" spans="1:8" ht="12.75" customHeight="1" x14ac:dyDescent="0.25">
      <c r="A1437" s="631">
        <f t="shared" si="22"/>
        <v>1432</v>
      </c>
      <c r="B1437" s="632"/>
      <c r="C1437" s="633"/>
      <c r="D1437" s="634"/>
      <c r="E1437" s="655"/>
      <c r="F1437" s="684"/>
      <c r="G1437" s="684"/>
      <c r="H1437" s="635"/>
    </row>
    <row r="1438" spans="1:8" ht="12.75" customHeight="1" x14ac:dyDescent="0.25">
      <c r="A1438" s="631">
        <f t="shared" si="22"/>
        <v>1433</v>
      </c>
      <c r="B1438" s="632"/>
      <c r="C1438" s="633"/>
      <c r="D1438" s="634"/>
      <c r="E1438" s="655"/>
      <c r="F1438" s="684"/>
      <c r="G1438" s="684"/>
      <c r="H1438" s="635"/>
    </row>
    <row r="1439" spans="1:8" ht="12.75" customHeight="1" x14ac:dyDescent="0.25">
      <c r="A1439" s="631">
        <f t="shared" si="22"/>
        <v>1434</v>
      </c>
      <c r="B1439" s="632"/>
      <c r="C1439" s="633"/>
      <c r="D1439" s="634"/>
      <c r="E1439" s="655"/>
      <c r="F1439" s="684"/>
      <c r="G1439" s="684"/>
      <c r="H1439" s="635"/>
    </row>
    <row r="1440" spans="1:8" ht="12.75" customHeight="1" x14ac:dyDescent="0.25">
      <c r="A1440" s="631">
        <f t="shared" si="22"/>
        <v>1435</v>
      </c>
      <c r="B1440" s="632"/>
      <c r="C1440" s="633"/>
      <c r="D1440" s="634"/>
      <c r="E1440" s="655"/>
      <c r="F1440" s="684"/>
      <c r="G1440" s="684"/>
      <c r="H1440" s="635"/>
    </row>
    <row r="1441" spans="1:8" ht="12.75" customHeight="1" x14ac:dyDescent="0.25">
      <c r="A1441" s="631">
        <f t="shared" si="22"/>
        <v>1436</v>
      </c>
      <c r="B1441" s="632"/>
      <c r="C1441" s="633"/>
      <c r="D1441" s="634"/>
      <c r="E1441" s="655"/>
      <c r="F1441" s="684"/>
      <c r="G1441" s="684"/>
      <c r="H1441" s="635"/>
    </row>
    <row r="1442" spans="1:8" ht="12.75" customHeight="1" x14ac:dyDescent="0.25">
      <c r="A1442" s="631">
        <f t="shared" si="22"/>
        <v>1437</v>
      </c>
      <c r="B1442" s="632"/>
      <c r="C1442" s="633"/>
      <c r="D1442" s="634"/>
      <c r="E1442" s="655"/>
      <c r="F1442" s="684"/>
      <c r="G1442" s="684"/>
      <c r="H1442" s="635"/>
    </row>
    <row r="1443" spans="1:8" ht="12.75" customHeight="1" x14ac:dyDescent="0.25">
      <c r="A1443" s="631">
        <f t="shared" si="22"/>
        <v>1438</v>
      </c>
      <c r="B1443" s="632"/>
      <c r="C1443" s="633"/>
      <c r="D1443" s="634"/>
      <c r="E1443" s="655"/>
      <c r="F1443" s="684"/>
      <c r="G1443" s="684"/>
      <c r="H1443" s="635"/>
    </row>
    <row r="1444" spans="1:8" ht="12.75" customHeight="1" x14ac:dyDescent="0.25">
      <c r="A1444" s="631">
        <f t="shared" si="22"/>
        <v>1439</v>
      </c>
      <c r="B1444" s="632"/>
      <c r="C1444" s="633"/>
      <c r="D1444" s="634"/>
      <c r="E1444" s="655"/>
      <c r="F1444" s="684"/>
      <c r="G1444" s="684"/>
      <c r="H1444" s="635"/>
    </row>
    <row r="1445" spans="1:8" ht="12.75" customHeight="1" x14ac:dyDescent="0.25">
      <c r="A1445" s="631">
        <f t="shared" si="22"/>
        <v>1440</v>
      </c>
      <c r="B1445" s="632"/>
      <c r="C1445" s="633"/>
      <c r="D1445" s="634"/>
      <c r="E1445" s="655"/>
      <c r="F1445" s="684"/>
      <c r="G1445" s="684"/>
      <c r="H1445" s="635"/>
    </row>
    <row r="1446" spans="1:8" ht="12.75" customHeight="1" x14ac:dyDescent="0.25">
      <c r="A1446" s="631">
        <f t="shared" si="22"/>
        <v>1441</v>
      </c>
      <c r="B1446" s="632"/>
      <c r="C1446" s="633"/>
      <c r="D1446" s="634"/>
      <c r="E1446" s="655"/>
      <c r="F1446" s="684"/>
      <c r="G1446" s="684"/>
      <c r="H1446" s="635"/>
    </row>
    <row r="1447" spans="1:8" ht="12.75" customHeight="1" x14ac:dyDescent="0.25">
      <c r="A1447" s="631">
        <f t="shared" si="22"/>
        <v>1442</v>
      </c>
      <c r="B1447" s="632"/>
      <c r="C1447" s="633"/>
      <c r="D1447" s="634"/>
      <c r="E1447" s="655"/>
      <c r="F1447" s="684"/>
      <c r="G1447" s="684"/>
      <c r="H1447" s="635"/>
    </row>
    <row r="1448" spans="1:8" ht="12.75" customHeight="1" x14ac:dyDescent="0.25">
      <c r="A1448" s="631">
        <f t="shared" si="22"/>
        <v>1443</v>
      </c>
      <c r="B1448" s="632"/>
      <c r="C1448" s="633"/>
      <c r="D1448" s="634"/>
      <c r="E1448" s="655"/>
      <c r="F1448" s="684"/>
      <c r="G1448" s="684"/>
      <c r="H1448" s="635"/>
    </row>
    <row r="1449" spans="1:8" ht="12.75" customHeight="1" x14ac:dyDescent="0.25">
      <c r="A1449" s="631">
        <f t="shared" si="22"/>
        <v>1444</v>
      </c>
      <c r="B1449" s="632"/>
      <c r="C1449" s="633"/>
      <c r="D1449" s="634"/>
      <c r="E1449" s="655"/>
      <c r="F1449" s="684"/>
      <c r="G1449" s="684"/>
      <c r="H1449" s="635"/>
    </row>
    <row r="1450" spans="1:8" ht="12.75" customHeight="1" x14ac:dyDescent="0.25">
      <c r="A1450" s="631">
        <f t="shared" si="22"/>
        <v>1445</v>
      </c>
      <c r="B1450" s="632"/>
      <c r="C1450" s="633"/>
      <c r="D1450" s="634"/>
      <c r="E1450" s="655"/>
      <c r="F1450" s="684"/>
      <c r="G1450" s="684"/>
      <c r="H1450" s="635"/>
    </row>
    <row r="1451" spans="1:8" ht="12.75" customHeight="1" x14ac:dyDescent="0.25">
      <c r="A1451" s="631">
        <f t="shared" si="22"/>
        <v>1446</v>
      </c>
      <c r="B1451" s="632"/>
      <c r="C1451" s="633"/>
      <c r="D1451" s="634"/>
      <c r="E1451" s="655"/>
      <c r="F1451" s="684"/>
      <c r="G1451" s="684"/>
      <c r="H1451" s="635"/>
    </row>
    <row r="1452" spans="1:8" ht="12.75" customHeight="1" x14ac:dyDescent="0.25">
      <c r="A1452" s="631">
        <f t="shared" si="22"/>
        <v>1447</v>
      </c>
      <c r="B1452" s="632"/>
      <c r="C1452" s="633"/>
      <c r="D1452" s="634"/>
      <c r="E1452" s="655"/>
      <c r="F1452" s="684"/>
      <c r="G1452" s="684"/>
      <c r="H1452" s="635"/>
    </row>
    <row r="1453" spans="1:8" ht="12.75" customHeight="1" x14ac:dyDescent="0.25">
      <c r="A1453" s="631">
        <f t="shared" si="22"/>
        <v>1448</v>
      </c>
      <c r="B1453" s="632"/>
      <c r="C1453" s="633"/>
      <c r="D1453" s="634"/>
      <c r="E1453" s="655"/>
      <c r="F1453" s="684"/>
      <c r="G1453" s="684"/>
      <c r="H1453" s="635"/>
    </row>
    <row r="1454" spans="1:8" ht="12.75" customHeight="1" x14ac:dyDescent="0.25">
      <c r="A1454" s="631">
        <f t="shared" si="22"/>
        <v>1449</v>
      </c>
      <c r="B1454" s="632"/>
      <c r="C1454" s="633"/>
      <c r="D1454" s="634"/>
      <c r="E1454" s="655"/>
      <c r="F1454" s="684"/>
      <c r="G1454" s="684"/>
      <c r="H1454" s="635"/>
    </row>
    <row r="1455" spans="1:8" ht="12.75" customHeight="1" x14ac:dyDescent="0.25">
      <c r="A1455" s="631">
        <f t="shared" si="22"/>
        <v>1450</v>
      </c>
      <c r="B1455" s="632"/>
      <c r="C1455" s="633"/>
      <c r="D1455" s="634"/>
      <c r="E1455" s="655"/>
      <c r="F1455" s="684"/>
      <c r="G1455" s="684"/>
      <c r="H1455" s="635"/>
    </row>
    <row r="1456" spans="1:8" ht="12.75" customHeight="1" x14ac:dyDescent="0.25">
      <c r="A1456" s="631">
        <f t="shared" si="22"/>
        <v>1451</v>
      </c>
      <c r="B1456" s="632"/>
      <c r="C1456" s="633"/>
      <c r="D1456" s="634"/>
      <c r="E1456" s="655"/>
      <c r="F1456" s="684"/>
      <c r="G1456" s="684"/>
      <c r="H1456" s="635"/>
    </row>
    <row r="1457" spans="1:8" ht="12.75" customHeight="1" x14ac:dyDescent="0.25">
      <c r="A1457" s="631">
        <f t="shared" si="22"/>
        <v>1452</v>
      </c>
      <c r="B1457" s="632"/>
      <c r="C1457" s="633"/>
      <c r="D1457" s="634"/>
      <c r="E1457" s="655"/>
      <c r="F1457" s="684"/>
      <c r="G1457" s="684"/>
      <c r="H1457" s="635"/>
    </row>
    <row r="1458" spans="1:8" ht="12.75" customHeight="1" x14ac:dyDescent="0.25">
      <c r="A1458" s="631">
        <f t="shared" si="22"/>
        <v>1453</v>
      </c>
      <c r="B1458" s="632"/>
      <c r="C1458" s="633"/>
      <c r="D1458" s="634"/>
      <c r="E1458" s="655"/>
      <c r="F1458" s="684"/>
      <c r="G1458" s="684"/>
      <c r="H1458" s="635"/>
    </row>
    <row r="1459" spans="1:8" ht="12.75" customHeight="1" x14ac:dyDescent="0.25">
      <c r="A1459" s="631">
        <f t="shared" si="22"/>
        <v>1454</v>
      </c>
      <c r="B1459" s="632"/>
      <c r="C1459" s="633"/>
      <c r="D1459" s="634"/>
      <c r="E1459" s="655"/>
      <c r="F1459" s="684"/>
      <c r="G1459" s="684"/>
      <c r="H1459" s="635"/>
    </row>
    <row r="1460" spans="1:8" ht="12.75" customHeight="1" x14ac:dyDescent="0.25">
      <c r="A1460" s="631">
        <f t="shared" si="22"/>
        <v>1455</v>
      </c>
      <c r="B1460" s="632"/>
      <c r="C1460" s="633"/>
      <c r="D1460" s="634"/>
      <c r="E1460" s="655"/>
      <c r="F1460" s="684"/>
      <c r="G1460" s="684"/>
      <c r="H1460" s="635"/>
    </row>
    <row r="1461" spans="1:8" ht="12.75" customHeight="1" x14ac:dyDescent="0.25">
      <c r="A1461" s="631">
        <f t="shared" si="22"/>
        <v>1456</v>
      </c>
      <c r="B1461" s="632"/>
      <c r="C1461" s="633"/>
      <c r="D1461" s="634"/>
      <c r="E1461" s="655"/>
      <c r="F1461" s="684"/>
      <c r="G1461" s="684"/>
      <c r="H1461" s="635"/>
    </row>
    <row r="1462" spans="1:8" ht="12.75" customHeight="1" x14ac:dyDescent="0.25">
      <c r="A1462" s="631">
        <f t="shared" si="22"/>
        <v>1457</v>
      </c>
      <c r="B1462" s="632"/>
      <c r="C1462" s="633"/>
      <c r="D1462" s="634"/>
      <c r="E1462" s="655"/>
      <c r="F1462" s="684"/>
      <c r="G1462" s="684"/>
      <c r="H1462" s="635"/>
    </row>
    <row r="1463" spans="1:8" ht="12.75" customHeight="1" x14ac:dyDescent="0.25">
      <c r="A1463" s="631">
        <f t="shared" si="22"/>
        <v>1458</v>
      </c>
      <c r="B1463" s="632"/>
      <c r="C1463" s="633"/>
      <c r="D1463" s="634"/>
      <c r="E1463" s="655"/>
      <c r="F1463" s="684"/>
      <c r="G1463" s="684"/>
      <c r="H1463" s="635"/>
    </row>
    <row r="1464" spans="1:8" ht="12.75" customHeight="1" x14ac:dyDescent="0.25">
      <c r="A1464" s="631">
        <f t="shared" si="22"/>
        <v>1459</v>
      </c>
      <c r="B1464" s="632"/>
      <c r="C1464" s="633"/>
      <c r="D1464" s="634"/>
      <c r="E1464" s="655"/>
      <c r="F1464" s="684"/>
      <c r="G1464" s="684"/>
      <c r="H1464" s="635"/>
    </row>
    <row r="1465" spans="1:8" ht="12.75" customHeight="1" x14ac:dyDescent="0.25">
      <c r="A1465" s="631">
        <f t="shared" si="22"/>
        <v>1460</v>
      </c>
      <c r="B1465" s="632"/>
      <c r="C1465" s="633"/>
      <c r="D1465" s="634"/>
      <c r="E1465" s="655"/>
      <c r="F1465" s="684"/>
      <c r="G1465" s="684"/>
      <c r="H1465" s="635"/>
    </row>
    <row r="1466" spans="1:8" ht="12.75" customHeight="1" x14ac:dyDescent="0.25">
      <c r="A1466" s="631">
        <f t="shared" si="22"/>
        <v>1461</v>
      </c>
      <c r="B1466" s="632"/>
      <c r="C1466" s="633"/>
      <c r="D1466" s="634"/>
      <c r="E1466" s="655"/>
      <c r="F1466" s="684"/>
      <c r="G1466" s="684"/>
      <c r="H1466" s="635"/>
    </row>
    <row r="1467" spans="1:8" ht="12.75" customHeight="1" x14ac:dyDescent="0.25">
      <c r="A1467" s="631">
        <f t="shared" si="22"/>
        <v>1462</v>
      </c>
      <c r="B1467" s="632"/>
      <c r="C1467" s="633"/>
      <c r="D1467" s="634"/>
      <c r="E1467" s="655"/>
      <c r="F1467" s="684"/>
      <c r="G1467" s="684"/>
      <c r="H1467" s="635"/>
    </row>
    <row r="1468" spans="1:8" ht="12.75" customHeight="1" x14ac:dyDescent="0.25">
      <c r="A1468" s="631">
        <f t="shared" si="22"/>
        <v>1463</v>
      </c>
      <c r="B1468" s="632"/>
      <c r="C1468" s="633"/>
      <c r="D1468" s="634"/>
      <c r="E1468" s="655"/>
      <c r="F1468" s="684"/>
      <c r="G1468" s="684"/>
      <c r="H1468" s="635"/>
    </row>
    <row r="1469" spans="1:8" ht="12.75" customHeight="1" x14ac:dyDescent="0.25">
      <c r="A1469" s="631">
        <f t="shared" si="22"/>
        <v>1464</v>
      </c>
      <c r="B1469" s="632"/>
      <c r="C1469" s="633"/>
      <c r="D1469" s="634"/>
      <c r="E1469" s="655"/>
      <c r="F1469" s="684"/>
      <c r="G1469" s="684"/>
      <c r="H1469" s="635"/>
    </row>
    <row r="1470" spans="1:8" ht="12.75" customHeight="1" x14ac:dyDescent="0.25">
      <c r="A1470" s="631">
        <f t="shared" si="22"/>
        <v>1465</v>
      </c>
      <c r="B1470" s="632"/>
      <c r="C1470" s="633"/>
      <c r="D1470" s="634"/>
      <c r="E1470" s="655"/>
      <c r="F1470" s="684"/>
      <c r="G1470" s="684"/>
      <c r="H1470" s="635"/>
    </row>
    <row r="1471" spans="1:8" ht="12.75" customHeight="1" x14ac:dyDescent="0.25">
      <c r="A1471" s="631">
        <f t="shared" si="22"/>
        <v>1466</v>
      </c>
      <c r="B1471" s="632"/>
      <c r="C1471" s="633"/>
      <c r="D1471" s="634"/>
      <c r="E1471" s="655"/>
      <c r="F1471" s="684"/>
      <c r="G1471" s="684"/>
      <c r="H1471" s="635"/>
    </row>
    <row r="1472" spans="1:8" ht="12.75" customHeight="1" x14ac:dyDescent="0.25">
      <c r="A1472" s="631">
        <f t="shared" si="22"/>
        <v>1467</v>
      </c>
      <c r="B1472" s="632"/>
      <c r="C1472" s="633"/>
      <c r="D1472" s="634"/>
      <c r="E1472" s="655"/>
      <c r="F1472" s="684"/>
      <c r="G1472" s="684"/>
      <c r="H1472" s="635"/>
    </row>
    <row r="1473" spans="1:8" ht="12.75" customHeight="1" x14ac:dyDescent="0.25">
      <c r="A1473" s="631">
        <f t="shared" ref="A1473:A1536" si="23">ROW()-5</f>
        <v>1468</v>
      </c>
      <c r="B1473" s="632"/>
      <c r="C1473" s="633"/>
      <c r="D1473" s="634"/>
      <c r="E1473" s="655"/>
      <c r="F1473" s="684"/>
      <c r="G1473" s="684"/>
      <c r="H1473" s="635"/>
    </row>
    <row r="1474" spans="1:8" ht="12.75" customHeight="1" x14ac:dyDescent="0.25">
      <c r="A1474" s="631">
        <f t="shared" si="23"/>
        <v>1469</v>
      </c>
      <c r="B1474" s="632"/>
      <c r="C1474" s="633"/>
      <c r="D1474" s="634"/>
      <c r="E1474" s="655"/>
      <c r="F1474" s="684"/>
      <c r="G1474" s="684"/>
      <c r="H1474" s="635"/>
    </row>
    <row r="1475" spans="1:8" ht="12.75" customHeight="1" x14ac:dyDescent="0.25">
      <c r="A1475" s="631">
        <f t="shared" si="23"/>
        <v>1470</v>
      </c>
      <c r="B1475" s="632"/>
      <c r="C1475" s="633"/>
      <c r="D1475" s="634"/>
      <c r="E1475" s="655"/>
      <c r="F1475" s="684"/>
      <c r="G1475" s="684"/>
      <c r="H1475" s="635"/>
    </row>
    <row r="1476" spans="1:8" ht="12.75" customHeight="1" x14ac:dyDescent="0.25">
      <c r="A1476" s="631">
        <f t="shared" si="23"/>
        <v>1471</v>
      </c>
      <c r="B1476" s="632"/>
      <c r="C1476" s="633"/>
      <c r="D1476" s="634"/>
      <c r="E1476" s="655"/>
      <c r="F1476" s="684"/>
      <c r="G1476" s="684"/>
      <c r="H1476" s="635"/>
    </row>
    <row r="1477" spans="1:8" ht="12.75" customHeight="1" x14ac:dyDescent="0.25">
      <c r="A1477" s="631">
        <f t="shared" si="23"/>
        <v>1472</v>
      </c>
      <c r="B1477" s="632"/>
      <c r="C1477" s="633"/>
      <c r="D1477" s="634"/>
      <c r="E1477" s="655"/>
      <c r="F1477" s="684"/>
      <c r="G1477" s="684"/>
      <c r="H1477" s="635"/>
    </row>
    <row r="1478" spans="1:8" ht="12.75" customHeight="1" x14ac:dyDescent="0.25">
      <c r="A1478" s="631">
        <f t="shared" si="23"/>
        <v>1473</v>
      </c>
      <c r="B1478" s="632"/>
      <c r="C1478" s="633"/>
      <c r="D1478" s="634"/>
      <c r="E1478" s="655"/>
      <c r="F1478" s="684"/>
      <c r="G1478" s="684"/>
      <c r="H1478" s="635"/>
    </row>
    <row r="1479" spans="1:8" ht="12.75" customHeight="1" x14ac:dyDescent="0.25">
      <c r="A1479" s="631">
        <f t="shared" si="23"/>
        <v>1474</v>
      </c>
      <c r="B1479" s="632"/>
      <c r="C1479" s="633"/>
      <c r="D1479" s="634"/>
      <c r="E1479" s="655"/>
      <c r="F1479" s="684"/>
      <c r="G1479" s="684"/>
      <c r="H1479" s="635"/>
    </row>
    <row r="1480" spans="1:8" ht="12.75" customHeight="1" x14ac:dyDescent="0.25">
      <c r="A1480" s="631">
        <f t="shared" si="23"/>
        <v>1475</v>
      </c>
      <c r="B1480" s="632"/>
      <c r="C1480" s="633"/>
      <c r="D1480" s="634"/>
      <c r="E1480" s="655"/>
      <c r="F1480" s="684"/>
      <c r="G1480" s="684"/>
      <c r="H1480" s="635"/>
    </row>
    <row r="1481" spans="1:8" ht="12.75" customHeight="1" x14ac:dyDescent="0.25">
      <c r="A1481" s="631">
        <f t="shared" si="23"/>
        <v>1476</v>
      </c>
      <c r="B1481" s="632"/>
      <c r="C1481" s="633"/>
      <c r="D1481" s="634"/>
      <c r="E1481" s="655"/>
      <c r="F1481" s="684"/>
      <c r="G1481" s="684"/>
      <c r="H1481" s="635"/>
    </row>
    <row r="1482" spans="1:8" ht="12.75" customHeight="1" x14ac:dyDescent="0.25">
      <c r="A1482" s="631">
        <f t="shared" si="23"/>
        <v>1477</v>
      </c>
      <c r="B1482" s="632"/>
      <c r="C1482" s="633"/>
      <c r="D1482" s="634"/>
      <c r="E1482" s="655"/>
      <c r="F1482" s="684"/>
      <c r="G1482" s="684"/>
      <c r="H1482" s="635"/>
    </row>
    <row r="1483" spans="1:8" ht="12.75" customHeight="1" x14ac:dyDescent="0.25">
      <c r="A1483" s="631">
        <f t="shared" si="23"/>
        <v>1478</v>
      </c>
      <c r="B1483" s="632"/>
      <c r="C1483" s="633"/>
      <c r="D1483" s="634"/>
      <c r="E1483" s="655"/>
      <c r="F1483" s="684"/>
      <c r="G1483" s="684"/>
      <c r="H1483" s="635"/>
    </row>
    <row r="1484" spans="1:8" ht="12.75" customHeight="1" x14ac:dyDescent="0.25">
      <c r="A1484" s="631">
        <f t="shared" si="23"/>
        <v>1479</v>
      </c>
      <c r="B1484" s="632"/>
      <c r="C1484" s="633"/>
      <c r="D1484" s="634"/>
      <c r="E1484" s="655"/>
      <c r="F1484" s="684"/>
      <c r="G1484" s="684"/>
      <c r="H1484" s="635"/>
    </row>
    <row r="1485" spans="1:8" ht="12.75" customHeight="1" x14ac:dyDescent="0.25">
      <c r="A1485" s="631">
        <f t="shared" si="23"/>
        <v>1480</v>
      </c>
      <c r="B1485" s="632"/>
      <c r="C1485" s="633"/>
      <c r="D1485" s="634"/>
      <c r="E1485" s="655"/>
      <c r="F1485" s="684"/>
      <c r="G1485" s="684"/>
      <c r="H1485" s="635"/>
    </row>
    <row r="1486" spans="1:8" ht="12.75" customHeight="1" x14ac:dyDescent="0.25">
      <c r="A1486" s="631">
        <f t="shared" si="23"/>
        <v>1481</v>
      </c>
      <c r="B1486" s="632"/>
      <c r="C1486" s="633"/>
      <c r="D1486" s="634"/>
      <c r="E1486" s="655"/>
      <c r="F1486" s="684"/>
      <c r="G1486" s="684"/>
      <c r="H1486" s="635"/>
    </row>
    <row r="1487" spans="1:8" ht="12.75" customHeight="1" x14ac:dyDescent="0.25">
      <c r="A1487" s="631">
        <f t="shared" si="23"/>
        <v>1482</v>
      </c>
      <c r="B1487" s="632"/>
      <c r="C1487" s="633"/>
      <c r="D1487" s="634"/>
      <c r="E1487" s="655"/>
      <c r="F1487" s="684"/>
      <c r="G1487" s="684"/>
      <c r="H1487" s="635"/>
    </row>
    <row r="1488" spans="1:8" ht="12.75" customHeight="1" x14ac:dyDescent="0.25">
      <c r="A1488" s="631">
        <f t="shared" si="23"/>
        <v>1483</v>
      </c>
      <c r="B1488" s="632"/>
      <c r="C1488" s="633"/>
      <c r="D1488" s="634"/>
      <c r="E1488" s="655"/>
      <c r="F1488" s="684"/>
      <c r="G1488" s="684"/>
      <c r="H1488" s="635"/>
    </row>
    <row r="1489" spans="1:8" ht="12.75" customHeight="1" x14ac:dyDescent="0.25">
      <c r="A1489" s="631">
        <f t="shared" si="23"/>
        <v>1484</v>
      </c>
      <c r="B1489" s="632"/>
      <c r="C1489" s="633"/>
      <c r="D1489" s="634"/>
      <c r="E1489" s="655"/>
      <c r="F1489" s="684"/>
      <c r="G1489" s="684"/>
      <c r="H1489" s="635"/>
    </row>
    <row r="1490" spans="1:8" ht="12.75" customHeight="1" x14ac:dyDescent="0.25">
      <c r="A1490" s="631">
        <f t="shared" si="23"/>
        <v>1485</v>
      </c>
      <c r="B1490" s="632"/>
      <c r="C1490" s="633"/>
      <c r="D1490" s="634"/>
      <c r="E1490" s="655"/>
      <c r="F1490" s="684"/>
      <c r="G1490" s="684"/>
      <c r="H1490" s="635"/>
    </row>
    <row r="1491" spans="1:8" ht="12.75" customHeight="1" x14ac:dyDescent="0.25">
      <c r="A1491" s="631">
        <f t="shared" si="23"/>
        <v>1486</v>
      </c>
      <c r="B1491" s="632"/>
      <c r="C1491" s="633"/>
      <c r="D1491" s="634"/>
      <c r="E1491" s="655"/>
      <c r="F1491" s="684"/>
      <c r="G1491" s="684"/>
      <c r="H1491" s="635"/>
    </row>
    <row r="1492" spans="1:8" ht="12.75" customHeight="1" x14ac:dyDescent="0.25">
      <c r="A1492" s="631">
        <f t="shared" si="23"/>
        <v>1487</v>
      </c>
      <c r="B1492" s="632"/>
      <c r="C1492" s="633"/>
      <c r="D1492" s="634"/>
      <c r="E1492" s="655"/>
      <c r="F1492" s="684"/>
      <c r="G1492" s="684"/>
      <c r="H1492" s="635"/>
    </row>
    <row r="1493" spans="1:8" ht="12.75" customHeight="1" x14ac:dyDescent="0.25">
      <c r="A1493" s="631">
        <f t="shared" si="23"/>
        <v>1488</v>
      </c>
      <c r="B1493" s="632"/>
      <c r="C1493" s="633"/>
      <c r="D1493" s="634"/>
      <c r="E1493" s="655"/>
      <c r="F1493" s="684"/>
      <c r="G1493" s="684"/>
      <c r="H1493" s="635"/>
    </row>
    <row r="1494" spans="1:8" ht="12.75" customHeight="1" x14ac:dyDescent="0.25">
      <c r="A1494" s="631">
        <f t="shared" si="23"/>
        <v>1489</v>
      </c>
      <c r="B1494" s="632"/>
      <c r="C1494" s="633"/>
      <c r="D1494" s="634"/>
      <c r="E1494" s="655"/>
      <c r="F1494" s="684"/>
      <c r="G1494" s="684"/>
      <c r="H1494" s="635"/>
    </row>
    <row r="1495" spans="1:8" ht="12.75" customHeight="1" x14ac:dyDescent="0.25">
      <c r="A1495" s="631">
        <f t="shared" si="23"/>
        <v>1490</v>
      </c>
      <c r="B1495" s="632"/>
      <c r="C1495" s="633"/>
      <c r="D1495" s="634"/>
      <c r="E1495" s="655"/>
      <c r="F1495" s="684"/>
      <c r="G1495" s="684"/>
      <c r="H1495" s="635"/>
    </row>
    <row r="1496" spans="1:8" ht="12.75" customHeight="1" x14ac:dyDescent="0.25">
      <c r="A1496" s="631">
        <f t="shared" si="23"/>
        <v>1491</v>
      </c>
      <c r="B1496" s="632"/>
      <c r="C1496" s="633"/>
      <c r="D1496" s="634"/>
      <c r="E1496" s="655"/>
      <c r="F1496" s="684"/>
      <c r="G1496" s="684"/>
      <c r="H1496" s="635"/>
    </row>
    <row r="1497" spans="1:8" ht="12.75" customHeight="1" x14ac:dyDescent="0.25">
      <c r="A1497" s="631">
        <f t="shared" si="23"/>
        <v>1492</v>
      </c>
      <c r="B1497" s="632"/>
      <c r="C1497" s="633"/>
      <c r="D1497" s="634"/>
      <c r="E1497" s="655"/>
      <c r="F1497" s="684"/>
      <c r="G1497" s="684"/>
      <c r="H1497" s="635"/>
    </row>
    <row r="1498" spans="1:8" ht="12.75" customHeight="1" x14ac:dyDescent="0.25">
      <c r="A1498" s="631">
        <f t="shared" si="23"/>
        <v>1493</v>
      </c>
      <c r="B1498" s="632"/>
      <c r="C1498" s="633"/>
      <c r="D1498" s="634"/>
      <c r="E1498" s="655"/>
      <c r="F1498" s="684"/>
      <c r="G1498" s="684"/>
      <c r="H1498" s="635"/>
    </row>
    <row r="1499" spans="1:8" ht="12.75" customHeight="1" x14ac:dyDescent="0.25">
      <c r="A1499" s="631">
        <f t="shared" si="23"/>
        <v>1494</v>
      </c>
      <c r="B1499" s="632"/>
      <c r="C1499" s="633"/>
      <c r="D1499" s="634"/>
      <c r="E1499" s="655"/>
      <c r="F1499" s="684"/>
      <c r="G1499" s="684"/>
      <c r="H1499" s="635"/>
    </row>
    <row r="1500" spans="1:8" ht="12.75" customHeight="1" x14ac:dyDescent="0.25">
      <c r="A1500" s="631">
        <f t="shared" si="23"/>
        <v>1495</v>
      </c>
      <c r="B1500" s="632"/>
      <c r="C1500" s="633"/>
      <c r="D1500" s="634"/>
      <c r="E1500" s="655"/>
      <c r="F1500" s="684"/>
      <c r="G1500" s="684"/>
      <c r="H1500" s="635"/>
    </row>
    <row r="1501" spans="1:8" ht="12.75" customHeight="1" x14ac:dyDescent="0.25">
      <c r="A1501" s="631">
        <f t="shared" si="23"/>
        <v>1496</v>
      </c>
      <c r="B1501" s="632"/>
      <c r="C1501" s="633"/>
      <c r="D1501" s="634"/>
      <c r="E1501" s="655"/>
      <c r="F1501" s="684"/>
      <c r="G1501" s="684"/>
      <c r="H1501" s="635"/>
    </row>
    <row r="1502" spans="1:8" ht="12.75" customHeight="1" x14ac:dyDescent="0.25">
      <c r="A1502" s="631">
        <f t="shared" si="23"/>
        <v>1497</v>
      </c>
      <c r="B1502" s="632"/>
      <c r="C1502" s="633"/>
      <c r="D1502" s="634"/>
      <c r="E1502" s="655"/>
      <c r="F1502" s="684"/>
      <c r="G1502" s="684"/>
      <c r="H1502" s="635"/>
    </row>
    <row r="1503" spans="1:8" ht="12.75" customHeight="1" x14ac:dyDescent="0.25">
      <c r="A1503" s="631">
        <f t="shared" si="23"/>
        <v>1498</v>
      </c>
      <c r="B1503" s="632"/>
      <c r="C1503" s="633"/>
      <c r="D1503" s="634"/>
      <c r="E1503" s="655"/>
      <c r="F1503" s="684"/>
      <c r="G1503" s="684"/>
      <c r="H1503" s="635"/>
    </row>
    <row r="1504" spans="1:8" ht="12.75" customHeight="1" x14ac:dyDescent="0.25">
      <c r="A1504" s="631">
        <f t="shared" si="23"/>
        <v>1499</v>
      </c>
      <c r="B1504" s="632"/>
      <c r="C1504" s="633"/>
      <c r="D1504" s="634"/>
      <c r="E1504" s="655"/>
      <c r="F1504" s="684"/>
      <c r="G1504" s="684"/>
      <c r="H1504" s="635"/>
    </row>
    <row r="1505" spans="1:8" ht="12.75" customHeight="1" x14ac:dyDescent="0.25">
      <c r="A1505" s="631">
        <f t="shared" si="23"/>
        <v>1500</v>
      </c>
      <c r="B1505" s="632"/>
      <c r="C1505" s="633"/>
      <c r="D1505" s="634"/>
      <c r="E1505" s="655"/>
      <c r="F1505" s="684"/>
      <c r="G1505" s="684"/>
      <c r="H1505" s="635"/>
    </row>
    <row r="1506" spans="1:8" ht="12.75" customHeight="1" x14ac:dyDescent="0.25">
      <c r="A1506" s="631">
        <f t="shared" si="23"/>
        <v>1501</v>
      </c>
      <c r="B1506" s="632"/>
      <c r="C1506" s="633"/>
      <c r="D1506" s="634"/>
      <c r="E1506" s="655"/>
      <c r="F1506" s="684"/>
      <c r="G1506" s="684"/>
      <c r="H1506" s="635"/>
    </row>
    <row r="1507" spans="1:8" ht="12.75" customHeight="1" x14ac:dyDescent="0.25">
      <c r="A1507" s="631">
        <f t="shared" si="23"/>
        <v>1502</v>
      </c>
      <c r="B1507" s="632"/>
      <c r="C1507" s="633"/>
      <c r="D1507" s="634"/>
      <c r="E1507" s="655"/>
      <c r="F1507" s="684"/>
      <c r="G1507" s="684"/>
      <c r="H1507" s="635"/>
    </row>
    <row r="1508" spans="1:8" ht="12.75" customHeight="1" x14ac:dyDescent="0.25">
      <c r="A1508" s="631">
        <f t="shared" si="23"/>
        <v>1503</v>
      </c>
      <c r="B1508" s="632"/>
      <c r="C1508" s="633"/>
      <c r="D1508" s="634"/>
      <c r="E1508" s="655"/>
      <c r="F1508" s="684"/>
      <c r="G1508" s="684"/>
      <c r="H1508" s="635"/>
    </row>
    <row r="1509" spans="1:8" ht="12.75" customHeight="1" x14ac:dyDescent="0.25">
      <c r="A1509" s="631">
        <f t="shared" si="23"/>
        <v>1504</v>
      </c>
      <c r="B1509" s="632"/>
      <c r="C1509" s="633"/>
      <c r="D1509" s="634"/>
      <c r="E1509" s="655"/>
      <c r="F1509" s="684"/>
      <c r="G1509" s="684"/>
      <c r="H1509" s="635"/>
    </row>
    <row r="1510" spans="1:8" ht="12.75" customHeight="1" x14ac:dyDescent="0.25">
      <c r="A1510" s="631">
        <f t="shared" si="23"/>
        <v>1505</v>
      </c>
      <c r="B1510" s="632"/>
      <c r="C1510" s="633"/>
      <c r="D1510" s="634"/>
      <c r="E1510" s="655"/>
      <c r="F1510" s="684"/>
      <c r="G1510" s="684"/>
      <c r="H1510" s="635"/>
    </row>
    <row r="1511" spans="1:8" ht="12.75" customHeight="1" x14ac:dyDescent="0.25">
      <c r="A1511" s="631">
        <f t="shared" si="23"/>
        <v>1506</v>
      </c>
      <c r="B1511" s="632"/>
      <c r="C1511" s="633"/>
      <c r="D1511" s="634"/>
      <c r="E1511" s="655"/>
      <c r="F1511" s="684"/>
      <c r="G1511" s="684"/>
      <c r="H1511" s="635"/>
    </row>
    <row r="1512" spans="1:8" ht="12.75" customHeight="1" x14ac:dyDescent="0.25">
      <c r="A1512" s="631">
        <f t="shared" si="23"/>
        <v>1507</v>
      </c>
      <c r="B1512" s="632"/>
      <c r="C1512" s="633"/>
      <c r="D1512" s="634"/>
      <c r="E1512" s="655"/>
      <c r="F1512" s="684"/>
      <c r="G1512" s="684"/>
      <c r="H1512" s="635"/>
    </row>
    <row r="1513" spans="1:8" ht="12.75" customHeight="1" x14ac:dyDescent="0.25">
      <c r="A1513" s="631">
        <f t="shared" si="23"/>
        <v>1508</v>
      </c>
      <c r="B1513" s="632"/>
      <c r="C1513" s="633"/>
      <c r="D1513" s="634"/>
      <c r="E1513" s="655"/>
      <c r="F1513" s="684"/>
      <c r="G1513" s="684"/>
      <c r="H1513" s="635"/>
    </row>
    <row r="1514" spans="1:8" ht="12.75" customHeight="1" x14ac:dyDescent="0.25">
      <c r="A1514" s="631">
        <f t="shared" si="23"/>
        <v>1509</v>
      </c>
      <c r="B1514" s="632"/>
      <c r="C1514" s="633"/>
      <c r="D1514" s="634"/>
      <c r="E1514" s="655"/>
      <c r="F1514" s="684"/>
      <c r="G1514" s="684"/>
      <c r="H1514" s="635"/>
    </row>
    <row r="1515" spans="1:8" ht="12.75" customHeight="1" x14ac:dyDescent="0.25">
      <c r="A1515" s="631">
        <f t="shared" si="23"/>
        <v>1510</v>
      </c>
      <c r="B1515" s="632"/>
      <c r="C1515" s="633"/>
      <c r="D1515" s="634"/>
      <c r="E1515" s="655"/>
      <c r="F1515" s="684"/>
      <c r="G1515" s="684"/>
      <c r="H1515" s="635"/>
    </row>
    <row r="1516" spans="1:8" ht="12.75" customHeight="1" x14ac:dyDescent="0.25">
      <c r="A1516" s="631">
        <f t="shared" si="23"/>
        <v>1511</v>
      </c>
      <c r="B1516" s="632"/>
      <c r="C1516" s="633"/>
      <c r="D1516" s="634"/>
      <c r="E1516" s="655"/>
      <c r="F1516" s="684"/>
      <c r="G1516" s="684"/>
      <c r="H1516" s="635"/>
    </row>
    <row r="1517" spans="1:8" ht="12.75" customHeight="1" x14ac:dyDescent="0.25">
      <c r="A1517" s="631">
        <f t="shared" si="23"/>
        <v>1512</v>
      </c>
      <c r="B1517" s="632"/>
      <c r="C1517" s="633"/>
      <c r="D1517" s="634"/>
      <c r="E1517" s="655"/>
      <c r="F1517" s="684"/>
      <c r="G1517" s="684"/>
      <c r="H1517" s="635"/>
    </row>
    <row r="1518" spans="1:8" ht="12.75" customHeight="1" x14ac:dyDescent="0.25">
      <c r="A1518" s="631">
        <f t="shared" si="23"/>
        <v>1513</v>
      </c>
      <c r="B1518" s="632"/>
      <c r="C1518" s="633"/>
      <c r="D1518" s="634"/>
      <c r="E1518" s="655"/>
      <c r="F1518" s="684"/>
      <c r="G1518" s="684"/>
      <c r="H1518" s="635"/>
    </row>
    <row r="1519" spans="1:8" ht="12.75" customHeight="1" x14ac:dyDescent="0.25">
      <c r="A1519" s="631">
        <f t="shared" si="23"/>
        <v>1514</v>
      </c>
      <c r="B1519" s="632"/>
      <c r="C1519" s="633"/>
      <c r="D1519" s="634"/>
      <c r="E1519" s="655"/>
      <c r="F1519" s="684"/>
      <c r="G1519" s="684"/>
      <c r="H1519" s="635"/>
    </row>
    <row r="1520" spans="1:8" ht="12.75" customHeight="1" x14ac:dyDescent="0.25">
      <c r="A1520" s="631">
        <f t="shared" si="23"/>
        <v>1515</v>
      </c>
      <c r="B1520" s="632"/>
      <c r="C1520" s="633"/>
      <c r="D1520" s="634"/>
      <c r="E1520" s="655"/>
      <c r="F1520" s="684"/>
      <c r="G1520" s="684"/>
      <c r="H1520" s="635"/>
    </row>
    <row r="1521" spans="1:8" ht="12.75" customHeight="1" x14ac:dyDescent="0.25">
      <c r="A1521" s="631">
        <f t="shared" si="23"/>
        <v>1516</v>
      </c>
      <c r="B1521" s="632"/>
      <c r="C1521" s="633"/>
      <c r="D1521" s="634"/>
      <c r="E1521" s="655"/>
      <c r="F1521" s="684"/>
      <c r="G1521" s="684"/>
      <c r="H1521" s="635"/>
    </row>
    <row r="1522" spans="1:8" ht="12.75" customHeight="1" x14ac:dyDescent="0.25">
      <c r="A1522" s="631">
        <f t="shared" si="23"/>
        <v>1517</v>
      </c>
      <c r="B1522" s="632"/>
      <c r="C1522" s="633"/>
      <c r="D1522" s="634"/>
      <c r="E1522" s="655"/>
      <c r="F1522" s="684"/>
      <c r="G1522" s="684"/>
      <c r="H1522" s="635"/>
    </row>
    <row r="1523" spans="1:8" ht="12.75" customHeight="1" x14ac:dyDescent="0.25">
      <c r="A1523" s="631">
        <f t="shared" si="23"/>
        <v>1518</v>
      </c>
      <c r="B1523" s="632"/>
      <c r="C1523" s="633"/>
      <c r="D1523" s="634"/>
      <c r="E1523" s="655"/>
      <c r="F1523" s="684"/>
      <c r="G1523" s="684"/>
      <c r="H1523" s="635"/>
    </row>
    <row r="1524" spans="1:8" ht="12.75" customHeight="1" x14ac:dyDescent="0.25">
      <c r="A1524" s="631">
        <f t="shared" si="23"/>
        <v>1519</v>
      </c>
      <c r="B1524" s="632"/>
      <c r="C1524" s="633"/>
      <c r="D1524" s="634"/>
      <c r="E1524" s="655"/>
      <c r="F1524" s="684"/>
      <c r="G1524" s="684"/>
      <c r="H1524" s="635"/>
    </row>
    <row r="1525" spans="1:8" ht="12.75" customHeight="1" x14ac:dyDescent="0.25">
      <c r="A1525" s="631">
        <f t="shared" si="23"/>
        <v>1520</v>
      </c>
      <c r="B1525" s="632"/>
      <c r="C1525" s="633"/>
      <c r="D1525" s="634"/>
      <c r="E1525" s="655"/>
      <c r="F1525" s="684"/>
      <c r="G1525" s="684"/>
      <c r="H1525" s="635"/>
    </row>
    <row r="1526" spans="1:8" ht="12.75" customHeight="1" x14ac:dyDescent="0.25">
      <c r="A1526" s="631">
        <f t="shared" si="23"/>
        <v>1521</v>
      </c>
      <c r="B1526" s="632"/>
      <c r="C1526" s="633"/>
      <c r="D1526" s="634"/>
      <c r="E1526" s="655"/>
      <c r="F1526" s="684"/>
      <c r="G1526" s="684"/>
      <c r="H1526" s="635"/>
    </row>
    <row r="1527" spans="1:8" ht="12.75" customHeight="1" x14ac:dyDescent="0.25">
      <c r="A1527" s="631">
        <f t="shared" si="23"/>
        <v>1522</v>
      </c>
      <c r="B1527" s="632"/>
      <c r="C1527" s="633"/>
      <c r="D1527" s="634"/>
      <c r="E1527" s="655"/>
      <c r="F1527" s="684"/>
      <c r="G1527" s="684"/>
      <c r="H1527" s="635"/>
    </row>
    <row r="1528" spans="1:8" ht="12.75" customHeight="1" x14ac:dyDescent="0.25">
      <c r="A1528" s="631">
        <f t="shared" si="23"/>
        <v>1523</v>
      </c>
      <c r="B1528" s="632"/>
      <c r="C1528" s="633"/>
      <c r="D1528" s="634"/>
      <c r="E1528" s="655"/>
      <c r="F1528" s="684"/>
      <c r="G1528" s="684"/>
      <c r="H1528" s="635"/>
    </row>
    <row r="1529" spans="1:8" ht="12.75" customHeight="1" x14ac:dyDescent="0.25">
      <c r="A1529" s="631">
        <f t="shared" si="23"/>
        <v>1524</v>
      </c>
      <c r="B1529" s="632"/>
      <c r="C1529" s="633"/>
      <c r="D1529" s="634"/>
      <c r="E1529" s="655"/>
      <c r="F1529" s="684"/>
      <c r="G1529" s="684"/>
      <c r="H1529" s="635"/>
    </row>
    <row r="1530" spans="1:8" ht="12.75" customHeight="1" x14ac:dyDescent="0.25">
      <c r="A1530" s="631">
        <f t="shared" si="23"/>
        <v>1525</v>
      </c>
      <c r="B1530" s="632"/>
      <c r="C1530" s="633"/>
      <c r="D1530" s="634"/>
      <c r="E1530" s="655"/>
      <c r="F1530" s="684"/>
      <c r="G1530" s="684"/>
      <c r="H1530" s="635"/>
    </row>
    <row r="1531" spans="1:8" ht="12.75" customHeight="1" x14ac:dyDescent="0.25">
      <c r="A1531" s="631">
        <f t="shared" si="23"/>
        <v>1526</v>
      </c>
      <c r="B1531" s="632"/>
      <c r="C1531" s="633"/>
      <c r="D1531" s="634"/>
      <c r="E1531" s="655"/>
      <c r="F1531" s="684"/>
      <c r="G1531" s="684"/>
      <c r="H1531" s="635"/>
    </row>
    <row r="1532" spans="1:8" ht="12.75" customHeight="1" x14ac:dyDescent="0.25">
      <c r="A1532" s="631">
        <f t="shared" si="23"/>
        <v>1527</v>
      </c>
      <c r="B1532" s="632"/>
      <c r="C1532" s="633"/>
      <c r="D1532" s="634"/>
      <c r="E1532" s="655"/>
      <c r="F1532" s="684"/>
      <c r="G1532" s="684"/>
      <c r="H1532" s="635"/>
    </row>
    <row r="1533" spans="1:8" ht="12.75" customHeight="1" x14ac:dyDescent="0.25">
      <c r="A1533" s="631">
        <f t="shared" si="23"/>
        <v>1528</v>
      </c>
      <c r="B1533" s="632"/>
      <c r="C1533" s="633"/>
      <c r="D1533" s="634"/>
      <c r="E1533" s="655"/>
      <c r="F1533" s="684"/>
      <c r="G1533" s="684"/>
      <c r="H1533" s="635"/>
    </row>
    <row r="1534" spans="1:8" ht="12.75" customHeight="1" x14ac:dyDescent="0.25">
      <c r="A1534" s="631">
        <f t="shared" si="23"/>
        <v>1529</v>
      </c>
      <c r="B1534" s="632"/>
      <c r="C1534" s="633"/>
      <c r="D1534" s="634"/>
      <c r="E1534" s="655"/>
      <c r="F1534" s="684"/>
      <c r="G1534" s="684"/>
      <c r="H1534" s="635"/>
    </row>
    <row r="1535" spans="1:8" ht="12.75" customHeight="1" x14ac:dyDescent="0.25">
      <c r="A1535" s="631">
        <f t="shared" si="23"/>
        <v>1530</v>
      </c>
      <c r="B1535" s="632"/>
      <c r="C1535" s="633"/>
      <c r="D1535" s="634"/>
      <c r="E1535" s="655"/>
      <c r="F1535" s="684"/>
      <c r="G1535" s="684"/>
      <c r="H1535" s="635"/>
    </row>
    <row r="1536" spans="1:8" ht="12.75" customHeight="1" x14ac:dyDescent="0.25">
      <c r="A1536" s="631">
        <f t="shared" si="23"/>
        <v>1531</v>
      </c>
      <c r="B1536" s="632"/>
      <c r="C1536" s="633"/>
      <c r="D1536" s="634"/>
      <c r="E1536" s="655"/>
      <c r="F1536" s="684"/>
      <c r="G1536" s="684"/>
      <c r="H1536" s="635"/>
    </row>
    <row r="1537" spans="1:8" ht="12.75" customHeight="1" x14ac:dyDescent="0.25">
      <c r="A1537" s="631">
        <f t="shared" ref="A1537:A1600" si="24">ROW()-5</f>
        <v>1532</v>
      </c>
      <c r="B1537" s="632"/>
      <c r="C1537" s="633"/>
      <c r="D1537" s="634"/>
      <c r="E1537" s="655"/>
      <c r="F1537" s="684"/>
      <c r="G1537" s="684"/>
      <c r="H1537" s="635"/>
    </row>
    <row r="1538" spans="1:8" ht="12.75" customHeight="1" x14ac:dyDescent="0.25">
      <c r="A1538" s="631">
        <f t="shared" si="24"/>
        <v>1533</v>
      </c>
      <c r="B1538" s="632"/>
      <c r="C1538" s="633"/>
      <c r="D1538" s="634"/>
      <c r="E1538" s="655"/>
      <c r="F1538" s="684"/>
      <c r="G1538" s="684"/>
      <c r="H1538" s="635"/>
    </row>
    <row r="1539" spans="1:8" ht="12.75" customHeight="1" x14ac:dyDescent="0.25">
      <c r="A1539" s="631">
        <f t="shared" si="24"/>
        <v>1534</v>
      </c>
      <c r="B1539" s="632"/>
      <c r="C1539" s="633"/>
      <c r="D1539" s="634"/>
      <c r="E1539" s="655"/>
      <c r="F1539" s="684"/>
      <c r="G1539" s="684"/>
      <c r="H1539" s="635"/>
    </row>
    <row r="1540" spans="1:8" ht="12.75" customHeight="1" x14ac:dyDescent="0.25">
      <c r="A1540" s="631">
        <f t="shared" si="24"/>
        <v>1535</v>
      </c>
      <c r="B1540" s="632"/>
      <c r="C1540" s="633"/>
      <c r="D1540" s="634"/>
      <c r="E1540" s="655"/>
      <c r="F1540" s="684"/>
      <c r="G1540" s="684"/>
      <c r="H1540" s="635"/>
    </row>
    <row r="1541" spans="1:8" ht="12.75" customHeight="1" x14ac:dyDescent="0.25">
      <c r="A1541" s="631">
        <f t="shared" si="24"/>
        <v>1536</v>
      </c>
      <c r="B1541" s="632"/>
      <c r="C1541" s="633"/>
      <c r="D1541" s="634"/>
      <c r="E1541" s="655"/>
      <c r="F1541" s="684"/>
      <c r="G1541" s="684"/>
      <c r="H1541" s="635"/>
    </row>
    <row r="1542" spans="1:8" ht="12.75" customHeight="1" x14ac:dyDescent="0.25">
      <c r="A1542" s="631">
        <f t="shared" si="24"/>
        <v>1537</v>
      </c>
      <c r="B1542" s="632"/>
      <c r="C1542" s="633"/>
      <c r="D1542" s="634"/>
      <c r="E1542" s="655"/>
      <c r="F1542" s="684"/>
      <c r="G1542" s="684"/>
      <c r="H1542" s="635"/>
    </row>
    <row r="1543" spans="1:8" ht="12.75" customHeight="1" x14ac:dyDescent="0.25">
      <c r="A1543" s="631">
        <f t="shared" si="24"/>
        <v>1538</v>
      </c>
      <c r="B1543" s="632"/>
      <c r="C1543" s="633"/>
      <c r="D1543" s="634"/>
      <c r="E1543" s="655"/>
      <c r="F1543" s="684"/>
      <c r="G1543" s="684"/>
      <c r="H1543" s="635"/>
    </row>
    <row r="1544" spans="1:8" ht="12.75" customHeight="1" x14ac:dyDescent="0.25">
      <c r="A1544" s="631">
        <f t="shared" si="24"/>
        <v>1539</v>
      </c>
      <c r="B1544" s="632"/>
      <c r="C1544" s="633"/>
      <c r="D1544" s="634"/>
      <c r="E1544" s="655"/>
      <c r="F1544" s="684"/>
      <c r="G1544" s="684"/>
      <c r="H1544" s="635"/>
    </row>
    <row r="1545" spans="1:8" ht="12.75" customHeight="1" x14ac:dyDescent="0.25">
      <c r="A1545" s="631">
        <f t="shared" si="24"/>
        <v>1540</v>
      </c>
      <c r="B1545" s="632"/>
      <c r="C1545" s="633"/>
      <c r="D1545" s="634"/>
      <c r="E1545" s="655"/>
      <c r="F1545" s="684"/>
      <c r="G1545" s="684"/>
      <c r="H1545" s="635"/>
    </row>
    <row r="1546" spans="1:8" ht="12.75" customHeight="1" x14ac:dyDescent="0.25">
      <c r="A1546" s="631">
        <f t="shared" si="24"/>
        <v>1541</v>
      </c>
      <c r="B1546" s="632"/>
      <c r="C1546" s="633"/>
      <c r="D1546" s="634"/>
      <c r="E1546" s="655"/>
      <c r="F1546" s="684"/>
      <c r="G1546" s="684"/>
      <c r="H1546" s="635"/>
    </row>
    <row r="1547" spans="1:8" ht="12.75" customHeight="1" x14ac:dyDescent="0.25">
      <c r="A1547" s="631">
        <f t="shared" si="24"/>
        <v>1542</v>
      </c>
      <c r="B1547" s="632"/>
      <c r="C1547" s="633"/>
      <c r="D1547" s="634"/>
      <c r="E1547" s="655"/>
      <c r="F1547" s="684"/>
      <c r="G1547" s="684"/>
      <c r="H1547" s="635"/>
    </row>
    <row r="1548" spans="1:8" ht="12.75" customHeight="1" x14ac:dyDescent="0.25">
      <c r="A1548" s="631">
        <f t="shared" si="24"/>
        <v>1543</v>
      </c>
      <c r="B1548" s="632"/>
      <c r="C1548" s="633"/>
      <c r="D1548" s="634"/>
      <c r="E1548" s="655"/>
      <c r="F1548" s="684"/>
      <c r="G1548" s="684"/>
      <c r="H1548" s="635"/>
    </row>
    <row r="1549" spans="1:8" ht="12.75" customHeight="1" x14ac:dyDescent="0.25">
      <c r="A1549" s="631">
        <f t="shared" si="24"/>
        <v>1544</v>
      </c>
      <c r="B1549" s="632"/>
      <c r="C1549" s="633"/>
      <c r="D1549" s="634"/>
      <c r="E1549" s="655"/>
      <c r="F1549" s="684"/>
      <c r="G1549" s="684"/>
      <c r="H1549" s="635"/>
    </row>
    <row r="1550" spans="1:8" ht="12.75" customHeight="1" x14ac:dyDescent="0.25">
      <c r="A1550" s="631">
        <f t="shared" si="24"/>
        <v>1545</v>
      </c>
      <c r="B1550" s="632"/>
      <c r="C1550" s="633"/>
      <c r="D1550" s="634"/>
      <c r="E1550" s="655"/>
      <c r="F1550" s="684"/>
      <c r="G1550" s="684"/>
      <c r="H1550" s="635"/>
    </row>
    <row r="1551" spans="1:8" ht="12.75" customHeight="1" x14ac:dyDescent="0.25">
      <c r="A1551" s="631">
        <f t="shared" si="24"/>
        <v>1546</v>
      </c>
      <c r="B1551" s="632"/>
      <c r="C1551" s="633"/>
      <c r="D1551" s="634"/>
      <c r="E1551" s="655"/>
      <c r="F1551" s="684"/>
      <c r="G1551" s="684"/>
      <c r="H1551" s="635"/>
    </row>
    <row r="1552" spans="1:8" ht="12.75" customHeight="1" x14ac:dyDescent="0.25">
      <c r="A1552" s="631">
        <f t="shared" si="24"/>
        <v>1547</v>
      </c>
      <c r="B1552" s="632"/>
      <c r="C1552" s="633"/>
      <c r="D1552" s="634"/>
      <c r="E1552" s="655"/>
      <c r="F1552" s="684"/>
      <c r="G1552" s="684"/>
      <c r="H1552" s="635"/>
    </row>
    <row r="1553" spans="1:8" ht="12.75" customHeight="1" x14ac:dyDescent="0.25">
      <c r="A1553" s="631">
        <f t="shared" si="24"/>
        <v>1548</v>
      </c>
      <c r="B1553" s="632"/>
      <c r="C1553" s="633"/>
      <c r="D1553" s="634"/>
      <c r="E1553" s="655"/>
      <c r="F1553" s="684"/>
      <c r="G1553" s="684"/>
      <c r="H1553" s="635"/>
    </row>
    <row r="1554" spans="1:8" ht="12.75" customHeight="1" x14ac:dyDescent="0.25">
      <c r="A1554" s="631">
        <f t="shared" si="24"/>
        <v>1549</v>
      </c>
      <c r="B1554" s="632"/>
      <c r="C1554" s="633"/>
      <c r="D1554" s="634"/>
      <c r="E1554" s="655"/>
      <c r="F1554" s="684"/>
      <c r="G1554" s="684"/>
      <c r="H1554" s="635"/>
    </row>
    <row r="1555" spans="1:8" ht="12.75" customHeight="1" x14ac:dyDescent="0.25">
      <c r="A1555" s="631">
        <f t="shared" si="24"/>
        <v>1550</v>
      </c>
      <c r="B1555" s="632"/>
      <c r="C1555" s="633"/>
      <c r="D1555" s="634"/>
      <c r="E1555" s="655"/>
      <c r="F1555" s="684"/>
      <c r="G1555" s="684"/>
      <c r="H1555" s="635"/>
    </row>
    <row r="1556" spans="1:8" ht="12.75" customHeight="1" x14ac:dyDescent="0.25">
      <c r="A1556" s="631">
        <f t="shared" si="24"/>
        <v>1551</v>
      </c>
      <c r="B1556" s="632"/>
      <c r="C1556" s="633"/>
      <c r="D1556" s="634"/>
      <c r="E1556" s="655"/>
      <c r="F1556" s="684"/>
      <c r="G1556" s="684"/>
      <c r="H1556" s="635"/>
    </row>
    <row r="1557" spans="1:8" ht="12.75" customHeight="1" x14ac:dyDescent="0.25">
      <c r="A1557" s="631">
        <f t="shared" si="24"/>
        <v>1552</v>
      </c>
      <c r="B1557" s="632"/>
      <c r="C1557" s="633"/>
      <c r="D1557" s="634"/>
      <c r="E1557" s="655"/>
      <c r="F1557" s="684"/>
      <c r="G1557" s="684"/>
      <c r="H1557" s="635"/>
    </row>
    <row r="1558" spans="1:8" ht="12.75" customHeight="1" x14ac:dyDescent="0.25">
      <c r="A1558" s="631">
        <f t="shared" si="24"/>
        <v>1553</v>
      </c>
      <c r="B1558" s="632"/>
      <c r="C1558" s="633"/>
      <c r="D1558" s="634"/>
      <c r="E1558" s="655"/>
      <c r="F1558" s="684"/>
      <c r="G1558" s="684"/>
      <c r="H1558" s="635"/>
    </row>
    <row r="1559" spans="1:8" ht="12.75" customHeight="1" x14ac:dyDescent="0.25">
      <c r="A1559" s="631">
        <f t="shared" si="24"/>
        <v>1554</v>
      </c>
      <c r="B1559" s="632"/>
      <c r="C1559" s="633"/>
      <c r="D1559" s="634"/>
      <c r="E1559" s="655"/>
      <c r="F1559" s="684"/>
      <c r="G1559" s="684"/>
      <c r="H1559" s="635"/>
    </row>
    <row r="1560" spans="1:8" ht="12.75" customHeight="1" x14ac:dyDescent="0.25">
      <c r="A1560" s="631">
        <f t="shared" si="24"/>
        <v>1555</v>
      </c>
      <c r="B1560" s="632"/>
      <c r="C1560" s="633"/>
      <c r="D1560" s="634"/>
      <c r="E1560" s="655"/>
      <c r="F1560" s="684"/>
      <c r="G1560" s="684"/>
      <c r="H1560" s="635"/>
    </row>
    <row r="1561" spans="1:8" ht="12.75" customHeight="1" x14ac:dyDescent="0.25">
      <c r="A1561" s="631">
        <f t="shared" si="24"/>
        <v>1556</v>
      </c>
      <c r="B1561" s="632"/>
      <c r="C1561" s="633"/>
      <c r="D1561" s="634"/>
      <c r="E1561" s="655"/>
      <c r="F1561" s="684"/>
      <c r="G1561" s="684"/>
      <c r="H1561" s="635"/>
    </row>
    <row r="1562" spans="1:8" ht="12.75" customHeight="1" x14ac:dyDescent="0.25">
      <c r="A1562" s="631">
        <f t="shared" si="24"/>
        <v>1557</v>
      </c>
      <c r="B1562" s="632"/>
      <c r="C1562" s="633"/>
      <c r="D1562" s="634"/>
      <c r="E1562" s="655"/>
      <c r="F1562" s="684"/>
      <c r="G1562" s="684"/>
      <c r="H1562" s="635"/>
    </row>
    <row r="1563" spans="1:8" ht="12.75" customHeight="1" x14ac:dyDescent="0.25">
      <c r="A1563" s="631">
        <f t="shared" si="24"/>
        <v>1558</v>
      </c>
      <c r="B1563" s="632"/>
      <c r="C1563" s="633"/>
      <c r="D1563" s="634"/>
      <c r="E1563" s="655"/>
      <c r="F1563" s="684"/>
      <c r="G1563" s="684"/>
      <c r="H1563" s="635"/>
    </row>
    <row r="1564" spans="1:8" ht="12.75" customHeight="1" x14ac:dyDescent="0.25">
      <c r="A1564" s="631">
        <f t="shared" si="24"/>
        <v>1559</v>
      </c>
      <c r="B1564" s="632"/>
      <c r="C1564" s="633"/>
      <c r="D1564" s="634"/>
      <c r="E1564" s="655"/>
      <c r="F1564" s="684"/>
      <c r="G1564" s="684"/>
      <c r="H1564" s="635"/>
    </row>
    <row r="1565" spans="1:8" ht="12.75" customHeight="1" x14ac:dyDescent="0.25">
      <c r="A1565" s="631">
        <f t="shared" si="24"/>
        <v>1560</v>
      </c>
      <c r="B1565" s="632"/>
      <c r="C1565" s="633"/>
      <c r="D1565" s="634"/>
      <c r="E1565" s="655"/>
      <c r="F1565" s="684"/>
      <c r="G1565" s="684"/>
      <c r="H1565" s="635"/>
    </row>
    <row r="1566" spans="1:8" ht="12.75" customHeight="1" x14ac:dyDescent="0.25">
      <c r="A1566" s="631">
        <f t="shared" si="24"/>
        <v>1561</v>
      </c>
      <c r="B1566" s="632"/>
      <c r="C1566" s="633"/>
      <c r="D1566" s="634"/>
      <c r="E1566" s="655"/>
      <c r="F1566" s="684"/>
      <c r="G1566" s="684"/>
      <c r="H1566" s="635"/>
    </row>
    <row r="1567" spans="1:8" ht="12.75" customHeight="1" x14ac:dyDescent="0.25">
      <c r="A1567" s="631">
        <f t="shared" si="24"/>
        <v>1562</v>
      </c>
      <c r="B1567" s="632"/>
      <c r="C1567" s="633"/>
      <c r="D1567" s="634"/>
      <c r="E1567" s="655"/>
      <c r="F1567" s="684"/>
      <c r="G1567" s="684"/>
      <c r="H1567" s="635"/>
    </row>
    <row r="1568" spans="1:8" ht="12.75" customHeight="1" x14ac:dyDescent="0.25">
      <c r="A1568" s="631">
        <f t="shared" si="24"/>
        <v>1563</v>
      </c>
      <c r="B1568" s="632"/>
      <c r="C1568" s="633"/>
      <c r="D1568" s="634"/>
      <c r="E1568" s="655"/>
      <c r="F1568" s="684"/>
      <c r="G1568" s="684"/>
      <c r="H1568" s="635"/>
    </row>
    <row r="1569" spans="1:8" ht="12.75" customHeight="1" x14ac:dyDescent="0.25">
      <c r="A1569" s="631">
        <f t="shared" si="24"/>
        <v>1564</v>
      </c>
      <c r="B1569" s="632"/>
      <c r="C1569" s="633"/>
      <c r="D1569" s="634"/>
      <c r="E1569" s="655"/>
      <c r="F1569" s="684"/>
      <c r="G1569" s="684"/>
      <c r="H1569" s="635"/>
    </row>
    <row r="1570" spans="1:8" ht="12.75" customHeight="1" x14ac:dyDescent="0.25">
      <c r="A1570" s="631">
        <f t="shared" si="24"/>
        <v>1565</v>
      </c>
      <c r="B1570" s="632"/>
      <c r="C1570" s="633"/>
      <c r="D1570" s="634"/>
      <c r="E1570" s="655"/>
      <c r="F1570" s="684"/>
      <c r="G1570" s="684"/>
      <c r="H1570" s="635"/>
    </row>
    <row r="1571" spans="1:8" ht="12.75" customHeight="1" x14ac:dyDescent="0.25">
      <c r="A1571" s="631">
        <f t="shared" si="24"/>
        <v>1566</v>
      </c>
      <c r="B1571" s="632"/>
      <c r="C1571" s="633"/>
      <c r="D1571" s="634"/>
      <c r="E1571" s="655"/>
      <c r="F1571" s="684"/>
      <c r="G1571" s="684"/>
      <c r="H1571" s="635"/>
    </row>
    <row r="1572" spans="1:8" ht="12.75" customHeight="1" x14ac:dyDescent="0.25">
      <c r="A1572" s="631">
        <f t="shared" si="24"/>
        <v>1567</v>
      </c>
      <c r="B1572" s="632"/>
      <c r="C1572" s="633"/>
      <c r="D1572" s="634"/>
      <c r="E1572" s="655"/>
      <c r="F1572" s="684"/>
      <c r="G1572" s="684"/>
      <c r="H1572" s="635"/>
    </row>
    <row r="1573" spans="1:8" ht="12.75" customHeight="1" x14ac:dyDescent="0.25">
      <c r="A1573" s="631">
        <f t="shared" si="24"/>
        <v>1568</v>
      </c>
      <c r="B1573" s="632"/>
      <c r="C1573" s="633"/>
      <c r="D1573" s="634"/>
      <c r="E1573" s="655"/>
      <c r="F1573" s="684"/>
      <c r="G1573" s="684"/>
      <c r="H1573" s="635"/>
    </row>
    <row r="1574" spans="1:8" ht="12.75" customHeight="1" x14ac:dyDescent="0.25">
      <c r="A1574" s="631">
        <f t="shared" si="24"/>
        <v>1569</v>
      </c>
      <c r="B1574" s="632"/>
      <c r="C1574" s="633"/>
      <c r="D1574" s="634"/>
      <c r="E1574" s="655"/>
      <c r="F1574" s="684"/>
      <c r="G1574" s="684"/>
      <c r="H1574" s="635"/>
    </row>
    <row r="1575" spans="1:8" ht="12.75" customHeight="1" x14ac:dyDescent="0.25">
      <c r="A1575" s="631">
        <f t="shared" si="24"/>
        <v>1570</v>
      </c>
      <c r="B1575" s="632"/>
      <c r="C1575" s="633"/>
      <c r="D1575" s="634"/>
      <c r="E1575" s="655"/>
      <c r="F1575" s="684"/>
      <c r="G1575" s="684"/>
      <c r="H1575" s="635"/>
    </row>
    <row r="1576" spans="1:8" ht="12.75" customHeight="1" x14ac:dyDescent="0.25">
      <c r="A1576" s="631">
        <f t="shared" si="24"/>
        <v>1571</v>
      </c>
      <c r="B1576" s="632"/>
      <c r="C1576" s="633"/>
      <c r="D1576" s="634"/>
      <c r="E1576" s="655"/>
      <c r="F1576" s="684"/>
      <c r="G1576" s="684"/>
      <c r="H1576" s="635"/>
    </row>
    <row r="1577" spans="1:8" ht="12.75" customHeight="1" x14ac:dyDescent="0.25">
      <c r="A1577" s="631">
        <f t="shared" si="24"/>
        <v>1572</v>
      </c>
      <c r="B1577" s="632"/>
      <c r="C1577" s="633"/>
      <c r="D1577" s="634"/>
      <c r="E1577" s="655"/>
      <c r="F1577" s="684"/>
      <c r="G1577" s="684"/>
      <c r="H1577" s="635"/>
    </row>
    <row r="1578" spans="1:8" ht="12.75" customHeight="1" x14ac:dyDescent="0.25">
      <c r="A1578" s="631">
        <f t="shared" si="24"/>
        <v>1573</v>
      </c>
      <c r="B1578" s="632"/>
      <c r="C1578" s="633"/>
      <c r="D1578" s="634"/>
      <c r="E1578" s="655"/>
      <c r="F1578" s="684"/>
      <c r="G1578" s="684"/>
      <c r="H1578" s="635"/>
    </row>
    <row r="1579" spans="1:8" ht="12.75" customHeight="1" x14ac:dyDescent="0.25">
      <c r="A1579" s="631">
        <f t="shared" si="24"/>
        <v>1574</v>
      </c>
      <c r="B1579" s="632"/>
      <c r="C1579" s="633"/>
      <c r="D1579" s="634"/>
      <c r="E1579" s="655"/>
      <c r="F1579" s="684"/>
      <c r="G1579" s="684"/>
      <c r="H1579" s="635"/>
    </row>
    <row r="1580" spans="1:8" ht="12.75" customHeight="1" x14ac:dyDescent="0.25">
      <c r="A1580" s="631">
        <f t="shared" si="24"/>
        <v>1575</v>
      </c>
      <c r="B1580" s="632"/>
      <c r="C1580" s="633"/>
      <c r="D1580" s="634"/>
      <c r="E1580" s="655"/>
      <c r="F1580" s="684"/>
      <c r="G1580" s="684"/>
      <c r="H1580" s="635"/>
    </row>
    <row r="1581" spans="1:8" ht="12.75" customHeight="1" x14ac:dyDescent="0.25">
      <c r="A1581" s="631">
        <f t="shared" si="24"/>
        <v>1576</v>
      </c>
      <c r="B1581" s="632"/>
      <c r="C1581" s="633"/>
      <c r="D1581" s="634"/>
      <c r="E1581" s="655"/>
      <c r="F1581" s="684"/>
      <c r="G1581" s="684"/>
      <c r="H1581" s="635"/>
    </row>
    <row r="1582" spans="1:8" ht="12.75" customHeight="1" x14ac:dyDescent="0.25">
      <c r="A1582" s="631">
        <f t="shared" si="24"/>
        <v>1577</v>
      </c>
      <c r="B1582" s="632"/>
      <c r="C1582" s="633"/>
      <c r="D1582" s="634"/>
      <c r="E1582" s="655"/>
      <c r="F1582" s="684"/>
      <c r="G1582" s="684"/>
      <c r="H1582" s="635"/>
    </row>
    <row r="1583" spans="1:8" ht="12.75" customHeight="1" x14ac:dyDescent="0.25">
      <c r="A1583" s="631">
        <f t="shared" si="24"/>
        <v>1578</v>
      </c>
      <c r="B1583" s="632"/>
      <c r="C1583" s="633"/>
      <c r="D1583" s="634"/>
      <c r="E1583" s="655"/>
      <c r="F1583" s="684"/>
      <c r="G1583" s="684"/>
      <c r="H1583" s="635"/>
    </row>
    <row r="1584" spans="1:8" ht="12.75" customHeight="1" x14ac:dyDescent="0.25">
      <c r="A1584" s="631">
        <f t="shared" si="24"/>
        <v>1579</v>
      </c>
      <c r="B1584" s="632"/>
      <c r="C1584" s="633"/>
      <c r="D1584" s="634"/>
      <c r="E1584" s="655"/>
      <c r="F1584" s="684"/>
      <c r="G1584" s="684"/>
      <c r="H1584" s="635"/>
    </row>
    <row r="1585" spans="1:8" ht="12.75" customHeight="1" x14ac:dyDescent="0.25">
      <c r="A1585" s="631">
        <f t="shared" si="24"/>
        <v>1580</v>
      </c>
      <c r="B1585" s="632"/>
      <c r="C1585" s="633"/>
      <c r="D1585" s="634"/>
      <c r="E1585" s="655"/>
      <c r="F1585" s="684"/>
      <c r="G1585" s="684"/>
      <c r="H1585" s="635"/>
    </row>
    <row r="1586" spans="1:8" ht="12.75" customHeight="1" x14ac:dyDescent="0.25">
      <c r="A1586" s="631">
        <f t="shared" si="24"/>
        <v>1581</v>
      </c>
      <c r="B1586" s="632"/>
      <c r="C1586" s="633"/>
      <c r="D1586" s="634"/>
      <c r="E1586" s="655"/>
      <c r="F1586" s="684"/>
      <c r="G1586" s="684"/>
      <c r="H1586" s="635"/>
    </row>
    <row r="1587" spans="1:8" ht="12.75" customHeight="1" x14ac:dyDescent="0.25">
      <c r="A1587" s="631">
        <f t="shared" si="24"/>
        <v>1582</v>
      </c>
      <c r="B1587" s="632"/>
      <c r="C1587" s="633"/>
      <c r="D1587" s="634"/>
      <c r="E1587" s="655"/>
      <c r="F1587" s="684"/>
      <c r="G1587" s="684"/>
      <c r="H1587" s="635"/>
    </row>
    <row r="1588" spans="1:8" ht="12.75" customHeight="1" x14ac:dyDescent="0.25">
      <c r="A1588" s="631">
        <f t="shared" si="24"/>
        <v>1583</v>
      </c>
      <c r="B1588" s="632"/>
      <c r="C1588" s="633"/>
      <c r="D1588" s="634"/>
      <c r="E1588" s="655"/>
      <c r="F1588" s="684"/>
      <c r="G1588" s="684"/>
      <c r="H1588" s="635"/>
    </row>
    <row r="1589" spans="1:8" ht="12.75" customHeight="1" x14ac:dyDescent="0.25">
      <c r="A1589" s="631">
        <f t="shared" si="24"/>
        <v>1584</v>
      </c>
      <c r="B1589" s="632"/>
      <c r="C1589" s="633"/>
      <c r="D1589" s="634"/>
      <c r="E1589" s="655"/>
      <c r="F1589" s="684"/>
      <c r="G1589" s="684"/>
      <c r="H1589" s="635"/>
    </row>
    <row r="1590" spans="1:8" ht="12.75" customHeight="1" x14ac:dyDescent="0.25">
      <c r="A1590" s="631">
        <f t="shared" si="24"/>
        <v>1585</v>
      </c>
      <c r="B1590" s="632"/>
      <c r="C1590" s="633"/>
      <c r="D1590" s="634"/>
      <c r="E1590" s="655"/>
      <c r="F1590" s="684"/>
      <c r="G1590" s="684"/>
      <c r="H1590" s="635"/>
    </row>
    <row r="1591" spans="1:8" ht="12.75" customHeight="1" x14ac:dyDescent="0.25">
      <c r="A1591" s="631">
        <f t="shared" si="24"/>
        <v>1586</v>
      </c>
      <c r="B1591" s="632"/>
      <c r="C1591" s="633"/>
      <c r="D1591" s="634"/>
      <c r="E1591" s="655"/>
      <c r="F1591" s="684"/>
      <c r="G1591" s="684"/>
      <c r="H1591" s="635"/>
    </row>
    <row r="1592" spans="1:8" ht="12.75" customHeight="1" x14ac:dyDescent="0.25">
      <c r="A1592" s="631">
        <f t="shared" si="24"/>
        <v>1587</v>
      </c>
      <c r="B1592" s="632"/>
      <c r="C1592" s="633"/>
      <c r="D1592" s="634"/>
      <c r="E1592" s="655"/>
      <c r="F1592" s="684"/>
      <c r="G1592" s="684"/>
      <c r="H1592" s="635"/>
    </row>
    <row r="1593" spans="1:8" ht="12.75" customHeight="1" x14ac:dyDescent="0.25">
      <c r="A1593" s="631">
        <f t="shared" si="24"/>
        <v>1588</v>
      </c>
      <c r="B1593" s="632"/>
      <c r="C1593" s="633"/>
      <c r="D1593" s="634"/>
      <c r="E1593" s="655"/>
      <c r="F1593" s="684"/>
      <c r="G1593" s="684"/>
      <c r="H1593" s="635"/>
    </row>
    <row r="1594" spans="1:8" ht="12.75" customHeight="1" x14ac:dyDescent="0.25">
      <c r="A1594" s="631">
        <f t="shared" si="24"/>
        <v>1589</v>
      </c>
      <c r="B1594" s="632"/>
      <c r="C1594" s="633"/>
      <c r="D1594" s="634"/>
      <c r="E1594" s="655"/>
      <c r="F1594" s="684"/>
      <c r="G1594" s="684"/>
      <c r="H1594" s="635"/>
    </row>
    <row r="1595" spans="1:8" ht="12.75" customHeight="1" x14ac:dyDescent="0.25">
      <c r="A1595" s="631">
        <f t="shared" si="24"/>
        <v>1590</v>
      </c>
      <c r="B1595" s="632"/>
      <c r="C1595" s="633"/>
      <c r="D1595" s="634"/>
      <c r="E1595" s="655"/>
      <c r="F1595" s="684"/>
      <c r="G1595" s="684"/>
      <c r="H1595" s="635"/>
    </row>
    <row r="1596" spans="1:8" ht="12.75" customHeight="1" x14ac:dyDescent="0.25">
      <c r="A1596" s="631">
        <f t="shared" si="24"/>
        <v>1591</v>
      </c>
      <c r="B1596" s="632"/>
      <c r="C1596" s="633"/>
      <c r="D1596" s="634"/>
      <c r="E1596" s="655"/>
      <c r="F1596" s="684"/>
      <c r="G1596" s="684"/>
      <c r="H1596" s="635"/>
    </row>
    <row r="1597" spans="1:8" ht="12.75" customHeight="1" x14ac:dyDescent="0.25">
      <c r="A1597" s="631">
        <f t="shared" si="24"/>
        <v>1592</v>
      </c>
      <c r="B1597" s="632"/>
      <c r="C1597" s="633"/>
      <c r="D1597" s="634"/>
      <c r="E1597" s="655"/>
      <c r="F1597" s="684"/>
      <c r="G1597" s="684"/>
      <c r="H1597" s="635"/>
    </row>
    <row r="1598" spans="1:8" ht="12.75" customHeight="1" x14ac:dyDescent="0.25">
      <c r="A1598" s="631">
        <f t="shared" si="24"/>
        <v>1593</v>
      </c>
      <c r="B1598" s="632"/>
      <c r="C1598" s="633"/>
      <c r="D1598" s="634"/>
      <c r="E1598" s="655"/>
      <c r="F1598" s="684"/>
      <c r="G1598" s="684"/>
      <c r="H1598" s="635"/>
    </row>
    <row r="1599" spans="1:8" ht="12.75" customHeight="1" x14ac:dyDescent="0.25">
      <c r="A1599" s="631">
        <f t="shared" si="24"/>
        <v>1594</v>
      </c>
      <c r="B1599" s="632"/>
      <c r="C1599" s="633"/>
      <c r="D1599" s="634"/>
      <c r="E1599" s="655"/>
      <c r="F1599" s="684"/>
      <c r="G1599" s="684"/>
      <c r="H1599" s="635"/>
    </row>
    <row r="1600" spans="1:8" ht="12.75" customHeight="1" x14ac:dyDescent="0.25">
      <c r="A1600" s="631">
        <f t="shared" si="24"/>
        <v>1595</v>
      </c>
      <c r="B1600" s="632"/>
      <c r="C1600" s="633"/>
      <c r="D1600" s="634"/>
      <c r="E1600" s="655"/>
      <c r="F1600" s="684"/>
      <c r="G1600" s="684"/>
      <c r="H1600" s="635"/>
    </row>
    <row r="1601" spans="1:8" ht="12.75" customHeight="1" x14ac:dyDescent="0.25">
      <c r="A1601" s="631">
        <f t="shared" ref="A1601:A1664" si="25">ROW()-5</f>
        <v>1596</v>
      </c>
      <c r="B1601" s="632"/>
      <c r="C1601" s="633"/>
      <c r="D1601" s="634"/>
      <c r="E1601" s="655"/>
      <c r="F1601" s="684"/>
      <c r="G1601" s="684"/>
      <c r="H1601" s="635"/>
    </row>
    <row r="1602" spans="1:8" ht="12.75" customHeight="1" x14ac:dyDescent="0.25">
      <c r="A1602" s="631">
        <f t="shared" si="25"/>
        <v>1597</v>
      </c>
      <c r="B1602" s="632"/>
      <c r="C1602" s="633"/>
      <c r="D1602" s="634"/>
      <c r="E1602" s="655"/>
      <c r="F1602" s="684"/>
      <c r="G1602" s="684"/>
      <c r="H1602" s="635"/>
    </row>
    <row r="1603" spans="1:8" ht="12.75" customHeight="1" x14ac:dyDescent="0.25">
      <c r="A1603" s="631">
        <f t="shared" si="25"/>
        <v>1598</v>
      </c>
      <c r="B1603" s="632"/>
      <c r="C1603" s="633"/>
      <c r="D1603" s="634"/>
      <c r="E1603" s="655"/>
      <c r="F1603" s="684"/>
      <c r="G1603" s="684"/>
      <c r="H1603" s="635"/>
    </row>
    <row r="1604" spans="1:8" ht="12.75" customHeight="1" x14ac:dyDescent="0.25">
      <c r="A1604" s="631">
        <f t="shared" si="25"/>
        <v>1599</v>
      </c>
      <c r="B1604" s="632"/>
      <c r="C1604" s="633"/>
      <c r="D1604" s="634"/>
      <c r="E1604" s="655"/>
      <c r="F1604" s="684"/>
      <c r="G1604" s="684"/>
      <c r="H1604" s="635"/>
    </row>
    <row r="1605" spans="1:8" ht="12.75" customHeight="1" x14ac:dyDescent="0.25">
      <c r="A1605" s="631">
        <f t="shared" si="25"/>
        <v>1600</v>
      </c>
      <c r="B1605" s="632"/>
      <c r="C1605" s="633"/>
      <c r="D1605" s="634"/>
      <c r="E1605" s="655"/>
      <c r="F1605" s="684"/>
      <c r="G1605" s="684"/>
      <c r="H1605" s="635"/>
    </row>
    <row r="1606" spans="1:8" ht="12.75" customHeight="1" x14ac:dyDescent="0.25">
      <c r="A1606" s="631">
        <f t="shared" si="25"/>
        <v>1601</v>
      </c>
      <c r="B1606" s="632"/>
      <c r="C1606" s="633"/>
      <c r="D1606" s="634"/>
      <c r="E1606" s="655"/>
      <c r="F1606" s="684"/>
      <c r="G1606" s="684"/>
      <c r="H1606" s="635"/>
    </row>
    <row r="1607" spans="1:8" ht="12.75" customHeight="1" x14ac:dyDescent="0.25">
      <c r="A1607" s="631">
        <f t="shared" si="25"/>
        <v>1602</v>
      </c>
      <c r="B1607" s="632"/>
      <c r="C1607" s="633"/>
      <c r="D1607" s="634"/>
      <c r="E1607" s="655"/>
      <c r="F1607" s="684"/>
      <c r="G1607" s="684"/>
      <c r="H1607" s="635"/>
    </row>
    <row r="1608" spans="1:8" ht="12.75" customHeight="1" x14ac:dyDescent="0.25">
      <c r="A1608" s="631">
        <f t="shared" si="25"/>
        <v>1603</v>
      </c>
      <c r="B1608" s="632"/>
      <c r="C1608" s="633"/>
      <c r="D1608" s="634"/>
      <c r="E1608" s="655"/>
      <c r="F1608" s="684"/>
      <c r="G1608" s="684"/>
      <c r="H1608" s="635"/>
    </row>
    <row r="1609" spans="1:8" ht="12.75" customHeight="1" x14ac:dyDescent="0.25">
      <c r="A1609" s="631">
        <f t="shared" si="25"/>
        <v>1604</v>
      </c>
      <c r="B1609" s="632"/>
      <c r="C1609" s="633"/>
      <c r="D1609" s="634"/>
      <c r="E1609" s="655"/>
      <c r="F1609" s="684"/>
      <c r="G1609" s="684"/>
      <c r="H1609" s="635"/>
    </row>
    <row r="1610" spans="1:8" ht="12.75" customHeight="1" x14ac:dyDescent="0.25">
      <c r="A1610" s="631">
        <f t="shared" si="25"/>
        <v>1605</v>
      </c>
      <c r="B1610" s="632"/>
      <c r="C1610" s="633"/>
      <c r="D1610" s="634"/>
      <c r="E1610" s="655"/>
      <c r="F1610" s="684"/>
      <c r="G1610" s="684"/>
      <c r="H1610" s="635"/>
    </row>
    <row r="1611" spans="1:8" ht="12.75" customHeight="1" x14ac:dyDescent="0.25">
      <c r="A1611" s="631">
        <f t="shared" si="25"/>
        <v>1606</v>
      </c>
      <c r="B1611" s="632"/>
      <c r="C1611" s="633"/>
      <c r="D1611" s="634"/>
      <c r="E1611" s="655"/>
      <c r="F1611" s="684"/>
      <c r="G1611" s="684"/>
      <c r="H1611" s="635"/>
    </row>
    <row r="1612" spans="1:8" ht="12.75" customHeight="1" x14ac:dyDescent="0.25">
      <c r="A1612" s="631">
        <f t="shared" si="25"/>
        <v>1607</v>
      </c>
      <c r="B1612" s="632"/>
      <c r="C1612" s="633"/>
      <c r="D1612" s="634"/>
      <c r="E1612" s="655"/>
      <c r="F1612" s="684"/>
      <c r="G1612" s="684"/>
      <c r="H1612" s="635"/>
    </row>
    <row r="1613" spans="1:8" ht="12.75" customHeight="1" x14ac:dyDescent="0.25">
      <c r="A1613" s="631">
        <f t="shared" si="25"/>
        <v>1608</v>
      </c>
      <c r="B1613" s="632"/>
      <c r="C1613" s="633"/>
      <c r="D1613" s="634"/>
      <c r="E1613" s="655"/>
      <c r="F1613" s="684"/>
      <c r="G1613" s="684"/>
      <c r="H1613" s="635"/>
    </row>
    <row r="1614" spans="1:8" ht="12.75" customHeight="1" x14ac:dyDescent="0.25">
      <c r="A1614" s="631">
        <f t="shared" si="25"/>
        <v>1609</v>
      </c>
      <c r="B1614" s="632"/>
      <c r="C1614" s="633"/>
      <c r="D1614" s="634"/>
      <c r="E1614" s="655"/>
      <c r="F1614" s="684"/>
      <c r="G1614" s="684"/>
      <c r="H1614" s="635"/>
    </row>
    <row r="1615" spans="1:8" ht="12.75" customHeight="1" x14ac:dyDescent="0.25">
      <c r="A1615" s="631">
        <f t="shared" si="25"/>
        <v>1610</v>
      </c>
      <c r="B1615" s="632"/>
      <c r="C1615" s="633"/>
      <c r="D1615" s="634"/>
      <c r="E1615" s="655"/>
      <c r="F1615" s="684"/>
      <c r="G1615" s="684"/>
      <c r="H1615" s="635"/>
    </row>
    <row r="1616" spans="1:8" ht="12.75" customHeight="1" x14ac:dyDescent="0.25">
      <c r="A1616" s="631">
        <f t="shared" si="25"/>
        <v>1611</v>
      </c>
      <c r="B1616" s="632"/>
      <c r="C1616" s="633"/>
      <c r="D1616" s="634"/>
      <c r="E1616" s="655"/>
      <c r="F1616" s="684"/>
      <c r="G1616" s="684"/>
      <c r="H1616" s="635"/>
    </row>
    <row r="1617" spans="1:8" ht="12.75" customHeight="1" x14ac:dyDescent="0.25">
      <c r="A1617" s="631">
        <f t="shared" si="25"/>
        <v>1612</v>
      </c>
      <c r="B1617" s="632"/>
      <c r="C1617" s="633"/>
      <c r="D1617" s="634"/>
      <c r="E1617" s="655"/>
      <c r="F1617" s="684"/>
      <c r="G1617" s="684"/>
      <c r="H1617" s="635"/>
    </row>
    <row r="1618" spans="1:8" ht="12.75" customHeight="1" x14ac:dyDescent="0.25">
      <c r="A1618" s="631">
        <f t="shared" si="25"/>
        <v>1613</v>
      </c>
      <c r="B1618" s="632"/>
      <c r="C1618" s="633"/>
      <c r="D1618" s="634"/>
      <c r="E1618" s="655"/>
      <c r="F1618" s="684"/>
      <c r="G1618" s="684"/>
      <c r="H1618" s="635"/>
    </row>
    <row r="1619" spans="1:8" ht="12.75" customHeight="1" x14ac:dyDescent="0.25">
      <c r="A1619" s="631">
        <f t="shared" si="25"/>
        <v>1614</v>
      </c>
      <c r="B1619" s="632"/>
      <c r="C1619" s="633"/>
      <c r="D1619" s="634"/>
      <c r="E1619" s="655"/>
      <c r="F1619" s="684"/>
      <c r="G1619" s="684"/>
      <c r="H1619" s="635"/>
    </row>
    <row r="1620" spans="1:8" ht="12.75" customHeight="1" x14ac:dyDescent="0.25">
      <c r="A1620" s="631">
        <f t="shared" si="25"/>
        <v>1615</v>
      </c>
      <c r="B1620" s="632"/>
      <c r="C1620" s="633"/>
      <c r="D1620" s="634"/>
      <c r="E1620" s="655"/>
      <c r="F1620" s="684"/>
      <c r="G1620" s="684"/>
      <c r="H1620" s="635"/>
    </row>
    <row r="1621" spans="1:8" ht="12.75" customHeight="1" x14ac:dyDescent="0.25">
      <c r="A1621" s="631">
        <f t="shared" si="25"/>
        <v>1616</v>
      </c>
      <c r="B1621" s="632"/>
      <c r="C1621" s="633"/>
      <c r="D1621" s="634"/>
      <c r="E1621" s="655"/>
      <c r="F1621" s="684"/>
      <c r="G1621" s="684"/>
      <c r="H1621" s="635"/>
    </row>
    <row r="1622" spans="1:8" ht="12.75" customHeight="1" x14ac:dyDescent="0.25">
      <c r="A1622" s="631">
        <f t="shared" si="25"/>
        <v>1617</v>
      </c>
      <c r="B1622" s="632"/>
      <c r="C1622" s="633"/>
      <c r="D1622" s="634"/>
      <c r="E1622" s="655"/>
      <c r="F1622" s="684"/>
      <c r="G1622" s="684"/>
      <c r="H1622" s="635"/>
    </row>
    <row r="1623" spans="1:8" ht="12.75" customHeight="1" x14ac:dyDescent="0.25">
      <c r="A1623" s="631">
        <f t="shared" si="25"/>
        <v>1618</v>
      </c>
      <c r="B1623" s="632"/>
      <c r="C1623" s="633"/>
      <c r="D1623" s="634"/>
      <c r="E1623" s="655"/>
      <c r="F1623" s="684"/>
      <c r="G1623" s="684"/>
      <c r="H1623" s="635"/>
    </row>
    <row r="1624" spans="1:8" ht="12.75" customHeight="1" x14ac:dyDescent="0.25">
      <c r="A1624" s="631">
        <f t="shared" si="25"/>
        <v>1619</v>
      </c>
      <c r="B1624" s="632"/>
      <c r="C1624" s="633"/>
      <c r="D1624" s="634"/>
      <c r="E1624" s="655"/>
      <c r="F1624" s="684"/>
      <c r="G1624" s="684"/>
      <c r="H1624" s="635"/>
    </row>
    <row r="1625" spans="1:8" ht="12.75" customHeight="1" x14ac:dyDescent="0.25">
      <c r="A1625" s="631">
        <f t="shared" si="25"/>
        <v>1620</v>
      </c>
      <c r="B1625" s="632"/>
      <c r="C1625" s="633"/>
      <c r="D1625" s="634"/>
      <c r="E1625" s="655"/>
      <c r="F1625" s="684"/>
      <c r="G1625" s="684"/>
      <c r="H1625" s="635"/>
    </row>
    <row r="1626" spans="1:8" ht="12.75" customHeight="1" x14ac:dyDescent="0.25">
      <c r="A1626" s="631">
        <f t="shared" si="25"/>
        <v>1621</v>
      </c>
      <c r="B1626" s="632"/>
      <c r="C1626" s="633"/>
      <c r="D1626" s="634"/>
      <c r="E1626" s="655"/>
      <c r="F1626" s="684"/>
      <c r="G1626" s="684"/>
      <c r="H1626" s="635"/>
    </row>
    <row r="1627" spans="1:8" ht="12.75" customHeight="1" x14ac:dyDescent="0.25">
      <c r="A1627" s="631">
        <f t="shared" si="25"/>
        <v>1622</v>
      </c>
      <c r="B1627" s="632"/>
      <c r="C1627" s="633"/>
      <c r="D1627" s="634"/>
      <c r="E1627" s="655"/>
      <c r="F1627" s="684"/>
      <c r="G1627" s="684"/>
      <c r="H1627" s="635"/>
    </row>
    <row r="1628" spans="1:8" ht="12.75" customHeight="1" x14ac:dyDescent="0.25">
      <c r="A1628" s="631">
        <f t="shared" si="25"/>
        <v>1623</v>
      </c>
      <c r="B1628" s="632"/>
      <c r="C1628" s="633"/>
      <c r="D1628" s="634"/>
      <c r="E1628" s="655"/>
      <c r="F1628" s="684"/>
      <c r="G1628" s="684"/>
      <c r="H1628" s="635"/>
    </row>
    <row r="1629" spans="1:8" ht="12.75" customHeight="1" x14ac:dyDescent="0.25">
      <c r="A1629" s="631">
        <f t="shared" si="25"/>
        <v>1624</v>
      </c>
      <c r="B1629" s="632"/>
      <c r="C1629" s="633"/>
      <c r="D1629" s="634"/>
      <c r="E1629" s="655"/>
      <c r="F1629" s="684"/>
      <c r="G1629" s="684"/>
      <c r="H1629" s="635"/>
    </row>
    <row r="1630" spans="1:8" ht="12.75" customHeight="1" x14ac:dyDescent="0.25">
      <c r="A1630" s="631">
        <f t="shared" si="25"/>
        <v>1625</v>
      </c>
      <c r="B1630" s="632"/>
      <c r="C1630" s="633"/>
      <c r="D1630" s="634"/>
      <c r="E1630" s="655"/>
      <c r="F1630" s="684"/>
      <c r="G1630" s="684"/>
      <c r="H1630" s="635"/>
    </row>
    <row r="1631" spans="1:8" ht="12.75" customHeight="1" x14ac:dyDescent="0.25">
      <c r="A1631" s="631">
        <f t="shared" si="25"/>
        <v>1626</v>
      </c>
      <c r="B1631" s="632"/>
      <c r="C1631" s="633"/>
      <c r="D1631" s="634"/>
      <c r="E1631" s="655"/>
      <c r="F1631" s="684"/>
      <c r="G1631" s="684"/>
      <c r="H1631" s="635"/>
    </row>
    <row r="1632" spans="1:8" ht="12.75" customHeight="1" x14ac:dyDescent="0.25">
      <c r="A1632" s="631">
        <f t="shared" si="25"/>
        <v>1627</v>
      </c>
      <c r="B1632" s="632"/>
      <c r="C1632" s="633"/>
      <c r="D1632" s="634"/>
      <c r="E1632" s="655"/>
      <c r="F1632" s="684"/>
      <c r="G1632" s="684"/>
      <c r="H1632" s="635"/>
    </row>
    <row r="1633" spans="1:8" ht="12.75" customHeight="1" x14ac:dyDescent="0.25">
      <c r="A1633" s="631">
        <f t="shared" si="25"/>
        <v>1628</v>
      </c>
      <c r="B1633" s="632"/>
      <c r="C1633" s="633"/>
      <c r="D1633" s="634"/>
      <c r="E1633" s="655"/>
      <c r="F1633" s="684"/>
      <c r="G1633" s="684"/>
      <c r="H1633" s="635"/>
    </row>
    <row r="1634" spans="1:8" ht="12.75" customHeight="1" x14ac:dyDescent="0.25">
      <c r="A1634" s="631">
        <f t="shared" si="25"/>
        <v>1629</v>
      </c>
      <c r="B1634" s="632"/>
      <c r="C1634" s="633"/>
      <c r="D1634" s="634"/>
      <c r="E1634" s="655"/>
      <c r="F1634" s="684"/>
      <c r="G1634" s="684"/>
      <c r="H1634" s="635"/>
    </row>
    <row r="1635" spans="1:8" ht="12.75" customHeight="1" x14ac:dyDescent="0.25">
      <c r="A1635" s="631">
        <f t="shared" si="25"/>
        <v>1630</v>
      </c>
      <c r="B1635" s="632"/>
      <c r="C1635" s="633"/>
      <c r="D1635" s="634"/>
      <c r="E1635" s="655"/>
      <c r="F1635" s="684"/>
      <c r="G1635" s="684"/>
      <c r="H1635" s="635"/>
    </row>
    <row r="1636" spans="1:8" ht="12.75" customHeight="1" x14ac:dyDescent="0.25">
      <c r="A1636" s="631">
        <f t="shared" si="25"/>
        <v>1631</v>
      </c>
      <c r="B1636" s="632"/>
      <c r="C1636" s="633"/>
      <c r="D1636" s="634"/>
      <c r="E1636" s="655"/>
      <c r="F1636" s="684"/>
      <c r="G1636" s="684"/>
      <c r="H1636" s="635"/>
    </row>
    <row r="1637" spans="1:8" ht="12.75" customHeight="1" x14ac:dyDescent="0.25">
      <c r="A1637" s="631">
        <f t="shared" si="25"/>
        <v>1632</v>
      </c>
      <c r="B1637" s="632"/>
      <c r="C1637" s="633"/>
      <c r="D1637" s="634"/>
      <c r="E1637" s="655"/>
      <c r="F1637" s="684"/>
      <c r="G1637" s="684"/>
      <c r="H1637" s="635"/>
    </row>
    <row r="1638" spans="1:8" ht="12.75" customHeight="1" x14ac:dyDescent="0.25">
      <c r="A1638" s="631">
        <f t="shared" si="25"/>
        <v>1633</v>
      </c>
      <c r="B1638" s="632"/>
      <c r="C1638" s="633"/>
      <c r="D1638" s="634"/>
      <c r="E1638" s="655"/>
      <c r="F1638" s="684"/>
      <c r="G1638" s="684"/>
      <c r="H1638" s="635"/>
    </row>
    <row r="1639" spans="1:8" ht="12.75" customHeight="1" x14ac:dyDescent="0.25">
      <c r="A1639" s="631">
        <f t="shared" si="25"/>
        <v>1634</v>
      </c>
      <c r="B1639" s="632"/>
      <c r="C1639" s="633"/>
      <c r="D1639" s="634"/>
      <c r="E1639" s="655"/>
      <c r="F1639" s="684"/>
      <c r="G1639" s="684"/>
      <c r="H1639" s="635"/>
    </row>
    <row r="1640" spans="1:8" ht="12.75" customHeight="1" x14ac:dyDescent="0.25">
      <c r="A1640" s="631">
        <f t="shared" si="25"/>
        <v>1635</v>
      </c>
      <c r="B1640" s="632"/>
      <c r="C1640" s="633"/>
      <c r="D1640" s="634"/>
      <c r="E1640" s="655"/>
      <c r="F1640" s="684"/>
      <c r="G1640" s="684"/>
      <c r="H1640" s="635"/>
    </row>
    <row r="1641" spans="1:8" ht="12.75" customHeight="1" x14ac:dyDescent="0.25">
      <c r="A1641" s="631">
        <f t="shared" si="25"/>
        <v>1636</v>
      </c>
      <c r="B1641" s="632"/>
      <c r="C1641" s="633"/>
      <c r="D1641" s="634"/>
      <c r="E1641" s="655"/>
      <c r="F1641" s="684"/>
      <c r="G1641" s="684"/>
      <c r="H1641" s="635"/>
    </row>
    <row r="1642" spans="1:8" ht="12.75" customHeight="1" x14ac:dyDescent="0.25">
      <c r="A1642" s="631">
        <f t="shared" si="25"/>
        <v>1637</v>
      </c>
      <c r="B1642" s="632"/>
      <c r="C1642" s="633"/>
      <c r="D1642" s="634"/>
      <c r="E1642" s="655"/>
      <c r="F1642" s="684"/>
      <c r="G1642" s="684"/>
      <c r="H1642" s="635"/>
    </row>
    <row r="1643" spans="1:8" ht="12.75" customHeight="1" x14ac:dyDescent="0.25">
      <c r="A1643" s="631">
        <f t="shared" si="25"/>
        <v>1638</v>
      </c>
      <c r="B1643" s="632"/>
      <c r="C1643" s="633"/>
      <c r="D1643" s="634"/>
      <c r="E1643" s="655"/>
      <c r="F1643" s="684"/>
      <c r="G1643" s="684"/>
      <c r="H1643" s="635"/>
    </row>
    <row r="1644" spans="1:8" ht="12.75" customHeight="1" x14ac:dyDescent="0.25">
      <c r="A1644" s="631">
        <f t="shared" si="25"/>
        <v>1639</v>
      </c>
      <c r="B1644" s="632"/>
      <c r="C1644" s="633"/>
      <c r="D1644" s="634"/>
      <c r="E1644" s="655"/>
      <c r="F1644" s="684"/>
      <c r="G1644" s="684"/>
      <c r="H1644" s="635"/>
    </row>
    <row r="1645" spans="1:8" ht="12.75" customHeight="1" x14ac:dyDescent="0.25">
      <c r="A1645" s="631">
        <f t="shared" si="25"/>
        <v>1640</v>
      </c>
      <c r="B1645" s="632"/>
      <c r="C1645" s="633"/>
      <c r="D1645" s="634"/>
      <c r="E1645" s="655"/>
      <c r="F1645" s="684"/>
      <c r="G1645" s="684"/>
      <c r="H1645" s="635"/>
    </row>
    <row r="1646" spans="1:8" ht="12.75" customHeight="1" x14ac:dyDescent="0.25">
      <c r="A1646" s="631">
        <f t="shared" si="25"/>
        <v>1641</v>
      </c>
      <c r="B1646" s="632"/>
      <c r="C1646" s="633"/>
      <c r="D1646" s="634"/>
      <c r="E1646" s="655"/>
      <c r="F1646" s="684"/>
      <c r="G1646" s="684"/>
      <c r="H1646" s="635"/>
    </row>
    <row r="1647" spans="1:8" ht="12.75" customHeight="1" x14ac:dyDescent="0.25">
      <c r="A1647" s="631">
        <f t="shared" si="25"/>
        <v>1642</v>
      </c>
      <c r="B1647" s="632"/>
      <c r="C1647" s="633"/>
      <c r="D1647" s="634"/>
      <c r="E1647" s="655"/>
      <c r="F1647" s="684"/>
      <c r="G1647" s="684"/>
      <c r="H1647" s="635"/>
    </row>
    <row r="1648" spans="1:8" ht="12.75" customHeight="1" x14ac:dyDescent="0.25">
      <c r="A1648" s="631">
        <f t="shared" si="25"/>
        <v>1643</v>
      </c>
      <c r="B1648" s="632"/>
      <c r="C1648" s="633"/>
      <c r="D1648" s="634"/>
      <c r="E1648" s="655"/>
      <c r="F1648" s="684"/>
      <c r="G1648" s="684"/>
      <c r="H1648" s="635"/>
    </row>
    <row r="1649" spans="1:8" ht="12.75" customHeight="1" x14ac:dyDescent="0.25">
      <c r="A1649" s="631">
        <f t="shared" si="25"/>
        <v>1644</v>
      </c>
      <c r="B1649" s="632"/>
      <c r="C1649" s="633"/>
      <c r="D1649" s="634"/>
      <c r="E1649" s="655"/>
      <c r="F1649" s="684"/>
      <c r="G1649" s="684"/>
      <c r="H1649" s="635"/>
    </row>
    <row r="1650" spans="1:8" ht="12.75" customHeight="1" x14ac:dyDescent="0.25">
      <c r="A1650" s="631">
        <f t="shared" si="25"/>
        <v>1645</v>
      </c>
      <c r="B1650" s="632"/>
      <c r="C1650" s="633"/>
      <c r="D1650" s="634"/>
      <c r="E1650" s="655"/>
      <c r="F1650" s="684"/>
      <c r="G1650" s="684"/>
      <c r="H1650" s="635"/>
    </row>
    <row r="1651" spans="1:8" ht="12.75" customHeight="1" x14ac:dyDescent="0.25">
      <c r="A1651" s="631">
        <f t="shared" si="25"/>
        <v>1646</v>
      </c>
      <c r="B1651" s="632"/>
      <c r="C1651" s="633"/>
      <c r="D1651" s="634"/>
      <c r="E1651" s="655"/>
      <c r="F1651" s="684"/>
      <c r="G1651" s="684"/>
      <c r="H1651" s="635"/>
    </row>
    <row r="1652" spans="1:8" ht="12.75" customHeight="1" x14ac:dyDescent="0.25">
      <c r="A1652" s="631">
        <f t="shared" si="25"/>
        <v>1647</v>
      </c>
      <c r="B1652" s="632"/>
      <c r="C1652" s="633"/>
      <c r="D1652" s="634"/>
      <c r="E1652" s="655"/>
      <c r="F1652" s="684"/>
      <c r="G1652" s="684"/>
      <c r="H1652" s="635"/>
    </row>
    <row r="1653" spans="1:8" ht="12.75" customHeight="1" x14ac:dyDescent="0.25">
      <c r="A1653" s="631">
        <f t="shared" si="25"/>
        <v>1648</v>
      </c>
      <c r="B1653" s="632"/>
      <c r="C1653" s="633"/>
      <c r="D1653" s="634"/>
      <c r="E1653" s="655"/>
      <c r="F1653" s="684"/>
      <c r="G1653" s="684"/>
      <c r="H1653" s="635"/>
    </row>
    <row r="1654" spans="1:8" ht="12.75" customHeight="1" x14ac:dyDescent="0.25">
      <c r="A1654" s="631">
        <f t="shared" si="25"/>
        <v>1649</v>
      </c>
      <c r="B1654" s="632"/>
      <c r="C1654" s="633"/>
      <c r="D1654" s="634"/>
      <c r="E1654" s="655"/>
      <c r="F1654" s="684"/>
      <c r="G1654" s="684"/>
      <c r="H1654" s="635"/>
    </row>
    <row r="1655" spans="1:8" ht="12.75" customHeight="1" x14ac:dyDescent="0.25">
      <c r="A1655" s="631">
        <f t="shared" si="25"/>
        <v>1650</v>
      </c>
      <c r="B1655" s="632"/>
      <c r="C1655" s="633"/>
      <c r="D1655" s="634"/>
      <c r="E1655" s="655"/>
      <c r="F1655" s="684"/>
      <c r="G1655" s="684"/>
      <c r="H1655" s="635"/>
    </row>
    <row r="1656" spans="1:8" ht="12.75" customHeight="1" x14ac:dyDescent="0.25">
      <c r="A1656" s="631">
        <f t="shared" si="25"/>
        <v>1651</v>
      </c>
      <c r="B1656" s="632"/>
      <c r="C1656" s="633"/>
      <c r="D1656" s="634"/>
      <c r="E1656" s="655"/>
      <c r="F1656" s="684"/>
      <c r="G1656" s="684"/>
      <c r="H1656" s="635"/>
    </row>
    <row r="1657" spans="1:8" ht="12.75" customHeight="1" x14ac:dyDescent="0.25">
      <c r="A1657" s="631">
        <f t="shared" si="25"/>
        <v>1652</v>
      </c>
      <c r="B1657" s="632"/>
      <c r="C1657" s="633"/>
      <c r="D1657" s="634"/>
      <c r="E1657" s="655"/>
      <c r="F1657" s="684"/>
      <c r="G1657" s="684"/>
      <c r="H1657" s="635"/>
    </row>
    <row r="1658" spans="1:8" ht="12.75" customHeight="1" x14ac:dyDescent="0.25">
      <c r="A1658" s="631">
        <f t="shared" si="25"/>
        <v>1653</v>
      </c>
      <c r="B1658" s="632"/>
      <c r="C1658" s="633"/>
      <c r="D1658" s="634"/>
      <c r="E1658" s="655"/>
      <c r="F1658" s="684"/>
      <c r="G1658" s="684"/>
      <c r="H1658" s="635"/>
    </row>
    <row r="1659" spans="1:8" ht="12.75" customHeight="1" x14ac:dyDescent="0.25">
      <c r="A1659" s="631">
        <f t="shared" si="25"/>
        <v>1654</v>
      </c>
      <c r="B1659" s="632"/>
      <c r="C1659" s="633"/>
      <c r="D1659" s="634"/>
      <c r="E1659" s="655"/>
      <c r="F1659" s="684"/>
      <c r="G1659" s="684"/>
      <c r="H1659" s="635"/>
    </row>
    <row r="1660" spans="1:8" ht="12.75" customHeight="1" x14ac:dyDescent="0.25">
      <c r="A1660" s="631">
        <f t="shared" si="25"/>
        <v>1655</v>
      </c>
      <c r="B1660" s="632"/>
      <c r="C1660" s="633"/>
      <c r="D1660" s="634"/>
      <c r="E1660" s="655"/>
      <c r="F1660" s="684"/>
      <c r="G1660" s="684"/>
      <c r="H1660" s="635"/>
    </row>
    <row r="1661" spans="1:8" ht="12.75" customHeight="1" x14ac:dyDescent="0.25">
      <c r="A1661" s="631">
        <f t="shared" si="25"/>
        <v>1656</v>
      </c>
      <c r="B1661" s="632"/>
      <c r="C1661" s="633"/>
      <c r="D1661" s="634"/>
      <c r="E1661" s="655"/>
      <c r="F1661" s="684"/>
      <c r="G1661" s="684"/>
      <c r="H1661" s="635"/>
    </row>
    <row r="1662" spans="1:8" ht="12.75" customHeight="1" x14ac:dyDescent="0.25">
      <c r="A1662" s="631">
        <f t="shared" si="25"/>
        <v>1657</v>
      </c>
      <c r="B1662" s="632"/>
      <c r="C1662" s="633"/>
      <c r="D1662" s="634"/>
      <c r="E1662" s="655"/>
      <c r="F1662" s="684"/>
      <c r="G1662" s="684"/>
      <c r="H1662" s="635"/>
    </row>
    <row r="1663" spans="1:8" ht="12.75" customHeight="1" x14ac:dyDescent="0.25">
      <c r="A1663" s="631">
        <f t="shared" si="25"/>
        <v>1658</v>
      </c>
      <c r="B1663" s="632"/>
      <c r="C1663" s="633"/>
      <c r="D1663" s="634"/>
      <c r="E1663" s="655"/>
      <c r="F1663" s="684"/>
      <c r="G1663" s="684"/>
      <c r="H1663" s="635"/>
    </row>
    <row r="1664" spans="1:8" ht="12.75" customHeight="1" x14ac:dyDescent="0.25">
      <c r="A1664" s="631">
        <f t="shared" si="25"/>
        <v>1659</v>
      </c>
      <c r="B1664" s="632"/>
      <c r="C1664" s="633"/>
      <c r="D1664" s="634"/>
      <c r="E1664" s="655"/>
      <c r="F1664" s="684"/>
      <c r="G1664" s="684"/>
      <c r="H1664" s="635"/>
    </row>
    <row r="1665" spans="1:8" ht="12.75" customHeight="1" x14ac:dyDescent="0.25">
      <c r="A1665" s="631">
        <f t="shared" ref="A1665:A1728" si="26">ROW()-5</f>
        <v>1660</v>
      </c>
      <c r="B1665" s="632"/>
      <c r="C1665" s="633"/>
      <c r="D1665" s="634"/>
      <c r="E1665" s="655"/>
      <c r="F1665" s="684"/>
      <c r="G1665" s="684"/>
      <c r="H1665" s="635"/>
    </row>
    <row r="1666" spans="1:8" ht="12.75" customHeight="1" x14ac:dyDescent="0.25">
      <c r="A1666" s="631">
        <f t="shared" si="26"/>
        <v>1661</v>
      </c>
      <c r="B1666" s="632"/>
      <c r="C1666" s="633"/>
      <c r="D1666" s="634"/>
      <c r="E1666" s="655"/>
      <c r="F1666" s="684"/>
      <c r="G1666" s="684"/>
      <c r="H1666" s="635"/>
    </row>
    <row r="1667" spans="1:8" ht="12.75" customHeight="1" x14ac:dyDescent="0.25">
      <c r="A1667" s="631">
        <f t="shared" si="26"/>
        <v>1662</v>
      </c>
      <c r="B1667" s="632"/>
      <c r="C1667" s="633"/>
      <c r="D1667" s="634"/>
      <c r="E1667" s="655"/>
      <c r="F1667" s="684"/>
      <c r="G1667" s="684"/>
      <c r="H1667" s="635"/>
    </row>
    <row r="1668" spans="1:8" ht="12.75" customHeight="1" x14ac:dyDescent="0.25">
      <c r="A1668" s="631">
        <f t="shared" si="26"/>
        <v>1663</v>
      </c>
      <c r="B1668" s="632"/>
      <c r="C1668" s="633"/>
      <c r="D1668" s="634"/>
      <c r="E1668" s="655"/>
      <c r="F1668" s="684"/>
      <c r="G1668" s="684"/>
      <c r="H1668" s="635"/>
    </row>
    <row r="1669" spans="1:8" ht="12.75" customHeight="1" x14ac:dyDescent="0.25">
      <c r="A1669" s="631">
        <f t="shared" si="26"/>
        <v>1664</v>
      </c>
      <c r="B1669" s="632"/>
      <c r="C1669" s="633"/>
      <c r="D1669" s="634"/>
      <c r="E1669" s="655"/>
      <c r="F1669" s="684"/>
      <c r="G1669" s="684"/>
      <c r="H1669" s="635"/>
    </row>
    <row r="1670" spans="1:8" ht="12.75" customHeight="1" x14ac:dyDescent="0.25">
      <c r="A1670" s="631">
        <f t="shared" si="26"/>
        <v>1665</v>
      </c>
      <c r="B1670" s="632"/>
      <c r="C1670" s="633"/>
      <c r="D1670" s="634"/>
      <c r="E1670" s="655"/>
      <c r="F1670" s="684"/>
      <c r="G1670" s="684"/>
      <c r="H1670" s="635"/>
    </row>
    <row r="1671" spans="1:8" ht="12.75" customHeight="1" x14ac:dyDescent="0.25">
      <c r="A1671" s="631">
        <f t="shared" si="26"/>
        <v>1666</v>
      </c>
      <c r="B1671" s="632"/>
      <c r="C1671" s="633"/>
      <c r="D1671" s="634"/>
      <c r="E1671" s="655"/>
      <c r="F1671" s="684"/>
      <c r="G1671" s="684"/>
      <c r="H1671" s="635"/>
    </row>
    <row r="1672" spans="1:8" ht="12.75" customHeight="1" x14ac:dyDescent="0.25">
      <c r="A1672" s="631">
        <f t="shared" si="26"/>
        <v>1667</v>
      </c>
      <c r="B1672" s="632"/>
      <c r="C1672" s="633"/>
      <c r="D1672" s="634"/>
      <c r="E1672" s="655"/>
      <c r="F1672" s="684"/>
      <c r="G1672" s="684"/>
      <c r="H1672" s="635"/>
    </row>
    <row r="1673" spans="1:8" ht="12.75" customHeight="1" x14ac:dyDescent="0.25">
      <c r="A1673" s="631">
        <f t="shared" si="26"/>
        <v>1668</v>
      </c>
      <c r="B1673" s="632"/>
      <c r="C1673" s="633"/>
      <c r="D1673" s="634"/>
      <c r="E1673" s="655"/>
      <c r="F1673" s="684"/>
      <c r="G1673" s="684"/>
      <c r="H1673" s="635"/>
    </row>
    <row r="1674" spans="1:8" ht="12.75" customHeight="1" x14ac:dyDescent="0.25">
      <c r="A1674" s="631">
        <f t="shared" si="26"/>
        <v>1669</v>
      </c>
      <c r="B1674" s="632"/>
      <c r="C1674" s="633"/>
      <c r="D1674" s="634"/>
      <c r="E1674" s="655"/>
      <c r="F1674" s="684"/>
      <c r="G1674" s="684"/>
      <c r="H1674" s="635"/>
    </row>
    <row r="1675" spans="1:8" ht="12.75" customHeight="1" x14ac:dyDescent="0.25">
      <c r="A1675" s="631">
        <f t="shared" si="26"/>
        <v>1670</v>
      </c>
      <c r="B1675" s="632"/>
      <c r="C1675" s="633"/>
      <c r="D1675" s="634"/>
      <c r="E1675" s="655"/>
      <c r="F1675" s="684"/>
      <c r="G1675" s="684"/>
      <c r="H1675" s="635"/>
    </row>
    <row r="1676" spans="1:8" ht="12.75" customHeight="1" x14ac:dyDescent="0.25">
      <c r="A1676" s="631">
        <f t="shared" si="26"/>
        <v>1671</v>
      </c>
      <c r="B1676" s="632"/>
      <c r="C1676" s="633"/>
      <c r="D1676" s="634"/>
      <c r="E1676" s="655"/>
      <c r="F1676" s="684"/>
      <c r="G1676" s="684"/>
      <c r="H1676" s="635"/>
    </row>
    <row r="1677" spans="1:8" ht="12.75" customHeight="1" x14ac:dyDescent="0.25">
      <c r="A1677" s="631">
        <f t="shared" si="26"/>
        <v>1672</v>
      </c>
      <c r="B1677" s="632"/>
      <c r="C1677" s="633"/>
      <c r="D1677" s="634"/>
      <c r="E1677" s="655"/>
      <c r="F1677" s="684"/>
      <c r="G1677" s="684"/>
      <c r="H1677" s="635"/>
    </row>
    <row r="1678" spans="1:8" ht="12.75" customHeight="1" x14ac:dyDescent="0.25">
      <c r="A1678" s="631">
        <f t="shared" si="26"/>
        <v>1673</v>
      </c>
      <c r="B1678" s="632"/>
      <c r="C1678" s="633"/>
      <c r="D1678" s="634"/>
      <c r="E1678" s="655"/>
      <c r="F1678" s="684"/>
      <c r="G1678" s="684"/>
      <c r="H1678" s="635"/>
    </row>
    <row r="1679" spans="1:8" ht="12.75" customHeight="1" x14ac:dyDescent="0.25">
      <c r="A1679" s="631">
        <f t="shared" si="26"/>
        <v>1674</v>
      </c>
      <c r="B1679" s="632"/>
      <c r="C1679" s="633"/>
      <c r="D1679" s="634"/>
      <c r="E1679" s="655"/>
      <c r="F1679" s="684"/>
      <c r="G1679" s="684"/>
      <c r="H1679" s="635"/>
    </row>
    <row r="1680" spans="1:8" ht="12.75" customHeight="1" x14ac:dyDescent="0.25">
      <c r="A1680" s="631">
        <f t="shared" si="26"/>
        <v>1675</v>
      </c>
      <c r="B1680" s="632"/>
      <c r="C1680" s="633"/>
      <c r="D1680" s="634"/>
      <c r="E1680" s="655"/>
      <c r="F1680" s="684"/>
      <c r="G1680" s="684"/>
      <c r="H1680" s="635"/>
    </row>
    <row r="1681" spans="1:8" ht="12.75" customHeight="1" x14ac:dyDescent="0.25">
      <c r="A1681" s="631">
        <f t="shared" si="26"/>
        <v>1676</v>
      </c>
      <c r="B1681" s="632"/>
      <c r="C1681" s="633"/>
      <c r="D1681" s="634"/>
      <c r="E1681" s="655"/>
      <c r="F1681" s="684"/>
      <c r="G1681" s="684"/>
      <c r="H1681" s="635"/>
    </row>
    <row r="1682" spans="1:8" ht="12.75" customHeight="1" x14ac:dyDescent="0.25">
      <c r="A1682" s="631">
        <f t="shared" si="26"/>
        <v>1677</v>
      </c>
      <c r="B1682" s="632"/>
      <c r="C1682" s="633"/>
      <c r="D1682" s="634"/>
      <c r="E1682" s="655"/>
      <c r="F1682" s="684"/>
      <c r="G1682" s="684"/>
      <c r="H1682" s="635"/>
    </row>
    <row r="1683" spans="1:8" ht="12.75" customHeight="1" x14ac:dyDescent="0.25">
      <c r="A1683" s="631">
        <f t="shared" si="26"/>
        <v>1678</v>
      </c>
      <c r="B1683" s="632"/>
      <c r="C1683" s="633"/>
      <c r="D1683" s="634"/>
      <c r="E1683" s="655"/>
      <c r="F1683" s="684"/>
      <c r="G1683" s="684"/>
      <c r="H1683" s="635"/>
    </row>
    <row r="1684" spans="1:8" ht="12.75" customHeight="1" x14ac:dyDescent="0.25">
      <c r="A1684" s="631">
        <f t="shared" si="26"/>
        <v>1679</v>
      </c>
      <c r="B1684" s="632"/>
      <c r="C1684" s="633"/>
      <c r="D1684" s="634"/>
      <c r="E1684" s="655"/>
      <c r="F1684" s="684"/>
      <c r="G1684" s="684"/>
      <c r="H1684" s="635"/>
    </row>
    <row r="1685" spans="1:8" ht="12.75" customHeight="1" x14ac:dyDescent="0.25">
      <c r="A1685" s="631">
        <f t="shared" si="26"/>
        <v>1680</v>
      </c>
      <c r="B1685" s="632"/>
      <c r="C1685" s="633"/>
      <c r="D1685" s="634"/>
      <c r="E1685" s="655"/>
      <c r="F1685" s="684"/>
      <c r="G1685" s="684"/>
      <c r="H1685" s="635"/>
    </row>
    <row r="1686" spans="1:8" ht="12.75" customHeight="1" x14ac:dyDescent="0.25">
      <c r="A1686" s="631">
        <f t="shared" si="26"/>
        <v>1681</v>
      </c>
      <c r="B1686" s="632"/>
      <c r="C1686" s="633"/>
      <c r="D1686" s="634"/>
      <c r="E1686" s="655"/>
      <c r="F1686" s="684"/>
      <c r="G1686" s="684"/>
      <c r="H1686" s="635"/>
    </row>
    <row r="1687" spans="1:8" ht="12.75" customHeight="1" x14ac:dyDescent="0.25">
      <c r="A1687" s="631">
        <f t="shared" si="26"/>
        <v>1682</v>
      </c>
      <c r="B1687" s="632"/>
      <c r="C1687" s="633"/>
      <c r="D1687" s="634"/>
      <c r="E1687" s="655"/>
      <c r="F1687" s="684"/>
      <c r="G1687" s="684"/>
      <c r="H1687" s="635"/>
    </row>
    <row r="1688" spans="1:8" ht="12.75" customHeight="1" x14ac:dyDescent="0.25">
      <c r="A1688" s="631">
        <f t="shared" si="26"/>
        <v>1683</v>
      </c>
      <c r="B1688" s="632"/>
      <c r="C1688" s="633"/>
      <c r="D1688" s="634"/>
      <c r="E1688" s="655"/>
      <c r="F1688" s="684"/>
      <c r="G1688" s="684"/>
      <c r="H1688" s="635"/>
    </row>
    <row r="1689" spans="1:8" ht="12.75" customHeight="1" x14ac:dyDescent="0.25">
      <c r="A1689" s="631">
        <f t="shared" si="26"/>
        <v>1684</v>
      </c>
      <c r="B1689" s="632"/>
      <c r="C1689" s="633"/>
      <c r="D1689" s="634"/>
      <c r="E1689" s="655"/>
      <c r="F1689" s="684"/>
      <c r="G1689" s="684"/>
      <c r="H1689" s="635"/>
    </row>
    <row r="1690" spans="1:8" ht="12.75" customHeight="1" x14ac:dyDescent="0.25">
      <c r="A1690" s="631">
        <f t="shared" si="26"/>
        <v>1685</v>
      </c>
      <c r="B1690" s="632"/>
      <c r="C1690" s="633"/>
      <c r="D1690" s="634"/>
      <c r="E1690" s="655"/>
      <c r="F1690" s="684"/>
      <c r="G1690" s="684"/>
      <c r="H1690" s="635"/>
    </row>
    <row r="1691" spans="1:8" ht="12.75" customHeight="1" x14ac:dyDescent="0.25">
      <c r="A1691" s="631">
        <f t="shared" si="26"/>
        <v>1686</v>
      </c>
      <c r="B1691" s="632"/>
      <c r="C1691" s="633"/>
      <c r="D1691" s="634"/>
      <c r="E1691" s="655"/>
      <c r="F1691" s="684"/>
      <c r="G1691" s="684"/>
      <c r="H1691" s="635"/>
    </row>
    <row r="1692" spans="1:8" ht="12.75" customHeight="1" x14ac:dyDescent="0.25">
      <c r="A1692" s="631">
        <f t="shared" si="26"/>
        <v>1687</v>
      </c>
      <c r="B1692" s="632"/>
      <c r="C1692" s="633"/>
      <c r="D1692" s="634"/>
      <c r="E1692" s="655"/>
      <c r="F1692" s="684"/>
      <c r="G1692" s="684"/>
      <c r="H1692" s="635"/>
    </row>
    <row r="1693" spans="1:8" ht="12.75" customHeight="1" x14ac:dyDescent="0.25">
      <c r="A1693" s="631">
        <f t="shared" si="26"/>
        <v>1688</v>
      </c>
      <c r="B1693" s="632"/>
      <c r="C1693" s="633"/>
      <c r="D1693" s="634"/>
      <c r="E1693" s="655"/>
      <c r="F1693" s="684"/>
      <c r="G1693" s="684"/>
      <c r="H1693" s="635"/>
    </row>
    <row r="1694" spans="1:8" ht="12.75" customHeight="1" x14ac:dyDescent="0.25">
      <c r="A1694" s="631">
        <f t="shared" si="26"/>
        <v>1689</v>
      </c>
      <c r="B1694" s="632"/>
      <c r="C1694" s="633"/>
      <c r="D1694" s="634"/>
      <c r="E1694" s="655"/>
      <c r="F1694" s="684"/>
      <c r="G1694" s="684"/>
      <c r="H1694" s="635"/>
    </row>
    <row r="1695" spans="1:8" ht="12.75" customHeight="1" x14ac:dyDescent="0.25">
      <c r="A1695" s="631">
        <f t="shared" si="26"/>
        <v>1690</v>
      </c>
      <c r="B1695" s="632"/>
      <c r="C1695" s="633"/>
      <c r="D1695" s="634"/>
      <c r="E1695" s="655"/>
      <c r="F1695" s="684"/>
      <c r="G1695" s="684"/>
      <c r="H1695" s="635"/>
    </row>
    <row r="1696" spans="1:8" ht="12.75" customHeight="1" x14ac:dyDescent="0.25">
      <c r="A1696" s="631">
        <f t="shared" si="26"/>
        <v>1691</v>
      </c>
      <c r="B1696" s="632"/>
      <c r="C1696" s="633"/>
      <c r="D1696" s="634"/>
      <c r="E1696" s="655"/>
      <c r="F1696" s="684"/>
      <c r="G1696" s="684"/>
      <c r="H1696" s="635"/>
    </row>
    <row r="1697" spans="1:8" ht="12.75" customHeight="1" x14ac:dyDescent="0.25">
      <c r="A1697" s="631">
        <f t="shared" si="26"/>
        <v>1692</v>
      </c>
      <c r="B1697" s="632"/>
      <c r="C1697" s="633"/>
      <c r="D1697" s="634"/>
      <c r="E1697" s="655"/>
      <c r="F1697" s="684"/>
      <c r="G1697" s="684"/>
      <c r="H1697" s="635"/>
    </row>
    <row r="1698" spans="1:8" ht="12.75" customHeight="1" x14ac:dyDescent="0.25">
      <c r="A1698" s="631">
        <f t="shared" si="26"/>
        <v>1693</v>
      </c>
      <c r="B1698" s="632"/>
      <c r="C1698" s="633"/>
      <c r="D1698" s="634"/>
      <c r="E1698" s="655"/>
      <c r="F1698" s="684"/>
      <c r="G1698" s="684"/>
      <c r="H1698" s="635"/>
    </row>
    <row r="1699" spans="1:8" ht="12.75" customHeight="1" x14ac:dyDescent="0.25">
      <c r="A1699" s="631">
        <f t="shared" si="26"/>
        <v>1694</v>
      </c>
      <c r="B1699" s="632"/>
      <c r="C1699" s="633"/>
      <c r="D1699" s="634"/>
      <c r="E1699" s="655"/>
      <c r="F1699" s="684"/>
      <c r="G1699" s="684"/>
      <c r="H1699" s="635"/>
    </row>
    <row r="1700" spans="1:8" ht="12.75" customHeight="1" x14ac:dyDescent="0.25">
      <c r="A1700" s="631">
        <f t="shared" si="26"/>
        <v>1695</v>
      </c>
      <c r="B1700" s="632"/>
      <c r="C1700" s="633"/>
      <c r="D1700" s="634"/>
      <c r="E1700" s="655"/>
      <c r="F1700" s="684"/>
      <c r="G1700" s="684"/>
      <c r="H1700" s="635"/>
    </row>
    <row r="1701" spans="1:8" ht="12.75" customHeight="1" x14ac:dyDescent="0.25">
      <c r="A1701" s="631">
        <f t="shared" si="26"/>
        <v>1696</v>
      </c>
      <c r="B1701" s="632"/>
      <c r="C1701" s="633"/>
      <c r="D1701" s="634"/>
      <c r="E1701" s="655"/>
      <c r="F1701" s="684"/>
      <c r="G1701" s="684"/>
      <c r="H1701" s="635"/>
    </row>
    <row r="1702" spans="1:8" ht="12.75" customHeight="1" x14ac:dyDescent="0.25">
      <c r="A1702" s="631">
        <f t="shared" si="26"/>
        <v>1697</v>
      </c>
      <c r="B1702" s="632"/>
      <c r="C1702" s="633"/>
      <c r="D1702" s="634"/>
      <c r="E1702" s="655"/>
      <c r="F1702" s="684"/>
      <c r="G1702" s="684"/>
      <c r="H1702" s="635"/>
    </row>
    <row r="1703" spans="1:8" ht="12.75" customHeight="1" x14ac:dyDescent="0.25">
      <c r="A1703" s="631">
        <f t="shared" si="26"/>
        <v>1698</v>
      </c>
      <c r="B1703" s="632"/>
      <c r="C1703" s="633"/>
      <c r="D1703" s="634"/>
      <c r="E1703" s="655"/>
      <c r="F1703" s="684"/>
      <c r="G1703" s="684"/>
      <c r="H1703" s="635"/>
    </row>
    <row r="1704" spans="1:8" ht="12.75" customHeight="1" x14ac:dyDescent="0.25">
      <c r="A1704" s="631">
        <f t="shared" si="26"/>
        <v>1699</v>
      </c>
      <c r="B1704" s="632"/>
      <c r="C1704" s="633"/>
      <c r="D1704" s="634"/>
      <c r="E1704" s="655"/>
      <c r="F1704" s="684"/>
      <c r="G1704" s="684"/>
      <c r="H1704" s="635"/>
    </row>
    <row r="1705" spans="1:8" ht="12.75" customHeight="1" x14ac:dyDescent="0.25">
      <c r="A1705" s="631">
        <f t="shared" si="26"/>
        <v>1700</v>
      </c>
      <c r="B1705" s="632"/>
      <c r="C1705" s="633"/>
      <c r="D1705" s="634"/>
      <c r="E1705" s="655"/>
      <c r="F1705" s="684"/>
      <c r="G1705" s="684"/>
      <c r="H1705" s="635"/>
    </row>
    <row r="1706" spans="1:8" ht="12.75" customHeight="1" x14ac:dyDescent="0.25">
      <c r="A1706" s="631">
        <f t="shared" si="26"/>
        <v>1701</v>
      </c>
      <c r="B1706" s="632"/>
      <c r="C1706" s="633"/>
      <c r="D1706" s="634"/>
      <c r="E1706" s="655"/>
      <c r="F1706" s="684"/>
      <c r="G1706" s="684"/>
      <c r="H1706" s="635"/>
    </row>
    <row r="1707" spans="1:8" ht="12.75" customHeight="1" x14ac:dyDescent="0.25">
      <c r="A1707" s="631">
        <f t="shared" si="26"/>
        <v>1702</v>
      </c>
      <c r="B1707" s="632"/>
      <c r="C1707" s="633"/>
      <c r="D1707" s="634"/>
      <c r="E1707" s="655"/>
      <c r="F1707" s="684"/>
      <c r="G1707" s="684"/>
      <c r="H1707" s="635"/>
    </row>
    <row r="1708" spans="1:8" ht="12.75" customHeight="1" x14ac:dyDescent="0.25">
      <c r="A1708" s="631">
        <f t="shared" si="26"/>
        <v>1703</v>
      </c>
      <c r="B1708" s="632"/>
      <c r="C1708" s="633"/>
      <c r="D1708" s="634"/>
      <c r="E1708" s="655"/>
      <c r="F1708" s="684"/>
      <c r="G1708" s="684"/>
      <c r="H1708" s="635"/>
    </row>
    <row r="1709" spans="1:8" ht="12.75" customHeight="1" x14ac:dyDescent="0.25">
      <c r="A1709" s="631">
        <f t="shared" si="26"/>
        <v>1704</v>
      </c>
      <c r="B1709" s="632"/>
      <c r="C1709" s="633"/>
      <c r="D1709" s="634"/>
      <c r="E1709" s="655"/>
      <c r="F1709" s="684"/>
      <c r="G1709" s="684"/>
      <c r="H1709" s="635"/>
    </row>
    <row r="1710" spans="1:8" ht="12.75" customHeight="1" x14ac:dyDescent="0.25">
      <c r="A1710" s="631">
        <f t="shared" si="26"/>
        <v>1705</v>
      </c>
      <c r="B1710" s="632"/>
      <c r="C1710" s="633"/>
      <c r="D1710" s="634"/>
      <c r="E1710" s="655"/>
      <c r="F1710" s="684"/>
      <c r="G1710" s="684"/>
      <c r="H1710" s="635"/>
    </row>
    <row r="1711" spans="1:8" ht="12.75" customHeight="1" x14ac:dyDescent="0.25">
      <c r="A1711" s="631">
        <f t="shared" si="26"/>
        <v>1706</v>
      </c>
      <c r="B1711" s="632"/>
      <c r="C1711" s="633"/>
      <c r="D1711" s="634"/>
      <c r="E1711" s="655"/>
      <c r="F1711" s="684"/>
      <c r="G1711" s="684"/>
      <c r="H1711" s="635"/>
    </row>
    <row r="1712" spans="1:8" ht="12.75" customHeight="1" x14ac:dyDescent="0.25">
      <c r="A1712" s="631">
        <f t="shared" si="26"/>
        <v>1707</v>
      </c>
      <c r="B1712" s="632"/>
      <c r="C1712" s="633"/>
      <c r="D1712" s="634"/>
      <c r="E1712" s="655"/>
      <c r="F1712" s="684"/>
      <c r="G1712" s="684"/>
      <c r="H1712" s="635"/>
    </row>
    <row r="1713" spans="1:8" ht="12.75" customHeight="1" x14ac:dyDescent="0.25">
      <c r="A1713" s="631">
        <f t="shared" si="26"/>
        <v>1708</v>
      </c>
      <c r="B1713" s="632"/>
      <c r="C1713" s="633"/>
      <c r="D1713" s="634"/>
      <c r="E1713" s="655"/>
      <c r="F1713" s="684"/>
      <c r="G1713" s="684"/>
      <c r="H1713" s="635"/>
    </row>
    <row r="1714" spans="1:8" ht="12.75" customHeight="1" x14ac:dyDescent="0.25">
      <c r="A1714" s="631">
        <f t="shared" si="26"/>
        <v>1709</v>
      </c>
      <c r="B1714" s="632"/>
      <c r="C1714" s="633"/>
      <c r="D1714" s="634"/>
      <c r="E1714" s="655"/>
      <c r="F1714" s="684"/>
      <c r="G1714" s="684"/>
      <c r="H1714" s="635"/>
    </row>
    <row r="1715" spans="1:8" ht="12.75" customHeight="1" x14ac:dyDescent="0.25">
      <c r="A1715" s="631">
        <f t="shared" si="26"/>
        <v>1710</v>
      </c>
      <c r="B1715" s="632"/>
      <c r="C1715" s="633"/>
      <c r="D1715" s="634"/>
      <c r="E1715" s="655"/>
      <c r="F1715" s="684"/>
      <c r="G1715" s="684"/>
      <c r="H1715" s="635"/>
    </row>
    <row r="1716" spans="1:8" ht="12.75" customHeight="1" x14ac:dyDescent="0.25">
      <c r="A1716" s="631">
        <f t="shared" si="26"/>
        <v>1711</v>
      </c>
      <c r="B1716" s="632"/>
      <c r="C1716" s="633"/>
      <c r="D1716" s="634"/>
      <c r="E1716" s="655"/>
      <c r="F1716" s="684"/>
      <c r="G1716" s="684"/>
      <c r="H1716" s="635"/>
    </row>
    <row r="1717" spans="1:8" ht="12.75" customHeight="1" x14ac:dyDescent="0.25">
      <c r="A1717" s="631">
        <f t="shared" si="26"/>
        <v>1712</v>
      </c>
      <c r="B1717" s="632"/>
      <c r="C1717" s="633"/>
      <c r="D1717" s="634"/>
      <c r="E1717" s="655"/>
      <c r="F1717" s="684"/>
      <c r="G1717" s="684"/>
      <c r="H1717" s="635"/>
    </row>
    <row r="1718" spans="1:8" ht="12.75" customHeight="1" x14ac:dyDescent="0.25">
      <c r="A1718" s="631">
        <f t="shared" si="26"/>
        <v>1713</v>
      </c>
      <c r="B1718" s="632"/>
      <c r="C1718" s="633"/>
      <c r="D1718" s="634"/>
      <c r="E1718" s="655"/>
      <c r="F1718" s="684"/>
      <c r="G1718" s="684"/>
      <c r="H1718" s="635"/>
    </row>
    <row r="1719" spans="1:8" ht="12.75" customHeight="1" x14ac:dyDescent="0.25">
      <c r="A1719" s="631">
        <f t="shared" si="26"/>
        <v>1714</v>
      </c>
      <c r="B1719" s="632"/>
      <c r="C1719" s="633"/>
      <c r="D1719" s="634"/>
      <c r="E1719" s="655"/>
      <c r="F1719" s="684"/>
      <c r="G1719" s="684"/>
      <c r="H1719" s="635"/>
    </row>
    <row r="1720" spans="1:8" ht="12.75" customHeight="1" x14ac:dyDescent="0.25">
      <c r="A1720" s="631">
        <f t="shared" si="26"/>
        <v>1715</v>
      </c>
      <c r="B1720" s="632"/>
      <c r="C1720" s="633"/>
      <c r="D1720" s="634"/>
      <c r="E1720" s="655"/>
      <c r="F1720" s="684"/>
      <c r="G1720" s="684"/>
      <c r="H1720" s="635"/>
    </row>
    <row r="1721" spans="1:8" ht="12.75" customHeight="1" x14ac:dyDescent="0.25">
      <c r="A1721" s="631">
        <f t="shared" si="26"/>
        <v>1716</v>
      </c>
      <c r="B1721" s="632"/>
      <c r="C1721" s="633"/>
      <c r="D1721" s="634"/>
      <c r="E1721" s="655"/>
      <c r="F1721" s="684"/>
      <c r="G1721" s="684"/>
      <c r="H1721" s="635"/>
    </row>
    <row r="1722" spans="1:8" ht="12.75" customHeight="1" x14ac:dyDescent="0.25">
      <c r="A1722" s="631">
        <f t="shared" si="26"/>
        <v>1717</v>
      </c>
      <c r="B1722" s="632"/>
      <c r="C1722" s="633"/>
      <c r="D1722" s="634"/>
      <c r="E1722" s="655"/>
      <c r="F1722" s="684"/>
      <c r="G1722" s="684"/>
      <c r="H1722" s="635"/>
    </row>
    <row r="1723" spans="1:8" ht="12.75" customHeight="1" x14ac:dyDescent="0.25">
      <c r="A1723" s="631">
        <f t="shared" si="26"/>
        <v>1718</v>
      </c>
      <c r="B1723" s="632"/>
      <c r="C1723" s="633"/>
      <c r="D1723" s="634"/>
      <c r="E1723" s="655"/>
      <c r="F1723" s="684"/>
      <c r="G1723" s="684"/>
      <c r="H1723" s="635"/>
    </row>
    <row r="1724" spans="1:8" ht="12.75" customHeight="1" x14ac:dyDescent="0.25">
      <c r="A1724" s="631">
        <f t="shared" si="26"/>
        <v>1719</v>
      </c>
      <c r="B1724" s="632"/>
      <c r="C1724" s="633"/>
      <c r="D1724" s="634"/>
      <c r="E1724" s="655"/>
      <c r="F1724" s="684"/>
      <c r="G1724" s="684"/>
      <c r="H1724" s="635"/>
    </row>
    <row r="1725" spans="1:8" ht="12.75" customHeight="1" x14ac:dyDescent="0.25">
      <c r="A1725" s="631">
        <f t="shared" si="26"/>
        <v>1720</v>
      </c>
      <c r="B1725" s="632"/>
      <c r="C1725" s="633"/>
      <c r="D1725" s="634"/>
      <c r="E1725" s="655"/>
      <c r="F1725" s="684"/>
      <c r="G1725" s="684"/>
      <c r="H1725" s="635"/>
    </row>
    <row r="1726" spans="1:8" ht="12.75" customHeight="1" x14ac:dyDescent="0.25">
      <c r="A1726" s="631">
        <f t="shared" si="26"/>
        <v>1721</v>
      </c>
      <c r="B1726" s="632"/>
      <c r="C1726" s="633"/>
      <c r="D1726" s="634"/>
      <c r="E1726" s="655"/>
      <c r="F1726" s="684"/>
      <c r="G1726" s="684"/>
      <c r="H1726" s="635"/>
    </row>
    <row r="1727" spans="1:8" ht="12.75" customHeight="1" x14ac:dyDescent="0.25">
      <c r="A1727" s="631">
        <f t="shared" si="26"/>
        <v>1722</v>
      </c>
      <c r="B1727" s="632"/>
      <c r="C1727" s="633"/>
      <c r="D1727" s="634"/>
      <c r="E1727" s="655"/>
      <c r="F1727" s="684"/>
      <c r="G1727" s="684"/>
      <c r="H1727" s="635"/>
    </row>
    <row r="1728" spans="1:8" ht="12.75" customHeight="1" x14ac:dyDescent="0.25">
      <c r="A1728" s="631">
        <f t="shared" si="26"/>
        <v>1723</v>
      </c>
      <c r="B1728" s="632"/>
      <c r="C1728" s="633"/>
      <c r="D1728" s="634"/>
      <c r="E1728" s="655"/>
      <c r="F1728" s="684"/>
      <c r="G1728" s="684"/>
      <c r="H1728" s="635"/>
    </row>
    <row r="1729" spans="1:8" ht="12.75" customHeight="1" x14ac:dyDescent="0.25">
      <c r="A1729" s="631">
        <f t="shared" ref="A1729:A1792" si="27">ROW()-5</f>
        <v>1724</v>
      </c>
      <c r="B1729" s="632"/>
      <c r="C1729" s="633"/>
      <c r="D1729" s="634"/>
      <c r="E1729" s="655"/>
      <c r="F1729" s="684"/>
      <c r="G1729" s="684"/>
      <c r="H1729" s="635"/>
    </row>
    <row r="1730" spans="1:8" ht="12.75" customHeight="1" x14ac:dyDescent="0.25">
      <c r="A1730" s="631">
        <f t="shared" si="27"/>
        <v>1725</v>
      </c>
      <c r="B1730" s="632"/>
      <c r="C1730" s="633"/>
      <c r="D1730" s="634"/>
      <c r="E1730" s="655"/>
      <c r="F1730" s="684"/>
      <c r="G1730" s="684"/>
      <c r="H1730" s="635"/>
    </row>
    <row r="1731" spans="1:8" ht="12.75" customHeight="1" x14ac:dyDescent="0.25">
      <c r="A1731" s="631">
        <f t="shared" si="27"/>
        <v>1726</v>
      </c>
      <c r="B1731" s="632"/>
      <c r="C1731" s="633"/>
      <c r="D1731" s="634"/>
      <c r="E1731" s="655"/>
      <c r="F1731" s="684"/>
      <c r="G1731" s="684"/>
      <c r="H1731" s="635"/>
    </row>
    <row r="1732" spans="1:8" ht="12.75" customHeight="1" x14ac:dyDescent="0.25">
      <c r="A1732" s="631">
        <f t="shared" si="27"/>
        <v>1727</v>
      </c>
      <c r="B1732" s="632"/>
      <c r="C1732" s="633"/>
      <c r="D1732" s="634"/>
      <c r="E1732" s="655"/>
      <c r="F1732" s="684"/>
      <c r="G1732" s="684"/>
      <c r="H1732" s="635"/>
    </row>
    <row r="1733" spans="1:8" ht="12.75" customHeight="1" x14ac:dyDescent="0.25">
      <c r="A1733" s="631">
        <f t="shared" si="27"/>
        <v>1728</v>
      </c>
      <c r="B1733" s="632"/>
      <c r="C1733" s="633"/>
      <c r="D1733" s="634"/>
      <c r="E1733" s="655"/>
      <c r="F1733" s="684"/>
      <c r="G1733" s="684"/>
      <c r="H1733" s="635"/>
    </row>
    <row r="1734" spans="1:8" ht="12.75" customHeight="1" x14ac:dyDescent="0.25">
      <c r="A1734" s="631">
        <f t="shared" si="27"/>
        <v>1729</v>
      </c>
      <c r="B1734" s="632"/>
      <c r="C1734" s="633"/>
      <c r="D1734" s="634"/>
      <c r="E1734" s="655"/>
      <c r="F1734" s="684"/>
      <c r="G1734" s="684"/>
      <c r="H1734" s="635"/>
    </row>
    <row r="1735" spans="1:8" ht="12.75" customHeight="1" x14ac:dyDescent="0.25">
      <c r="A1735" s="631">
        <f t="shared" si="27"/>
        <v>1730</v>
      </c>
      <c r="B1735" s="632"/>
      <c r="C1735" s="633"/>
      <c r="D1735" s="634"/>
      <c r="E1735" s="655"/>
      <c r="F1735" s="684"/>
      <c r="G1735" s="684"/>
      <c r="H1735" s="635"/>
    </row>
    <row r="1736" spans="1:8" ht="12.75" customHeight="1" x14ac:dyDescent="0.25">
      <c r="A1736" s="631">
        <f t="shared" si="27"/>
        <v>1731</v>
      </c>
      <c r="B1736" s="632"/>
      <c r="C1736" s="633"/>
      <c r="D1736" s="634"/>
      <c r="E1736" s="655"/>
      <c r="F1736" s="684"/>
      <c r="G1736" s="684"/>
      <c r="H1736" s="635"/>
    </row>
    <row r="1737" spans="1:8" ht="12.75" customHeight="1" x14ac:dyDescent="0.25">
      <c r="A1737" s="631">
        <f t="shared" si="27"/>
        <v>1732</v>
      </c>
      <c r="B1737" s="632"/>
      <c r="C1737" s="633"/>
      <c r="D1737" s="634"/>
      <c r="E1737" s="655"/>
      <c r="F1737" s="684"/>
      <c r="G1737" s="684"/>
      <c r="H1737" s="635"/>
    </row>
    <row r="1738" spans="1:8" ht="12.75" customHeight="1" x14ac:dyDescent="0.25">
      <c r="A1738" s="631">
        <f t="shared" si="27"/>
        <v>1733</v>
      </c>
      <c r="B1738" s="632"/>
      <c r="C1738" s="633"/>
      <c r="D1738" s="634"/>
      <c r="E1738" s="655"/>
      <c r="F1738" s="684"/>
      <c r="G1738" s="684"/>
      <c r="H1738" s="635"/>
    </row>
    <row r="1739" spans="1:8" ht="12.75" customHeight="1" x14ac:dyDescent="0.25">
      <c r="A1739" s="631">
        <f t="shared" si="27"/>
        <v>1734</v>
      </c>
      <c r="B1739" s="632"/>
      <c r="C1739" s="633"/>
      <c r="D1739" s="634"/>
      <c r="E1739" s="655"/>
      <c r="F1739" s="684"/>
      <c r="G1739" s="684"/>
      <c r="H1739" s="635"/>
    </row>
    <row r="1740" spans="1:8" ht="12.75" customHeight="1" x14ac:dyDescent="0.25">
      <c r="A1740" s="631">
        <f t="shared" si="27"/>
        <v>1735</v>
      </c>
      <c r="B1740" s="632"/>
      <c r="C1740" s="633"/>
      <c r="D1740" s="634"/>
      <c r="E1740" s="655"/>
      <c r="F1740" s="684"/>
      <c r="G1740" s="684"/>
      <c r="H1740" s="635"/>
    </row>
    <row r="1741" spans="1:8" ht="12.75" customHeight="1" x14ac:dyDescent="0.25">
      <c r="A1741" s="631">
        <f t="shared" si="27"/>
        <v>1736</v>
      </c>
      <c r="B1741" s="632"/>
      <c r="C1741" s="633"/>
      <c r="D1741" s="634"/>
      <c r="E1741" s="655"/>
      <c r="F1741" s="684"/>
      <c r="G1741" s="684"/>
      <c r="H1741" s="635"/>
    </row>
    <row r="1742" spans="1:8" ht="12.75" customHeight="1" x14ac:dyDescent="0.25">
      <c r="A1742" s="631">
        <f t="shared" si="27"/>
        <v>1737</v>
      </c>
      <c r="B1742" s="632"/>
      <c r="C1742" s="633"/>
      <c r="D1742" s="634"/>
      <c r="E1742" s="655"/>
      <c r="F1742" s="684"/>
      <c r="G1742" s="684"/>
      <c r="H1742" s="635"/>
    </row>
    <row r="1743" spans="1:8" ht="12.75" customHeight="1" x14ac:dyDescent="0.25">
      <c r="A1743" s="631">
        <f t="shared" si="27"/>
        <v>1738</v>
      </c>
      <c r="B1743" s="632"/>
      <c r="C1743" s="633"/>
      <c r="D1743" s="634"/>
      <c r="E1743" s="655"/>
      <c r="F1743" s="684"/>
      <c r="G1743" s="684"/>
      <c r="H1743" s="635"/>
    </row>
    <row r="1744" spans="1:8" ht="12.75" customHeight="1" x14ac:dyDescent="0.25">
      <c r="A1744" s="631">
        <f t="shared" si="27"/>
        <v>1739</v>
      </c>
      <c r="B1744" s="632"/>
      <c r="C1744" s="633"/>
      <c r="D1744" s="634"/>
      <c r="E1744" s="655"/>
      <c r="F1744" s="684"/>
      <c r="G1744" s="684"/>
      <c r="H1744" s="635"/>
    </row>
    <row r="1745" spans="1:8" ht="12.75" customHeight="1" x14ac:dyDescent="0.25">
      <c r="A1745" s="631">
        <f t="shared" si="27"/>
        <v>1740</v>
      </c>
      <c r="B1745" s="632"/>
      <c r="C1745" s="633"/>
      <c r="D1745" s="634"/>
      <c r="E1745" s="655"/>
      <c r="F1745" s="684"/>
      <c r="G1745" s="684"/>
      <c r="H1745" s="635"/>
    </row>
    <row r="1746" spans="1:8" ht="12.75" customHeight="1" x14ac:dyDescent="0.25">
      <c r="A1746" s="631">
        <f t="shared" si="27"/>
        <v>1741</v>
      </c>
      <c r="B1746" s="632"/>
      <c r="C1746" s="633"/>
      <c r="D1746" s="634"/>
      <c r="E1746" s="655"/>
      <c r="F1746" s="684"/>
      <c r="G1746" s="684"/>
      <c r="H1746" s="635"/>
    </row>
    <row r="1747" spans="1:8" ht="12.75" customHeight="1" x14ac:dyDescent="0.25">
      <c r="A1747" s="631">
        <f t="shared" si="27"/>
        <v>1742</v>
      </c>
      <c r="B1747" s="632"/>
      <c r="C1747" s="633"/>
      <c r="D1747" s="634"/>
      <c r="E1747" s="655"/>
      <c r="F1747" s="684"/>
      <c r="G1747" s="684"/>
      <c r="H1747" s="635"/>
    </row>
    <row r="1748" spans="1:8" ht="12.75" customHeight="1" x14ac:dyDescent="0.25">
      <c r="A1748" s="631">
        <f t="shared" si="27"/>
        <v>1743</v>
      </c>
      <c r="B1748" s="632"/>
      <c r="C1748" s="633"/>
      <c r="D1748" s="634"/>
      <c r="E1748" s="655"/>
      <c r="F1748" s="684"/>
      <c r="G1748" s="684"/>
      <c r="H1748" s="635"/>
    </row>
    <row r="1749" spans="1:8" ht="12.75" customHeight="1" x14ac:dyDescent="0.25">
      <c r="A1749" s="631">
        <f t="shared" si="27"/>
        <v>1744</v>
      </c>
      <c r="B1749" s="632"/>
      <c r="C1749" s="633"/>
      <c r="D1749" s="634"/>
      <c r="E1749" s="655"/>
      <c r="F1749" s="684"/>
      <c r="G1749" s="684"/>
      <c r="H1749" s="635"/>
    </row>
    <row r="1750" spans="1:8" ht="12.75" customHeight="1" x14ac:dyDescent="0.25">
      <c r="A1750" s="631">
        <f t="shared" si="27"/>
        <v>1745</v>
      </c>
      <c r="B1750" s="632"/>
      <c r="C1750" s="633"/>
      <c r="D1750" s="634"/>
      <c r="E1750" s="655"/>
      <c r="F1750" s="684"/>
      <c r="G1750" s="684"/>
      <c r="H1750" s="635"/>
    </row>
    <row r="1751" spans="1:8" ht="12.75" customHeight="1" x14ac:dyDescent="0.25">
      <c r="A1751" s="631">
        <f t="shared" si="27"/>
        <v>1746</v>
      </c>
      <c r="B1751" s="632"/>
      <c r="C1751" s="633"/>
      <c r="D1751" s="634"/>
      <c r="E1751" s="655"/>
      <c r="F1751" s="684"/>
      <c r="G1751" s="684"/>
      <c r="H1751" s="635"/>
    </row>
    <row r="1752" spans="1:8" ht="12.75" customHeight="1" x14ac:dyDescent="0.25">
      <c r="A1752" s="631">
        <f t="shared" si="27"/>
        <v>1747</v>
      </c>
      <c r="B1752" s="632"/>
      <c r="C1752" s="633"/>
      <c r="D1752" s="634"/>
      <c r="E1752" s="655"/>
      <c r="F1752" s="684"/>
      <c r="G1752" s="684"/>
      <c r="H1752" s="635"/>
    </row>
    <row r="1753" spans="1:8" ht="12.75" customHeight="1" x14ac:dyDescent="0.25">
      <c r="A1753" s="631">
        <f t="shared" si="27"/>
        <v>1748</v>
      </c>
      <c r="B1753" s="632"/>
      <c r="C1753" s="633"/>
      <c r="D1753" s="634"/>
      <c r="E1753" s="655"/>
      <c r="F1753" s="684"/>
      <c r="G1753" s="684"/>
      <c r="H1753" s="635"/>
    </row>
    <row r="1754" spans="1:8" ht="12.75" customHeight="1" x14ac:dyDescent="0.25">
      <c r="A1754" s="631">
        <f t="shared" si="27"/>
        <v>1749</v>
      </c>
      <c r="B1754" s="632"/>
      <c r="C1754" s="633"/>
      <c r="D1754" s="634"/>
      <c r="E1754" s="655"/>
      <c r="F1754" s="684"/>
      <c r="G1754" s="684"/>
      <c r="H1754" s="635"/>
    </row>
    <row r="1755" spans="1:8" ht="12.75" customHeight="1" x14ac:dyDescent="0.25">
      <c r="A1755" s="631">
        <f t="shared" si="27"/>
        <v>1750</v>
      </c>
      <c r="B1755" s="632"/>
      <c r="C1755" s="633"/>
      <c r="D1755" s="634"/>
      <c r="E1755" s="655"/>
      <c r="F1755" s="684"/>
      <c r="G1755" s="684"/>
      <c r="H1755" s="635"/>
    </row>
    <row r="1756" spans="1:8" ht="12.75" customHeight="1" x14ac:dyDescent="0.25">
      <c r="A1756" s="631">
        <f t="shared" si="27"/>
        <v>1751</v>
      </c>
      <c r="B1756" s="632"/>
      <c r="C1756" s="633"/>
      <c r="D1756" s="634"/>
      <c r="E1756" s="655"/>
      <c r="F1756" s="684"/>
      <c r="G1756" s="684"/>
      <c r="H1756" s="635"/>
    </row>
    <row r="1757" spans="1:8" ht="12.75" customHeight="1" x14ac:dyDescent="0.25">
      <c r="A1757" s="631">
        <f t="shared" si="27"/>
        <v>1752</v>
      </c>
      <c r="B1757" s="632"/>
      <c r="C1757" s="633"/>
      <c r="D1757" s="634"/>
      <c r="E1757" s="655"/>
      <c r="F1757" s="684"/>
      <c r="G1757" s="684"/>
      <c r="H1757" s="635"/>
    </row>
    <row r="1758" spans="1:8" ht="12.75" customHeight="1" x14ac:dyDescent="0.25">
      <c r="A1758" s="631">
        <f t="shared" si="27"/>
        <v>1753</v>
      </c>
      <c r="B1758" s="632"/>
      <c r="C1758" s="633"/>
      <c r="D1758" s="634"/>
      <c r="E1758" s="655"/>
      <c r="F1758" s="684"/>
      <c r="G1758" s="684"/>
      <c r="H1758" s="635"/>
    </row>
    <row r="1759" spans="1:8" ht="12.75" customHeight="1" x14ac:dyDescent="0.25">
      <c r="A1759" s="631">
        <f t="shared" si="27"/>
        <v>1754</v>
      </c>
      <c r="B1759" s="632"/>
      <c r="C1759" s="633"/>
      <c r="D1759" s="634"/>
      <c r="E1759" s="655"/>
      <c r="F1759" s="684"/>
      <c r="G1759" s="684"/>
      <c r="H1759" s="635"/>
    </row>
    <row r="1760" spans="1:8" ht="12.75" customHeight="1" x14ac:dyDescent="0.25">
      <c r="A1760" s="631">
        <f t="shared" si="27"/>
        <v>1755</v>
      </c>
      <c r="B1760" s="632"/>
      <c r="C1760" s="633"/>
      <c r="D1760" s="634"/>
      <c r="E1760" s="655"/>
      <c r="F1760" s="684"/>
      <c r="G1760" s="684"/>
      <c r="H1760" s="635"/>
    </row>
    <row r="1761" spans="1:8" ht="12.75" customHeight="1" x14ac:dyDescent="0.25">
      <c r="A1761" s="631">
        <f t="shared" si="27"/>
        <v>1756</v>
      </c>
      <c r="B1761" s="632"/>
      <c r="C1761" s="633"/>
      <c r="D1761" s="634"/>
      <c r="E1761" s="655"/>
      <c r="F1761" s="684"/>
      <c r="G1761" s="684"/>
      <c r="H1761" s="635"/>
    </row>
    <row r="1762" spans="1:8" ht="12.75" customHeight="1" x14ac:dyDescent="0.25">
      <c r="A1762" s="631">
        <f t="shared" si="27"/>
        <v>1757</v>
      </c>
      <c r="B1762" s="632"/>
      <c r="C1762" s="633"/>
      <c r="D1762" s="634"/>
      <c r="E1762" s="655"/>
      <c r="F1762" s="684"/>
      <c r="G1762" s="684"/>
      <c r="H1762" s="635"/>
    </row>
    <row r="1763" spans="1:8" ht="12.75" customHeight="1" x14ac:dyDescent="0.25">
      <c r="A1763" s="631">
        <f t="shared" si="27"/>
        <v>1758</v>
      </c>
      <c r="B1763" s="632"/>
      <c r="C1763" s="633"/>
      <c r="D1763" s="634"/>
      <c r="E1763" s="655"/>
      <c r="F1763" s="684"/>
      <c r="G1763" s="684"/>
      <c r="H1763" s="635"/>
    </row>
    <row r="1764" spans="1:8" ht="12.75" customHeight="1" x14ac:dyDescent="0.25">
      <c r="A1764" s="631">
        <f t="shared" si="27"/>
        <v>1759</v>
      </c>
      <c r="B1764" s="632"/>
      <c r="C1764" s="633"/>
      <c r="D1764" s="634"/>
      <c r="E1764" s="655"/>
      <c r="F1764" s="684"/>
      <c r="G1764" s="684"/>
      <c r="H1764" s="635"/>
    </row>
    <row r="1765" spans="1:8" ht="12.75" customHeight="1" x14ac:dyDescent="0.25">
      <c r="A1765" s="631">
        <f t="shared" si="27"/>
        <v>1760</v>
      </c>
      <c r="B1765" s="632"/>
      <c r="C1765" s="633"/>
      <c r="D1765" s="634"/>
      <c r="E1765" s="655"/>
      <c r="F1765" s="684"/>
      <c r="G1765" s="684"/>
      <c r="H1765" s="635"/>
    </row>
    <row r="1766" spans="1:8" ht="12.75" customHeight="1" x14ac:dyDescent="0.25">
      <c r="A1766" s="631">
        <f t="shared" si="27"/>
        <v>1761</v>
      </c>
      <c r="B1766" s="632"/>
      <c r="C1766" s="633"/>
      <c r="D1766" s="634"/>
      <c r="E1766" s="655"/>
      <c r="F1766" s="684"/>
      <c r="G1766" s="684"/>
      <c r="H1766" s="635"/>
    </row>
    <row r="1767" spans="1:8" ht="12.75" customHeight="1" x14ac:dyDescent="0.25">
      <c r="A1767" s="631">
        <f t="shared" si="27"/>
        <v>1762</v>
      </c>
      <c r="B1767" s="632"/>
      <c r="C1767" s="633"/>
      <c r="D1767" s="634"/>
      <c r="E1767" s="655"/>
      <c r="F1767" s="684"/>
      <c r="G1767" s="684"/>
      <c r="H1767" s="635"/>
    </row>
    <row r="1768" spans="1:8" ht="12.75" customHeight="1" x14ac:dyDescent="0.25">
      <c r="A1768" s="631">
        <f t="shared" si="27"/>
        <v>1763</v>
      </c>
      <c r="B1768" s="632"/>
      <c r="C1768" s="633"/>
      <c r="D1768" s="634"/>
      <c r="E1768" s="655"/>
      <c r="F1768" s="684"/>
      <c r="G1768" s="684"/>
      <c r="H1768" s="635"/>
    </row>
    <row r="1769" spans="1:8" ht="12.75" customHeight="1" x14ac:dyDescent="0.25">
      <c r="A1769" s="631">
        <f t="shared" si="27"/>
        <v>1764</v>
      </c>
      <c r="B1769" s="632"/>
      <c r="C1769" s="633"/>
      <c r="D1769" s="634"/>
      <c r="E1769" s="655"/>
      <c r="F1769" s="684"/>
      <c r="G1769" s="684"/>
      <c r="H1769" s="635"/>
    </row>
    <row r="1770" spans="1:8" ht="12.75" customHeight="1" x14ac:dyDescent="0.25">
      <c r="A1770" s="631">
        <f t="shared" si="27"/>
        <v>1765</v>
      </c>
      <c r="B1770" s="632"/>
      <c r="C1770" s="633"/>
      <c r="D1770" s="634"/>
      <c r="E1770" s="655"/>
      <c r="F1770" s="684"/>
      <c r="G1770" s="684"/>
      <c r="H1770" s="635"/>
    </row>
    <row r="1771" spans="1:8" ht="12.75" customHeight="1" x14ac:dyDescent="0.25">
      <c r="A1771" s="631">
        <f t="shared" si="27"/>
        <v>1766</v>
      </c>
      <c r="B1771" s="632"/>
      <c r="C1771" s="633"/>
      <c r="D1771" s="634"/>
      <c r="E1771" s="655"/>
      <c r="F1771" s="684"/>
      <c r="G1771" s="684"/>
      <c r="H1771" s="635"/>
    </row>
    <row r="1772" spans="1:8" ht="12.75" customHeight="1" x14ac:dyDescent="0.25">
      <c r="A1772" s="631">
        <f t="shared" si="27"/>
        <v>1767</v>
      </c>
      <c r="B1772" s="632"/>
      <c r="C1772" s="633"/>
      <c r="D1772" s="634"/>
      <c r="E1772" s="655"/>
      <c r="F1772" s="684"/>
      <c r="G1772" s="684"/>
      <c r="H1772" s="635"/>
    </row>
    <row r="1773" spans="1:8" ht="12.75" customHeight="1" x14ac:dyDescent="0.25">
      <c r="A1773" s="631">
        <f t="shared" si="27"/>
        <v>1768</v>
      </c>
      <c r="B1773" s="632"/>
      <c r="C1773" s="633"/>
      <c r="D1773" s="634"/>
      <c r="E1773" s="655"/>
      <c r="F1773" s="684"/>
      <c r="G1773" s="684"/>
      <c r="H1773" s="635"/>
    </row>
    <row r="1774" spans="1:8" ht="12.75" customHeight="1" x14ac:dyDescent="0.25">
      <c r="A1774" s="631">
        <f t="shared" si="27"/>
        <v>1769</v>
      </c>
      <c r="B1774" s="632"/>
      <c r="C1774" s="633"/>
      <c r="D1774" s="634"/>
      <c r="E1774" s="655"/>
      <c r="F1774" s="684"/>
      <c r="G1774" s="684"/>
      <c r="H1774" s="635"/>
    </row>
    <row r="1775" spans="1:8" ht="12.75" customHeight="1" x14ac:dyDescent="0.25">
      <c r="A1775" s="631">
        <f t="shared" si="27"/>
        <v>1770</v>
      </c>
      <c r="B1775" s="632"/>
      <c r="C1775" s="633"/>
      <c r="D1775" s="634"/>
      <c r="E1775" s="655"/>
      <c r="F1775" s="684"/>
      <c r="G1775" s="684"/>
      <c r="H1775" s="635"/>
    </row>
    <row r="1776" spans="1:8" ht="12.75" customHeight="1" x14ac:dyDescent="0.25">
      <c r="A1776" s="631">
        <f t="shared" si="27"/>
        <v>1771</v>
      </c>
      <c r="B1776" s="632"/>
      <c r="C1776" s="633"/>
      <c r="D1776" s="634"/>
      <c r="E1776" s="655"/>
      <c r="F1776" s="684"/>
      <c r="G1776" s="684"/>
      <c r="H1776" s="635"/>
    </row>
    <row r="1777" spans="1:8" ht="12.75" customHeight="1" x14ac:dyDescent="0.25">
      <c r="A1777" s="631">
        <f t="shared" si="27"/>
        <v>1772</v>
      </c>
      <c r="B1777" s="632"/>
      <c r="C1777" s="633"/>
      <c r="D1777" s="634"/>
      <c r="E1777" s="655"/>
      <c r="F1777" s="684"/>
      <c r="G1777" s="684"/>
      <c r="H1777" s="635"/>
    </row>
    <row r="1778" spans="1:8" ht="12.75" customHeight="1" x14ac:dyDescent="0.25">
      <c r="A1778" s="631">
        <f t="shared" si="27"/>
        <v>1773</v>
      </c>
      <c r="B1778" s="632"/>
      <c r="C1778" s="633"/>
      <c r="D1778" s="634"/>
      <c r="E1778" s="655"/>
      <c r="F1778" s="684"/>
      <c r="G1778" s="684"/>
      <c r="H1778" s="635"/>
    </row>
    <row r="1779" spans="1:8" ht="12.75" customHeight="1" x14ac:dyDescent="0.25">
      <c r="A1779" s="631">
        <f t="shared" si="27"/>
        <v>1774</v>
      </c>
      <c r="B1779" s="632"/>
      <c r="C1779" s="633"/>
      <c r="D1779" s="634"/>
      <c r="E1779" s="655"/>
      <c r="F1779" s="684"/>
      <c r="G1779" s="684"/>
      <c r="H1779" s="635"/>
    </row>
    <row r="1780" spans="1:8" ht="12.75" customHeight="1" x14ac:dyDescent="0.25">
      <c r="A1780" s="631">
        <f t="shared" si="27"/>
        <v>1775</v>
      </c>
      <c r="B1780" s="632"/>
      <c r="C1780" s="633"/>
      <c r="D1780" s="634"/>
      <c r="E1780" s="655"/>
      <c r="F1780" s="684"/>
      <c r="G1780" s="684"/>
      <c r="H1780" s="635"/>
    </row>
    <row r="1781" spans="1:8" ht="12.75" customHeight="1" x14ac:dyDescent="0.25">
      <c r="A1781" s="631">
        <f t="shared" si="27"/>
        <v>1776</v>
      </c>
      <c r="B1781" s="632"/>
      <c r="C1781" s="633"/>
      <c r="D1781" s="634"/>
      <c r="E1781" s="655"/>
      <c r="F1781" s="684"/>
      <c r="G1781" s="684"/>
      <c r="H1781" s="635"/>
    </row>
    <row r="1782" spans="1:8" ht="12.75" customHeight="1" x14ac:dyDescent="0.25">
      <c r="A1782" s="631">
        <f t="shared" si="27"/>
        <v>1777</v>
      </c>
      <c r="B1782" s="632"/>
      <c r="C1782" s="633"/>
      <c r="D1782" s="634"/>
      <c r="E1782" s="655"/>
      <c r="F1782" s="684"/>
      <c r="G1782" s="684"/>
      <c r="H1782" s="635"/>
    </row>
    <row r="1783" spans="1:8" ht="12.75" customHeight="1" x14ac:dyDescent="0.25">
      <c r="A1783" s="631">
        <f t="shared" si="27"/>
        <v>1778</v>
      </c>
      <c r="B1783" s="632"/>
      <c r="C1783" s="633"/>
      <c r="D1783" s="634"/>
      <c r="E1783" s="655"/>
      <c r="F1783" s="684"/>
      <c r="G1783" s="684"/>
      <c r="H1783" s="635"/>
    </row>
    <row r="1784" spans="1:8" ht="12.75" customHeight="1" x14ac:dyDescent="0.25">
      <c r="A1784" s="631">
        <f t="shared" si="27"/>
        <v>1779</v>
      </c>
      <c r="B1784" s="632"/>
      <c r="C1784" s="633"/>
      <c r="D1784" s="634"/>
      <c r="E1784" s="655"/>
      <c r="F1784" s="684"/>
      <c r="G1784" s="684"/>
      <c r="H1784" s="635"/>
    </row>
    <row r="1785" spans="1:8" ht="12.75" customHeight="1" x14ac:dyDescent="0.25">
      <c r="A1785" s="631">
        <f t="shared" si="27"/>
        <v>1780</v>
      </c>
      <c r="B1785" s="632"/>
      <c r="C1785" s="633"/>
      <c r="D1785" s="634"/>
      <c r="E1785" s="655"/>
      <c r="F1785" s="684"/>
      <c r="G1785" s="684"/>
      <c r="H1785" s="635"/>
    </row>
    <row r="1786" spans="1:8" ht="12.75" customHeight="1" x14ac:dyDescent="0.25">
      <c r="A1786" s="631">
        <f t="shared" si="27"/>
        <v>1781</v>
      </c>
      <c r="B1786" s="632"/>
      <c r="C1786" s="633"/>
      <c r="D1786" s="634"/>
      <c r="E1786" s="655"/>
      <c r="F1786" s="684"/>
      <c r="G1786" s="684"/>
      <c r="H1786" s="635"/>
    </row>
    <row r="1787" spans="1:8" ht="12.75" customHeight="1" x14ac:dyDescent="0.25">
      <c r="A1787" s="631">
        <f t="shared" si="27"/>
        <v>1782</v>
      </c>
      <c r="B1787" s="632"/>
      <c r="C1787" s="633"/>
      <c r="D1787" s="634"/>
      <c r="E1787" s="655"/>
      <c r="F1787" s="684"/>
      <c r="G1787" s="684"/>
      <c r="H1787" s="635"/>
    </row>
    <row r="1788" spans="1:8" ht="12.75" customHeight="1" x14ac:dyDescent="0.25">
      <c r="A1788" s="631">
        <f t="shared" si="27"/>
        <v>1783</v>
      </c>
      <c r="B1788" s="632"/>
      <c r="C1788" s="633"/>
      <c r="D1788" s="634"/>
      <c r="E1788" s="655"/>
      <c r="F1788" s="684"/>
      <c r="G1788" s="684"/>
      <c r="H1788" s="635"/>
    </row>
    <row r="1789" spans="1:8" ht="12.75" customHeight="1" x14ac:dyDescent="0.25">
      <c r="A1789" s="631">
        <f t="shared" si="27"/>
        <v>1784</v>
      </c>
      <c r="B1789" s="632"/>
      <c r="C1789" s="633"/>
      <c r="D1789" s="634"/>
      <c r="E1789" s="655"/>
      <c r="F1789" s="684"/>
      <c r="G1789" s="684"/>
      <c r="H1789" s="635"/>
    </row>
    <row r="1790" spans="1:8" ht="12.75" customHeight="1" x14ac:dyDescent="0.25">
      <c r="A1790" s="631">
        <f t="shared" si="27"/>
        <v>1785</v>
      </c>
      <c r="B1790" s="632"/>
      <c r="C1790" s="633"/>
      <c r="D1790" s="634"/>
      <c r="E1790" s="655"/>
      <c r="F1790" s="684"/>
      <c r="G1790" s="684"/>
      <c r="H1790" s="635"/>
    </row>
    <row r="1791" spans="1:8" ht="12.75" customHeight="1" x14ac:dyDescent="0.25">
      <c r="A1791" s="631">
        <f t="shared" si="27"/>
        <v>1786</v>
      </c>
      <c r="B1791" s="632"/>
      <c r="C1791" s="633"/>
      <c r="D1791" s="634"/>
      <c r="E1791" s="655"/>
      <c r="F1791" s="684"/>
      <c r="G1791" s="684"/>
      <c r="H1791" s="635"/>
    </row>
    <row r="1792" spans="1:8" ht="12.75" customHeight="1" x14ac:dyDescent="0.25">
      <c r="A1792" s="631">
        <f t="shared" si="27"/>
        <v>1787</v>
      </c>
      <c r="B1792" s="632"/>
      <c r="C1792" s="633"/>
      <c r="D1792" s="634"/>
      <c r="E1792" s="655"/>
      <c r="F1792" s="684"/>
      <c r="G1792" s="684"/>
      <c r="H1792" s="635"/>
    </row>
    <row r="1793" spans="1:8" ht="12.75" customHeight="1" x14ac:dyDescent="0.25">
      <c r="A1793" s="631">
        <f t="shared" ref="A1793:A1856" si="28">ROW()-5</f>
        <v>1788</v>
      </c>
      <c r="B1793" s="632"/>
      <c r="C1793" s="633"/>
      <c r="D1793" s="634"/>
      <c r="E1793" s="655"/>
      <c r="F1793" s="684"/>
      <c r="G1793" s="684"/>
      <c r="H1793" s="635"/>
    </row>
    <row r="1794" spans="1:8" ht="12.75" customHeight="1" x14ac:dyDescent="0.25">
      <c r="A1794" s="631">
        <f t="shared" si="28"/>
        <v>1789</v>
      </c>
      <c r="B1794" s="632"/>
      <c r="C1794" s="633"/>
      <c r="D1794" s="634"/>
      <c r="E1794" s="655"/>
      <c r="F1794" s="684"/>
      <c r="G1794" s="684"/>
      <c r="H1794" s="635"/>
    </row>
    <row r="1795" spans="1:8" ht="12.75" customHeight="1" x14ac:dyDescent="0.25">
      <c r="A1795" s="631">
        <f t="shared" si="28"/>
        <v>1790</v>
      </c>
      <c r="B1795" s="632"/>
      <c r="C1795" s="633"/>
      <c r="D1795" s="634"/>
      <c r="E1795" s="655"/>
      <c r="F1795" s="684"/>
      <c r="G1795" s="684"/>
      <c r="H1795" s="635"/>
    </row>
    <row r="1796" spans="1:8" ht="12.75" customHeight="1" x14ac:dyDescent="0.25">
      <c r="A1796" s="631">
        <f t="shared" si="28"/>
        <v>1791</v>
      </c>
      <c r="B1796" s="632"/>
      <c r="C1796" s="633"/>
      <c r="D1796" s="634"/>
      <c r="E1796" s="655"/>
      <c r="F1796" s="684"/>
      <c r="G1796" s="684"/>
      <c r="H1796" s="635"/>
    </row>
    <row r="1797" spans="1:8" ht="12.75" customHeight="1" x14ac:dyDescent="0.25">
      <c r="A1797" s="631">
        <f t="shared" si="28"/>
        <v>1792</v>
      </c>
      <c r="B1797" s="632"/>
      <c r="C1797" s="633"/>
      <c r="D1797" s="634"/>
      <c r="E1797" s="655"/>
      <c r="F1797" s="684"/>
      <c r="G1797" s="684"/>
      <c r="H1797" s="635"/>
    </row>
    <row r="1798" spans="1:8" ht="12.75" customHeight="1" x14ac:dyDescent="0.25">
      <c r="A1798" s="631">
        <f t="shared" si="28"/>
        <v>1793</v>
      </c>
      <c r="B1798" s="632"/>
      <c r="C1798" s="633"/>
      <c r="D1798" s="634"/>
      <c r="E1798" s="655"/>
      <c r="F1798" s="684"/>
      <c r="G1798" s="684"/>
      <c r="H1798" s="635"/>
    </row>
    <row r="1799" spans="1:8" ht="12.75" customHeight="1" x14ac:dyDescent="0.25">
      <c r="A1799" s="631">
        <f t="shared" si="28"/>
        <v>1794</v>
      </c>
      <c r="B1799" s="632"/>
      <c r="C1799" s="633"/>
      <c r="D1799" s="634"/>
      <c r="E1799" s="655"/>
      <c r="F1799" s="684"/>
      <c r="G1799" s="684"/>
      <c r="H1799" s="635"/>
    </row>
    <row r="1800" spans="1:8" ht="12.75" customHeight="1" x14ac:dyDescent="0.25">
      <c r="A1800" s="631">
        <f t="shared" si="28"/>
        <v>1795</v>
      </c>
      <c r="B1800" s="632"/>
      <c r="C1800" s="633"/>
      <c r="D1800" s="634"/>
      <c r="E1800" s="655"/>
      <c r="F1800" s="684"/>
      <c r="G1800" s="684"/>
      <c r="H1800" s="635"/>
    </row>
    <row r="1801" spans="1:8" ht="12.75" customHeight="1" x14ac:dyDescent="0.25">
      <c r="A1801" s="631">
        <f t="shared" si="28"/>
        <v>1796</v>
      </c>
      <c r="B1801" s="632"/>
      <c r="C1801" s="633"/>
      <c r="D1801" s="634"/>
      <c r="E1801" s="655"/>
      <c r="F1801" s="684"/>
      <c r="G1801" s="684"/>
      <c r="H1801" s="635"/>
    </row>
    <row r="1802" spans="1:8" ht="12.75" customHeight="1" x14ac:dyDescent="0.25">
      <c r="A1802" s="631">
        <f t="shared" si="28"/>
        <v>1797</v>
      </c>
      <c r="B1802" s="632"/>
      <c r="C1802" s="633"/>
      <c r="D1802" s="634"/>
      <c r="E1802" s="655"/>
      <c r="F1802" s="684"/>
      <c r="G1802" s="684"/>
      <c r="H1802" s="635"/>
    </row>
    <row r="1803" spans="1:8" ht="12.75" customHeight="1" x14ac:dyDescent="0.25">
      <c r="A1803" s="631">
        <f t="shared" si="28"/>
        <v>1798</v>
      </c>
      <c r="B1803" s="632"/>
      <c r="C1803" s="633"/>
      <c r="D1803" s="634"/>
      <c r="E1803" s="655"/>
      <c r="F1803" s="684"/>
      <c r="G1803" s="684"/>
      <c r="H1803" s="635"/>
    </row>
    <row r="1804" spans="1:8" ht="12.75" customHeight="1" x14ac:dyDescent="0.25">
      <c r="A1804" s="631">
        <f t="shared" si="28"/>
        <v>1799</v>
      </c>
      <c r="B1804" s="632"/>
      <c r="C1804" s="633"/>
      <c r="D1804" s="634"/>
      <c r="E1804" s="655"/>
      <c r="F1804" s="684"/>
      <c r="G1804" s="684"/>
      <c r="H1804" s="635"/>
    </row>
    <row r="1805" spans="1:8" ht="12.75" customHeight="1" x14ac:dyDescent="0.25">
      <c r="A1805" s="631">
        <f t="shared" si="28"/>
        <v>1800</v>
      </c>
      <c r="B1805" s="632"/>
      <c r="C1805" s="633"/>
      <c r="D1805" s="634"/>
      <c r="E1805" s="655"/>
      <c r="F1805" s="684"/>
      <c r="G1805" s="684"/>
      <c r="H1805" s="635"/>
    </row>
    <row r="1806" spans="1:8" ht="12.75" customHeight="1" x14ac:dyDescent="0.25">
      <c r="A1806" s="631">
        <f t="shared" si="28"/>
        <v>1801</v>
      </c>
      <c r="B1806" s="632"/>
      <c r="C1806" s="633"/>
      <c r="D1806" s="634"/>
      <c r="E1806" s="655"/>
      <c r="F1806" s="684"/>
      <c r="G1806" s="684"/>
      <c r="H1806" s="635"/>
    </row>
    <row r="1807" spans="1:8" ht="12.75" customHeight="1" x14ac:dyDescent="0.25">
      <c r="A1807" s="631">
        <f t="shared" si="28"/>
        <v>1802</v>
      </c>
      <c r="B1807" s="632"/>
      <c r="C1807" s="633"/>
      <c r="D1807" s="634"/>
      <c r="E1807" s="655"/>
      <c r="F1807" s="684"/>
      <c r="G1807" s="684"/>
      <c r="H1807" s="635"/>
    </row>
    <row r="1808" spans="1:8" ht="12.75" customHeight="1" x14ac:dyDescent="0.25">
      <c r="A1808" s="631">
        <f t="shared" si="28"/>
        <v>1803</v>
      </c>
      <c r="B1808" s="632"/>
      <c r="C1808" s="633"/>
      <c r="D1808" s="634"/>
      <c r="E1808" s="655"/>
      <c r="F1808" s="684"/>
      <c r="G1808" s="684"/>
      <c r="H1808" s="635"/>
    </row>
    <row r="1809" spans="1:8" ht="12.75" customHeight="1" x14ac:dyDescent="0.25">
      <c r="A1809" s="631">
        <f t="shared" si="28"/>
        <v>1804</v>
      </c>
      <c r="B1809" s="632"/>
      <c r="C1809" s="633"/>
      <c r="D1809" s="634"/>
      <c r="E1809" s="655"/>
      <c r="F1809" s="684"/>
      <c r="G1809" s="684"/>
      <c r="H1809" s="635"/>
    </row>
    <row r="1810" spans="1:8" ht="12.75" customHeight="1" x14ac:dyDescent="0.25">
      <c r="A1810" s="631">
        <f t="shared" si="28"/>
        <v>1805</v>
      </c>
      <c r="B1810" s="632"/>
      <c r="C1810" s="633"/>
      <c r="D1810" s="634"/>
      <c r="E1810" s="655"/>
      <c r="F1810" s="684"/>
      <c r="G1810" s="684"/>
      <c r="H1810" s="635"/>
    </row>
    <row r="1811" spans="1:8" ht="12.75" customHeight="1" x14ac:dyDescent="0.25">
      <c r="A1811" s="631">
        <f t="shared" si="28"/>
        <v>1806</v>
      </c>
      <c r="B1811" s="632"/>
      <c r="C1811" s="633"/>
      <c r="D1811" s="634"/>
      <c r="E1811" s="655"/>
      <c r="F1811" s="684"/>
      <c r="G1811" s="684"/>
      <c r="H1811" s="635"/>
    </row>
    <row r="1812" spans="1:8" ht="12.75" customHeight="1" x14ac:dyDescent="0.25">
      <c r="A1812" s="631">
        <f t="shared" si="28"/>
        <v>1807</v>
      </c>
      <c r="B1812" s="632"/>
      <c r="C1812" s="633"/>
      <c r="D1812" s="634"/>
      <c r="E1812" s="655"/>
      <c r="F1812" s="684"/>
      <c r="G1812" s="684"/>
      <c r="H1812" s="635"/>
    </row>
    <row r="1813" spans="1:8" ht="12.75" customHeight="1" x14ac:dyDescent="0.25">
      <c r="A1813" s="631">
        <f t="shared" si="28"/>
        <v>1808</v>
      </c>
      <c r="B1813" s="632"/>
      <c r="C1813" s="633"/>
      <c r="D1813" s="634"/>
      <c r="E1813" s="655"/>
      <c r="F1813" s="684"/>
      <c r="G1813" s="684"/>
      <c r="H1813" s="635"/>
    </row>
    <row r="1814" spans="1:8" ht="12.75" customHeight="1" x14ac:dyDescent="0.25">
      <c r="A1814" s="631">
        <f t="shared" si="28"/>
        <v>1809</v>
      </c>
      <c r="B1814" s="632"/>
      <c r="C1814" s="633"/>
      <c r="D1814" s="634"/>
      <c r="E1814" s="655"/>
      <c r="F1814" s="684"/>
      <c r="G1814" s="684"/>
      <c r="H1814" s="635"/>
    </row>
    <row r="1815" spans="1:8" ht="12.75" customHeight="1" x14ac:dyDescent="0.25">
      <c r="A1815" s="631">
        <f t="shared" si="28"/>
        <v>1810</v>
      </c>
      <c r="B1815" s="632"/>
      <c r="C1815" s="633"/>
      <c r="D1815" s="634"/>
      <c r="E1815" s="655"/>
      <c r="F1815" s="684"/>
      <c r="G1815" s="684"/>
      <c r="H1815" s="635"/>
    </row>
    <row r="1816" spans="1:8" ht="12.75" customHeight="1" x14ac:dyDescent="0.25">
      <c r="A1816" s="631">
        <f t="shared" si="28"/>
        <v>1811</v>
      </c>
      <c r="B1816" s="632"/>
      <c r="C1816" s="633"/>
      <c r="D1816" s="634"/>
      <c r="E1816" s="655"/>
      <c r="F1816" s="684"/>
      <c r="G1816" s="684"/>
      <c r="H1816" s="635"/>
    </row>
    <row r="1817" spans="1:8" ht="12.75" customHeight="1" x14ac:dyDescent="0.25">
      <c r="A1817" s="631">
        <f t="shared" si="28"/>
        <v>1812</v>
      </c>
      <c r="B1817" s="632"/>
      <c r="C1817" s="633"/>
      <c r="D1817" s="634"/>
      <c r="E1817" s="655"/>
      <c r="F1817" s="684"/>
      <c r="G1817" s="684"/>
      <c r="H1817" s="635"/>
    </row>
    <row r="1818" spans="1:8" ht="12.75" customHeight="1" x14ac:dyDescent="0.25">
      <c r="A1818" s="631">
        <f t="shared" si="28"/>
        <v>1813</v>
      </c>
      <c r="B1818" s="632"/>
      <c r="C1818" s="633"/>
      <c r="D1818" s="634"/>
      <c r="E1818" s="655"/>
      <c r="F1818" s="684"/>
      <c r="G1818" s="684"/>
      <c r="H1818" s="635"/>
    </row>
    <row r="1819" spans="1:8" ht="12.75" customHeight="1" x14ac:dyDescent="0.25">
      <c r="A1819" s="631">
        <f t="shared" si="28"/>
        <v>1814</v>
      </c>
      <c r="B1819" s="632"/>
      <c r="C1819" s="633"/>
      <c r="D1819" s="634"/>
      <c r="E1819" s="655"/>
      <c r="F1819" s="684"/>
      <c r="G1819" s="684"/>
      <c r="H1819" s="635"/>
    </row>
    <row r="1820" spans="1:8" ht="12.75" customHeight="1" x14ac:dyDescent="0.25">
      <c r="A1820" s="631">
        <f t="shared" si="28"/>
        <v>1815</v>
      </c>
      <c r="B1820" s="632"/>
      <c r="C1820" s="633"/>
      <c r="D1820" s="634"/>
      <c r="E1820" s="655"/>
      <c r="F1820" s="684"/>
      <c r="G1820" s="684"/>
      <c r="H1820" s="635"/>
    </row>
    <row r="1821" spans="1:8" ht="12.75" customHeight="1" x14ac:dyDescent="0.25">
      <c r="A1821" s="631">
        <f t="shared" si="28"/>
        <v>1816</v>
      </c>
      <c r="B1821" s="632"/>
      <c r="C1821" s="633"/>
      <c r="D1821" s="634"/>
      <c r="E1821" s="655"/>
      <c r="F1821" s="684"/>
      <c r="G1821" s="684"/>
      <c r="H1821" s="635"/>
    </row>
    <row r="1822" spans="1:8" ht="12.75" customHeight="1" x14ac:dyDescent="0.25">
      <c r="A1822" s="631">
        <f t="shared" si="28"/>
        <v>1817</v>
      </c>
      <c r="B1822" s="632"/>
      <c r="C1822" s="633"/>
      <c r="D1822" s="634"/>
      <c r="E1822" s="655"/>
      <c r="F1822" s="684"/>
      <c r="G1822" s="684"/>
      <c r="H1822" s="635"/>
    </row>
    <row r="1823" spans="1:8" ht="12.75" customHeight="1" x14ac:dyDescent="0.25">
      <c r="A1823" s="631">
        <f t="shared" si="28"/>
        <v>1818</v>
      </c>
      <c r="B1823" s="632"/>
      <c r="C1823" s="633"/>
      <c r="D1823" s="634"/>
      <c r="E1823" s="655"/>
      <c r="F1823" s="684"/>
      <c r="G1823" s="684"/>
      <c r="H1823" s="635"/>
    </row>
    <row r="1824" spans="1:8" ht="12.75" customHeight="1" x14ac:dyDescent="0.25">
      <c r="A1824" s="631">
        <f t="shared" si="28"/>
        <v>1819</v>
      </c>
      <c r="B1824" s="632"/>
      <c r="C1824" s="633"/>
      <c r="D1824" s="634"/>
      <c r="E1824" s="655"/>
      <c r="F1824" s="684"/>
      <c r="G1824" s="684"/>
      <c r="H1824" s="635"/>
    </row>
    <row r="1825" spans="1:8" ht="12.75" customHeight="1" x14ac:dyDescent="0.25">
      <c r="A1825" s="631">
        <f t="shared" si="28"/>
        <v>1820</v>
      </c>
      <c r="B1825" s="632"/>
      <c r="C1825" s="633"/>
      <c r="D1825" s="634"/>
      <c r="E1825" s="655"/>
      <c r="F1825" s="684"/>
      <c r="G1825" s="684"/>
      <c r="H1825" s="635"/>
    </row>
    <row r="1826" spans="1:8" ht="12.75" customHeight="1" x14ac:dyDescent="0.25">
      <c r="A1826" s="631">
        <f t="shared" si="28"/>
        <v>1821</v>
      </c>
      <c r="B1826" s="632"/>
      <c r="C1826" s="633"/>
      <c r="D1826" s="634"/>
      <c r="E1826" s="655"/>
      <c r="F1826" s="684"/>
      <c r="G1826" s="684"/>
      <c r="H1826" s="635"/>
    </row>
    <row r="1827" spans="1:8" ht="12.75" customHeight="1" x14ac:dyDescent="0.25">
      <c r="A1827" s="631">
        <f t="shared" si="28"/>
        <v>1822</v>
      </c>
      <c r="B1827" s="632"/>
      <c r="C1827" s="633"/>
      <c r="D1827" s="634"/>
      <c r="E1827" s="655"/>
      <c r="F1827" s="684"/>
      <c r="G1827" s="684"/>
      <c r="H1827" s="635"/>
    </row>
    <row r="1828" spans="1:8" ht="12.75" customHeight="1" x14ac:dyDescent="0.25">
      <c r="A1828" s="631">
        <f t="shared" si="28"/>
        <v>1823</v>
      </c>
      <c r="B1828" s="632"/>
      <c r="C1828" s="633"/>
      <c r="D1828" s="634"/>
      <c r="E1828" s="655"/>
      <c r="F1828" s="684"/>
      <c r="G1828" s="684"/>
      <c r="H1828" s="635"/>
    </row>
    <row r="1829" spans="1:8" ht="12.75" customHeight="1" x14ac:dyDescent="0.25">
      <c r="A1829" s="631">
        <f t="shared" si="28"/>
        <v>1824</v>
      </c>
      <c r="B1829" s="632"/>
      <c r="C1829" s="633"/>
      <c r="D1829" s="634"/>
      <c r="E1829" s="655"/>
      <c r="F1829" s="684"/>
      <c r="G1829" s="684"/>
      <c r="H1829" s="635"/>
    </row>
    <row r="1830" spans="1:8" ht="12.75" customHeight="1" x14ac:dyDescent="0.25">
      <c r="A1830" s="631">
        <f t="shared" si="28"/>
        <v>1825</v>
      </c>
      <c r="B1830" s="632"/>
      <c r="C1830" s="633"/>
      <c r="D1830" s="634"/>
      <c r="E1830" s="655"/>
      <c r="F1830" s="684"/>
      <c r="G1830" s="684"/>
      <c r="H1830" s="635"/>
    </row>
    <row r="1831" spans="1:8" ht="12.75" customHeight="1" x14ac:dyDescent="0.25">
      <c r="A1831" s="631">
        <f t="shared" si="28"/>
        <v>1826</v>
      </c>
      <c r="B1831" s="632"/>
      <c r="C1831" s="633"/>
      <c r="D1831" s="634"/>
      <c r="E1831" s="655"/>
      <c r="F1831" s="684"/>
      <c r="G1831" s="684"/>
      <c r="H1831" s="635"/>
    </row>
    <row r="1832" spans="1:8" ht="12.75" customHeight="1" x14ac:dyDescent="0.25">
      <c r="A1832" s="631">
        <f t="shared" si="28"/>
        <v>1827</v>
      </c>
      <c r="B1832" s="632"/>
      <c r="C1832" s="633"/>
      <c r="D1832" s="634"/>
      <c r="E1832" s="655"/>
      <c r="F1832" s="684"/>
      <c r="G1832" s="684"/>
      <c r="H1832" s="635"/>
    </row>
    <row r="1833" spans="1:8" ht="12.75" customHeight="1" x14ac:dyDescent="0.25">
      <c r="A1833" s="631">
        <f t="shared" si="28"/>
        <v>1828</v>
      </c>
      <c r="B1833" s="632"/>
      <c r="C1833" s="633"/>
      <c r="D1833" s="634"/>
      <c r="E1833" s="655"/>
      <c r="F1833" s="684"/>
      <c r="G1833" s="684"/>
      <c r="H1833" s="635"/>
    </row>
    <row r="1834" spans="1:8" ht="12.75" customHeight="1" x14ac:dyDescent="0.25">
      <c r="A1834" s="631">
        <f t="shared" si="28"/>
        <v>1829</v>
      </c>
      <c r="B1834" s="632"/>
      <c r="C1834" s="633"/>
      <c r="D1834" s="634"/>
      <c r="E1834" s="655"/>
      <c r="F1834" s="684"/>
      <c r="G1834" s="684"/>
      <c r="H1834" s="635"/>
    </row>
    <row r="1835" spans="1:8" ht="12.75" customHeight="1" x14ac:dyDescent="0.25">
      <c r="A1835" s="631">
        <f t="shared" si="28"/>
        <v>1830</v>
      </c>
      <c r="B1835" s="632"/>
      <c r="C1835" s="633"/>
      <c r="D1835" s="634"/>
      <c r="E1835" s="655"/>
      <c r="F1835" s="684"/>
      <c r="G1835" s="684"/>
      <c r="H1835" s="635"/>
    </row>
    <row r="1836" spans="1:8" ht="12.75" customHeight="1" x14ac:dyDescent="0.25">
      <c r="A1836" s="631">
        <f t="shared" si="28"/>
        <v>1831</v>
      </c>
      <c r="B1836" s="632"/>
      <c r="C1836" s="633"/>
      <c r="D1836" s="634"/>
      <c r="E1836" s="655"/>
      <c r="F1836" s="684"/>
      <c r="G1836" s="684"/>
      <c r="H1836" s="635"/>
    </row>
    <row r="1837" spans="1:8" ht="12.75" customHeight="1" x14ac:dyDescent="0.25">
      <c r="A1837" s="631">
        <f t="shared" si="28"/>
        <v>1832</v>
      </c>
      <c r="B1837" s="632"/>
      <c r="C1837" s="633"/>
      <c r="D1837" s="634"/>
      <c r="E1837" s="655"/>
      <c r="F1837" s="684"/>
      <c r="G1837" s="684"/>
      <c r="H1837" s="635"/>
    </row>
    <row r="1838" spans="1:8" ht="12.75" customHeight="1" x14ac:dyDescent="0.25">
      <c r="A1838" s="631">
        <f t="shared" si="28"/>
        <v>1833</v>
      </c>
      <c r="B1838" s="632"/>
      <c r="C1838" s="633"/>
      <c r="D1838" s="634"/>
      <c r="E1838" s="655"/>
      <c r="F1838" s="684"/>
      <c r="G1838" s="684"/>
      <c r="H1838" s="635"/>
    </row>
    <row r="1839" spans="1:8" ht="12.75" customHeight="1" x14ac:dyDescent="0.25">
      <c r="A1839" s="631">
        <f t="shared" si="28"/>
        <v>1834</v>
      </c>
      <c r="B1839" s="632"/>
      <c r="C1839" s="633"/>
      <c r="D1839" s="634"/>
      <c r="E1839" s="655"/>
      <c r="F1839" s="684"/>
      <c r="G1839" s="684"/>
      <c r="H1839" s="635"/>
    </row>
    <row r="1840" spans="1:8" ht="12.75" customHeight="1" x14ac:dyDescent="0.25">
      <c r="A1840" s="631">
        <f t="shared" si="28"/>
        <v>1835</v>
      </c>
      <c r="B1840" s="632"/>
      <c r="C1840" s="633"/>
      <c r="D1840" s="634"/>
      <c r="E1840" s="655"/>
      <c r="F1840" s="684"/>
      <c r="G1840" s="684"/>
      <c r="H1840" s="635"/>
    </row>
    <row r="1841" spans="1:8" ht="12.75" customHeight="1" x14ac:dyDescent="0.25">
      <c r="A1841" s="631">
        <f t="shared" si="28"/>
        <v>1836</v>
      </c>
      <c r="B1841" s="632"/>
      <c r="C1841" s="633"/>
      <c r="D1841" s="634"/>
      <c r="E1841" s="655"/>
      <c r="F1841" s="684"/>
      <c r="G1841" s="684"/>
      <c r="H1841" s="635"/>
    </row>
    <row r="1842" spans="1:8" ht="12.75" customHeight="1" x14ac:dyDescent="0.25">
      <c r="A1842" s="631">
        <f t="shared" si="28"/>
        <v>1837</v>
      </c>
      <c r="B1842" s="632"/>
      <c r="C1842" s="633"/>
      <c r="D1842" s="634"/>
      <c r="E1842" s="655"/>
      <c r="F1842" s="684"/>
      <c r="G1842" s="684"/>
      <c r="H1842" s="635"/>
    </row>
    <row r="1843" spans="1:8" ht="12.75" customHeight="1" x14ac:dyDescent="0.25">
      <c r="A1843" s="631">
        <f t="shared" si="28"/>
        <v>1838</v>
      </c>
      <c r="B1843" s="632"/>
      <c r="C1843" s="633"/>
      <c r="D1843" s="634"/>
      <c r="E1843" s="655"/>
      <c r="F1843" s="684"/>
      <c r="G1843" s="684"/>
      <c r="H1843" s="635"/>
    </row>
    <row r="1844" spans="1:8" ht="12.75" customHeight="1" x14ac:dyDescent="0.25">
      <c r="A1844" s="631">
        <f t="shared" si="28"/>
        <v>1839</v>
      </c>
      <c r="B1844" s="632"/>
      <c r="C1844" s="633"/>
      <c r="D1844" s="634"/>
      <c r="E1844" s="655"/>
      <c r="F1844" s="684"/>
      <c r="G1844" s="684"/>
      <c r="H1844" s="635"/>
    </row>
    <row r="1845" spans="1:8" ht="12.75" customHeight="1" x14ac:dyDescent="0.25">
      <c r="A1845" s="631">
        <f t="shared" si="28"/>
        <v>1840</v>
      </c>
      <c r="B1845" s="632"/>
      <c r="C1845" s="633"/>
      <c r="D1845" s="634"/>
      <c r="E1845" s="655"/>
      <c r="F1845" s="684"/>
      <c r="G1845" s="684"/>
      <c r="H1845" s="635"/>
    </row>
    <row r="1846" spans="1:8" ht="12.75" customHeight="1" x14ac:dyDescent="0.25">
      <c r="A1846" s="631">
        <f t="shared" si="28"/>
        <v>1841</v>
      </c>
      <c r="B1846" s="632"/>
      <c r="C1846" s="633"/>
      <c r="D1846" s="634"/>
      <c r="E1846" s="655"/>
      <c r="F1846" s="684"/>
      <c r="G1846" s="684"/>
      <c r="H1846" s="635"/>
    </row>
    <row r="1847" spans="1:8" ht="12.75" customHeight="1" x14ac:dyDescent="0.25">
      <c r="A1847" s="631">
        <f t="shared" si="28"/>
        <v>1842</v>
      </c>
      <c r="B1847" s="632"/>
      <c r="C1847" s="633"/>
      <c r="D1847" s="634"/>
      <c r="E1847" s="655"/>
      <c r="F1847" s="684"/>
      <c r="G1847" s="684"/>
      <c r="H1847" s="635"/>
    </row>
    <row r="1848" spans="1:8" ht="12.75" customHeight="1" x14ac:dyDescent="0.25">
      <c r="A1848" s="631">
        <f t="shared" si="28"/>
        <v>1843</v>
      </c>
      <c r="B1848" s="632"/>
      <c r="C1848" s="633"/>
      <c r="D1848" s="634"/>
      <c r="E1848" s="655"/>
      <c r="F1848" s="684"/>
      <c r="G1848" s="684"/>
      <c r="H1848" s="635"/>
    </row>
    <row r="1849" spans="1:8" ht="12.75" customHeight="1" x14ac:dyDescent="0.25">
      <c r="A1849" s="631">
        <f t="shared" si="28"/>
        <v>1844</v>
      </c>
      <c r="B1849" s="632"/>
      <c r="C1849" s="633"/>
      <c r="D1849" s="634"/>
      <c r="E1849" s="655"/>
      <c r="F1849" s="684"/>
      <c r="G1849" s="684"/>
      <c r="H1849" s="635"/>
    </row>
    <row r="1850" spans="1:8" ht="12.75" customHeight="1" x14ac:dyDescent="0.25">
      <c r="A1850" s="631">
        <f t="shared" si="28"/>
        <v>1845</v>
      </c>
      <c r="B1850" s="632"/>
      <c r="C1850" s="633"/>
      <c r="D1850" s="634"/>
      <c r="E1850" s="655"/>
      <c r="F1850" s="684"/>
      <c r="G1850" s="684"/>
      <c r="H1850" s="635"/>
    </row>
    <row r="1851" spans="1:8" ht="12.75" customHeight="1" x14ac:dyDescent="0.25">
      <c r="A1851" s="631">
        <f t="shared" si="28"/>
        <v>1846</v>
      </c>
      <c r="B1851" s="632"/>
      <c r="C1851" s="633"/>
      <c r="D1851" s="634"/>
      <c r="E1851" s="655"/>
      <c r="F1851" s="684"/>
      <c r="G1851" s="684"/>
      <c r="H1851" s="635"/>
    </row>
    <row r="1852" spans="1:8" ht="12.75" customHeight="1" x14ac:dyDescent="0.25">
      <c r="A1852" s="631">
        <f t="shared" si="28"/>
        <v>1847</v>
      </c>
      <c r="B1852" s="632"/>
      <c r="C1852" s="633"/>
      <c r="D1852" s="634"/>
      <c r="E1852" s="655"/>
      <c r="F1852" s="684"/>
      <c r="G1852" s="684"/>
      <c r="H1852" s="635"/>
    </row>
    <row r="1853" spans="1:8" ht="12.75" customHeight="1" x14ac:dyDescent="0.25">
      <c r="A1853" s="631">
        <f t="shared" si="28"/>
        <v>1848</v>
      </c>
      <c r="B1853" s="632"/>
      <c r="C1853" s="633"/>
      <c r="D1853" s="634"/>
      <c r="E1853" s="655"/>
      <c r="F1853" s="684"/>
      <c r="G1853" s="684"/>
      <c r="H1853" s="635"/>
    </row>
    <row r="1854" spans="1:8" ht="12.75" customHeight="1" x14ac:dyDescent="0.25">
      <c r="A1854" s="631">
        <f t="shared" si="28"/>
        <v>1849</v>
      </c>
      <c r="B1854" s="632"/>
      <c r="C1854" s="633"/>
      <c r="D1854" s="634"/>
      <c r="E1854" s="655"/>
      <c r="F1854" s="684"/>
      <c r="G1854" s="684"/>
      <c r="H1854" s="635"/>
    </row>
    <row r="1855" spans="1:8" ht="12.75" customHeight="1" x14ac:dyDescent="0.25">
      <c r="A1855" s="631">
        <f t="shared" si="28"/>
        <v>1850</v>
      </c>
      <c r="B1855" s="632"/>
      <c r="C1855" s="633"/>
      <c r="D1855" s="634"/>
      <c r="E1855" s="655"/>
      <c r="F1855" s="684"/>
      <c r="G1855" s="684"/>
      <c r="H1855" s="635"/>
    </row>
    <row r="1856" spans="1:8" ht="12.75" customHeight="1" x14ac:dyDescent="0.25">
      <c r="A1856" s="631">
        <f t="shared" si="28"/>
        <v>1851</v>
      </c>
      <c r="B1856" s="632"/>
      <c r="C1856" s="633"/>
      <c r="D1856" s="634"/>
      <c r="E1856" s="655"/>
      <c r="F1856" s="684"/>
      <c r="G1856" s="684"/>
      <c r="H1856" s="635"/>
    </row>
    <row r="1857" spans="1:8" ht="12.75" customHeight="1" x14ac:dyDescent="0.25">
      <c r="A1857" s="631">
        <f t="shared" ref="A1857:A1920" si="29">ROW()-5</f>
        <v>1852</v>
      </c>
      <c r="B1857" s="632"/>
      <c r="C1857" s="633"/>
      <c r="D1857" s="634"/>
      <c r="E1857" s="655"/>
      <c r="F1857" s="684"/>
      <c r="G1857" s="684"/>
      <c r="H1857" s="635"/>
    </row>
    <row r="1858" spans="1:8" ht="12.75" customHeight="1" x14ac:dyDescent="0.25">
      <c r="A1858" s="631">
        <f t="shared" si="29"/>
        <v>1853</v>
      </c>
      <c r="B1858" s="632"/>
      <c r="C1858" s="633"/>
      <c r="D1858" s="634"/>
      <c r="E1858" s="655"/>
      <c r="F1858" s="684"/>
      <c r="G1858" s="684"/>
      <c r="H1858" s="635"/>
    </row>
    <row r="1859" spans="1:8" ht="12.75" customHeight="1" x14ac:dyDescent="0.25">
      <c r="A1859" s="631">
        <f t="shared" si="29"/>
        <v>1854</v>
      </c>
      <c r="B1859" s="632"/>
      <c r="C1859" s="633"/>
      <c r="D1859" s="634"/>
      <c r="E1859" s="655"/>
      <c r="F1859" s="684"/>
      <c r="G1859" s="684"/>
      <c r="H1859" s="635"/>
    </row>
    <row r="1860" spans="1:8" ht="12.75" customHeight="1" x14ac:dyDescent="0.25">
      <c r="A1860" s="631">
        <f t="shared" si="29"/>
        <v>1855</v>
      </c>
      <c r="B1860" s="632"/>
      <c r="C1860" s="633"/>
      <c r="D1860" s="634"/>
      <c r="E1860" s="655"/>
      <c r="F1860" s="684"/>
      <c r="G1860" s="684"/>
      <c r="H1860" s="635"/>
    </row>
    <row r="1861" spans="1:8" ht="12.75" customHeight="1" x14ac:dyDescent="0.25">
      <c r="A1861" s="631">
        <f t="shared" si="29"/>
        <v>1856</v>
      </c>
      <c r="B1861" s="632"/>
      <c r="C1861" s="633"/>
      <c r="D1861" s="634"/>
      <c r="E1861" s="655"/>
      <c r="F1861" s="684"/>
      <c r="G1861" s="684"/>
      <c r="H1861" s="635"/>
    </row>
    <row r="1862" spans="1:8" ht="12.75" customHeight="1" x14ac:dyDescent="0.25">
      <c r="A1862" s="631">
        <f t="shared" si="29"/>
        <v>1857</v>
      </c>
      <c r="B1862" s="632"/>
      <c r="C1862" s="633"/>
      <c r="D1862" s="634"/>
      <c r="E1862" s="655"/>
      <c r="F1862" s="684"/>
      <c r="G1862" s="684"/>
      <c r="H1862" s="635"/>
    </row>
    <row r="1863" spans="1:8" ht="12.75" customHeight="1" x14ac:dyDescent="0.25">
      <c r="A1863" s="631">
        <f t="shared" si="29"/>
        <v>1858</v>
      </c>
      <c r="B1863" s="632"/>
      <c r="C1863" s="633"/>
      <c r="D1863" s="634"/>
      <c r="E1863" s="655"/>
      <c r="F1863" s="684"/>
      <c r="G1863" s="684"/>
      <c r="H1863" s="635"/>
    </row>
    <row r="1864" spans="1:8" ht="12.75" customHeight="1" x14ac:dyDescent="0.25">
      <c r="A1864" s="631">
        <f t="shared" si="29"/>
        <v>1859</v>
      </c>
      <c r="B1864" s="632"/>
      <c r="C1864" s="633"/>
      <c r="D1864" s="634"/>
      <c r="E1864" s="655"/>
      <c r="F1864" s="684"/>
      <c r="G1864" s="684"/>
      <c r="H1864" s="635"/>
    </row>
    <row r="1865" spans="1:8" ht="12.75" customHeight="1" x14ac:dyDescent="0.25">
      <c r="A1865" s="631">
        <f t="shared" si="29"/>
        <v>1860</v>
      </c>
      <c r="B1865" s="632"/>
      <c r="C1865" s="633"/>
      <c r="D1865" s="634"/>
      <c r="E1865" s="655"/>
      <c r="F1865" s="684"/>
      <c r="G1865" s="684"/>
      <c r="H1865" s="635"/>
    </row>
    <row r="1866" spans="1:8" ht="12.75" customHeight="1" x14ac:dyDescent="0.25">
      <c r="A1866" s="631">
        <f t="shared" si="29"/>
        <v>1861</v>
      </c>
      <c r="B1866" s="632"/>
      <c r="C1866" s="633"/>
      <c r="D1866" s="634"/>
      <c r="E1866" s="655"/>
      <c r="F1866" s="684"/>
      <c r="G1866" s="684"/>
      <c r="H1866" s="635"/>
    </row>
    <row r="1867" spans="1:8" ht="12.75" customHeight="1" x14ac:dyDescent="0.25">
      <c r="A1867" s="631">
        <f t="shared" si="29"/>
        <v>1862</v>
      </c>
      <c r="B1867" s="632"/>
      <c r="C1867" s="633"/>
      <c r="D1867" s="634"/>
      <c r="E1867" s="655"/>
      <c r="F1867" s="684"/>
      <c r="G1867" s="684"/>
      <c r="H1867" s="635"/>
    </row>
    <row r="1868" spans="1:8" ht="12.75" customHeight="1" x14ac:dyDescent="0.25">
      <c r="A1868" s="631">
        <f t="shared" si="29"/>
        <v>1863</v>
      </c>
      <c r="B1868" s="632"/>
      <c r="C1868" s="633"/>
      <c r="D1868" s="634"/>
      <c r="E1868" s="655"/>
      <c r="F1868" s="684"/>
      <c r="G1868" s="684"/>
      <c r="H1868" s="635"/>
    </row>
    <row r="1869" spans="1:8" ht="12.75" customHeight="1" x14ac:dyDescent="0.25">
      <c r="A1869" s="631">
        <f t="shared" si="29"/>
        <v>1864</v>
      </c>
      <c r="B1869" s="632"/>
      <c r="C1869" s="633"/>
      <c r="D1869" s="634"/>
      <c r="E1869" s="655"/>
      <c r="F1869" s="684"/>
      <c r="G1869" s="684"/>
      <c r="H1869" s="635"/>
    </row>
    <row r="1870" spans="1:8" ht="12.75" customHeight="1" x14ac:dyDescent="0.25">
      <c r="A1870" s="631">
        <f t="shared" si="29"/>
        <v>1865</v>
      </c>
      <c r="B1870" s="632"/>
      <c r="C1870" s="633"/>
      <c r="D1870" s="634"/>
      <c r="E1870" s="655"/>
      <c r="F1870" s="684"/>
      <c r="G1870" s="684"/>
      <c r="H1870" s="635"/>
    </row>
    <row r="1871" spans="1:8" ht="12.75" customHeight="1" x14ac:dyDescent="0.25">
      <c r="A1871" s="631">
        <f t="shared" si="29"/>
        <v>1866</v>
      </c>
      <c r="B1871" s="632"/>
      <c r="C1871" s="633"/>
      <c r="D1871" s="634"/>
      <c r="E1871" s="655"/>
      <c r="F1871" s="684"/>
      <c r="G1871" s="684"/>
      <c r="H1871" s="635"/>
    </row>
    <row r="1872" spans="1:8" ht="12.75" customHeight="1" x14ac:dyDescent="0.25">
      <c r="A1872" s="631">
        <f t="shared" si="29"/>
        <v>1867</v>
      </c>
      <c r="B1872" s="632"/>
      <c r="C1872" s="633"/>
      <c r="D1872" s="634"/>
      <c r="E1872" s="655"/>
      <c r="F1872" s="684"/>
      <c r="G1872" s="684"/>
      <c r="H1872" s="635"/>
    </row>
    <row r="1873" spans="1:8" ht="12.75" customHeight="1" x14ac:dyDescent="0.25">
      <c r="A1873" s="631">
        <f t="shared" si="29"/>
        <v>1868</v>
      </c>
      <c r="B1873" s="632"/>
      <c r="C1873" s="633"/>
      <c r="D1873" s="634"/>
      <c r="E1873" s="655"/>
      <c r="F1873" s="684"/>
      <c r="G1873" s="684"/>
      <c r="H1873" s="635"/>
    </row>
    <row r="1874" spans="1:8" ht="12.75" customHeight="1" x14ac:dyDescent="0.25">
      <c r="A1874" s="631">
        <f t="shared" si="29"/>
        <v>1869</v>
      </c>
      <c r="B1874" s="632"/>
      <c r="C1874" s="633"/>
      <c r="D1874" s="634"/>
      <c r="E1874" s="655"/>
      <c r="F1874" s="684"/>
      <c r="G1874" s="684"/>
      <c r="H1874" s="635"/>
    </row>
    <row r="1875" spans="1:8" ht="12.75" customHeight="1" x14ac:dyDescent="0.25">
      <c r="A1875" s="631">
        <f t="shared" si="29"/>
        <v>1870</v>
      </c>
      <c r="B1875" s="632"/>
      <c r="C1875" s="633"/>
      <c r="D1875" s="634"/>
      <c r="E1875" s="655"/>
      <c r="F1875" s="684"/>
      <c r="G1875" s="684"/>
      <c r="H1875" s="635"/>
    </row>
    <row r="1876" spans="1:8" ht="12.75" customHeight="1" x14ac:dyDescent="0.25">
      <c r="A1876" s="631">
        <f t="shared" si="29"/>
        <v>1871</v>
      </c>
      <c r="B1876" s="632"/>
      <c r="C1876" s="633"/>
      <c r="D1876" s="634"/>
      <c r="E1876" s="655"/>
      <c r="F1876" s="684"/>
      <c r="G1876" s="684"/>
      <c r="H1876" s="635"/>
    </row>
    <row r="1877" spans="1:8" ht="12.75" customHeight="1" x14ac:dyDescent="0.25">
      <c r="A1877" s="631">
        <f t="shared" si="29"/>
        <v>1872</v>
      </c>
      <c r="B1877" s="632"/>
      <c r="C1877" s="633"/>
      <c r="D1877" s="634"/>
      <c r="E1877" s="655"/>
      <c r="F1877" s="684"/>
      <c r="G1877" s="684"/>
      <c r="H1877" s="635"/>
    </row>
    <row r="1878" spans="1:8" ht="12.75" customHeight="1" x14ac:dyDescent="0.25">
      <c r="A1878" s="631">
        <f t="shared" si="29"/>
        <v>1873</v>
      </c>
      <c r="B1878" s="632"/>
      <c r="C1878" s="633"/>
      <c r="D1878" s="634"/>
      <c r="E1878" s="655"/>
      <c r="F1878" s="684"/>
      <c r="G1878" s="684"/>
      <c r="H1878" s="635"/>
    </row>
    <row r="1879" spans="1:8" ht="12.75" customHeight="1" x14ac:dyDescent="0.25">
      <c r="A1879" s="631">
        <f t="shared" si="29"/>
        <v>1874</v>
      </c>
      <c r="B1879" s="632"/>
      <c r="C1879" s="633"/>
      <c r="D1879" s="634"/>
      <c r="E1879" s="655"/>
      <c r="F1879" s="684"/>
      <c r="G1879" s="684"/>
      <c r="H1879" s="635"/>
    </row>
    <row r="1880" spans="1:8" ht="12.75" customHeight="1" x14ac:dyDescent="0.25">
      <c r="A1880" s="631">
        <f t="shared" si="29"/>
        <v>1875</v>
      </c>
      <c r="B1880" s="632"/>
      <c r="C1880" s="633"/>
      <c r="D1880" s="634"/>
      <c r="E1880" s="655"/>
      <c r="F1880" s="684"/>
      <c r="G1880" s="684"/>
      <c r="H1880" s="635"/>
    </row>
    <row r="1881" spans="1:8" ht="12.75" customHeight="1" x14ac:dyDescent="0.25">
      <c r="A1881" s="631">
        <f t="shared" si="29"/>
        <v>1876</v>
      </c>
      <c r="B1881" s="632"/>
      <c r="C1881" s="633"/>
      <c r="D1881" s="634"/>
      <c r="E1881" s="655"/>
      <c r="F1881" s="684"/>
      <c r="G1881" s="684"/>
      <c r="H1881" s="635"/>
    </row>
    <row r="1882" spans="1:8" ht="12.75" customHeight="1" x14ac:dyDescent="0.25">
      <c r="A1882" s="631">
        <f t="shared" si="29"/>
        <v>1877</v>
      </c>
      <c r="B1882" s="632"/>
      <c r="C1882" s="633"/>
      <c r="D1882" s="634"/>
      <c r="E1882" s="655"/>
      <c r="F1882" s="684"/>
      <c r="G1882" s="684"/>
      <c r="H1882" s="635"/>
    </row>
    <row r="1883" spans="1:8" ht="12.75" customHeight="1" x14ac:dyDescent="0.25">
      <c r="A1883" s="631">
        <f t="shared" si="29"/>
        <v>1878</v>
      </c>
      <c r="B1883" s="632"/>
      <c r="C1883" s="633"/>
      <c r="D1883" s="634"/>
      <c r="E1883" s="655"/>
      <c r="F1883" s="684"/>
      <c r="G1883" s="684"/>
      <c r="H1883" s="635"/>
    </row>
    <row r="1884" spans="1:8" ht="12.75" customHeight="1" x14ac:dyDescent="0.25">
      <c r="A1884" s="631">
        <f t="shared" si="29"/>
        <v>1879</v>
      </c>
      <c r="B1884" s="632"/>
      <c r="C1884" s="633"/>
      <c r="D1884" s="634"/>
      <c r="E1884" s="655"/>
      <c r="F1884" s="684"/>
      <c r="G1884" s="684"/>
      <c r="H1884" s="635"/>
    </row>
    <row r="1885" spans="1:8" ht="12.75" customHeight="1" x14ac:dyDescent="0.25">
      <c r="A1885" s="631">
        <f t="shared" si="29"/>
        <v>1880</v>
      </c>
      <c r="B1885" s="632"/>
      <c r="C1885" s="633"/>
      <c r="D1885" s="634"/>
      <c r="E1885" s="655"/>
      <c r="F1885" s="684"/>
      <c r="G1885" s="684"/>
      <c r="H1885" s="635"/>
    </row>
    <row r="1886" spans="1:8" ht="12.75" customHeight="1" x14ac:dyDescent="0.25">
      <c r="A1886" s="631">
        <f t="shared" si="29"/>
        <v>1881</v>
      </c>
      <c r="B1886" s="632"/>
      <c r="C1886" s="633"/>
      <c r="D1886" s="634"/>
      <c r="E1886" s="655"/>
      <c r="F1886" s="684"/>
      <c r="G1886" s="684"/>
      <c r="H1886" s="635"/>
    </row>
    <row r="1887" spans="1:8" ht="12.75" customHeight="1" x14ac:dyDescent="0.25">
      <c r="A1887" s="631">
        <f t="shared" si="29"/>
        <v>1882</v>
      </c>
      <c r="B1887" s="632"/>
      <c r="C1887" s="633"/>
      <c r="D1887" s="634"/>
      <c r="E1887" s="655"/>
      <c r="F1887" s="684"/>
      <c r="G1887" s="684"/>
      <c r="H1887" s="635"/>
    </row>
    <row r="1888" spans="1:8" ht="12.75" customHeight="1" x14ac:dyDescent="0.25">
      <c r="A1888" s="631">
        <f t="shared" si="29"/>
        <v>1883</v>
      </c>
      <c r="B1888" s="632"/>
      <c r="C1888" s="633"/>
      <c r="D1888" s="634"/>
      <c r="E1888" s="655"/>
      <c r="F1888" s="684"/>
      <c r="G1888" s="684"/>
      <c r="H1888" s="635"/>
    </row>
    <row r="1889" spans="1:8" ht="12.75" customHeight="1" x14ac:dyDescent="0.25">
      <c r="A1889" s="631">
        <f t="shared" si="29"/>
        <v>1884</v>
      </c>
      <c r="B1889" s="632"/>
      <c r="C1889" s="633"/>
      <c r="D1889" s="634"/>
      <c r="E1889" s="655"/>
      <c r="F1889" s="684"/>
      <c r="G1889" s="684"/>
      <c r="H1889" s="635"/>
    </row>
    <row r="1890" spans="1:8" ht="12.75" customHeight="1" x14ac:dyDescent="0.25">
      <c r="A1890" s="631">
        <f t="shared" si="29"/>
        <v>1885</v>
      </c>
      <c r="B1890" s="632"/>
      <c r="C1890" s="633"/>
      <c r="D1890" s="634"/>
      <c r="E1890" s="655"/>
      <c r="F1890" s="684"/>
      <c r="G1890" s="684"/>
      <c r="H1890" s="635"/>
    </row>
    <row r="1891" spans="1:8" ht="12.75" customHeight="1" x14ac:dyDescent="0.25">
      <c r="A1891" s="631">
        <f t="shared" si="29"/>
        <v>1886</v>
      </c>
      <c r="B1891" s="632"/>
      <c r="C1891" s="633"/>
      <c r="D1891" s="634"/>
      <c r="E1891" s="655"/>
      <c r="F1891" s="684"/>
      <c r="G1891" s="684"/>
      <c r="H1891" s="635"/>
    </row>
    <row r="1892" spans="1:8" ht="12.75" customHeight="1" x14ac:dyDescent="0.25">
      <c r="A1892" s="631">
        <f t="shared" si="29"/>
        <v>1887</v>
      </c>
      <c r="B1892" s="632"/>
      <c r="C1892" s="633"/>
      <c r="D1892" s="634"/>
      <c r="E1892" s="655"/>
      <c r="F1892" s="684"/>
      <c r="G1892" s="684"/>
      <c r="H1892" s="635"/>
    </row>
    <row r="1893" spans="1:8" ht="12.75" customHeight="1" x14ac:dyDescent="0.25">
      <c r="A1893" s="631">
        <f t="shared" si="29"/>
        <v>1888</v>
      </c>
      <c r="B1893" s="632"/>
      <c r="C1893" s="633"/>
      <c r="D1893" s="634"/>
      <c r="E1893" s="655"/>
      <c r="F1893" s="684"/>
      <c r="G1893" s="684"/>
      <c r="H1893" s="635"/>
    </row>
    <row r="1894" spans="1:8" ht="12.75" customHeight="1" x14ac:dyDescent="0.25">
      <c r="A1894" s="631">
        <f t="shared" si="29"/>
        <v>1889</v>
      </c>
      <c r="B1894" s="632"/>
      <c r="C1894" s="633"/>
      <c r="D1894" s="634"/>
      <c r="E1894" s="655"/>
      <c r="F1894" s="684"/>
      <c r="G1894" s="684"/>
      <c r="H1894" s="635"/>
    </row>
    <row r="1895" spans="1:8" ht="12.75" customHeight="1" x14ac:dyDescent="0.25">
      <c r="A1895" s="631">
        <f t="shared" si="29"/>
        <v>1890</v>
      </c>
      <c r="B1895" s="632"/>
      <c r="C1895" s="633"/>
      <c r="D1895" s="634"/>
      <c r="E1895" s="655"/>
      <c r="F1895" s="684"/>
      <c r="G1895" s="684"/>
      <c r="H1895" s="635"/>
    </row>
    <row r="1896" spans="1:8" ht="12.75" customHeight="1" x14ac:dyDescent="0.25">
      <c r="A1896" s="631">
        <f t="shared" si="29"/>
        <v>1891</v>
      </c>
      <c r="B1896" s="632"/>
      <c r="C1896" s="633"/>
      <c r="D1896" s="634"/>
      <c r="E1896" s="655"/>
      <c r="F1896" s="684"/>
      <c r="G1896" s="684"/>
      <c r="H1896" s="635"/>
    </row>
    <row r="1897" spans="1:8" ht="12.75" customHeight="1" x14ac:dyDescent="0.25">
      <c r="A1897" s="631">
        <f t="shared" si="29"/>
        <v>1892</v>
      </c>
      <c r="B1897" s="632"/>
      <c r="C1897" s="633"/>
      <c r="D1897" s="634"/>
      <c r="E1897" s="655"/>
      <c r="F1897" s="684"/>
      <c r="G1897" s="684"/>
      <c r="H1897" s="635"/>
    </row>
    <row r="1898" spans="1:8" ht="12.75" customHeight="1" x14ac:dyDescent="0.25">
      <c r="A1898" s="631">
        <f t="shared" si="29"/>
        <v>1893</v>
      </c>
      <c r="B1898" s="632"/>
      <c r="C1898" s="633"/>
      <c r="D1898" s="634"/>
      <c r="E1898" s="655"/>
      <c r="F1898" s="684"/>
      <c r="G1898" s="684"/>
      <c r="H1898" s="635"/>
    </row>
    <row r="1899" spans="1:8" ht="12.75" customHeight="1" x14ac:dyDescent="0.25">
      <c r="A1899" s="631">
        <f t="shared" si="29"/>
        <v>1894</v>
      </c>
      <c r="B1899" s="632"/>
      <c r="C1899" s="633"/>
      <c r="D1899" s="634"/>
      <c r="E1899" s="655"/>
      <c r="F1899" s="684"/>
      <c r="G1899" s="684"/>
      <c r="H1899" s="635"/>
    </row>
    <row r="1900" spans="1:8" ht="12.75" customHeight="1" x14ac:dyDescent="0.25">
      <c r="A1900" s="631">
        <f t="shared" si="29"/>
        <v>1895</v>
      </c>
      <c r="B1900" s="632"/>
      <c r="C1900" s="633"/>
      <c r="D1900" s="634"/>
      <c r="E1900" s="655"/>
      <c r="F1900" s="684"/>
      <c r="G1900" s="684"/>
      <c r="H1900" s="635"/>
    </row>
    <row r="1901" spans="1:8" ht="12.75" customHeight="1" x14ac:dyDescent="0.25">
      <c r="A1901" s="631">
        <f t="shared" si="29"/>
        <v>1896</v>
      </c>
      <c r="B1901" s="632"/>
      <c r="C1901" s="633"/>
      <c r="D1901" s="634"/>
      <c r="E1901" s="655"/>
      <c r="F1901" s="684"/>
      <c r="G1901" s="684"/>
      <c r="H1901" s="635"/>
    </row>
    <row r="1902" spans="1:8" ht="12.75" customHeight="1" x14ac:dyDescent="0.25">
      <c r="A1902" s="631">
        <f t="shared" si="29"/>
        <v>1897</v>
      </c>
      <c r="B1902" s="632"/>
      <c r="C1902" s="633"/>
      <c r="D1902" s="634"/>
      <c r="E1902" s="655"/>
      <c r="F1902" s="684"/>
      <c r="G1902" s="684"/>
      <c r="H1902" s="635"/>
    </row>
    <row r="1903" spans="1:8" ht="12.75" customHeight="1" x14ac:dyDescent="0.25">
      <c r="A1903" s="631">
        <f t="shared" si="29"/>
        <v>1898</v>
      </c>
      <c r="B1903" s="632"/>
      <c r="C1903" s="633"/>
      <c r="D1903" s="634"/>
      <c r="E1903" s="655"/>
      <c r="F1903" s="684"/>
      <c r="G1903" s="684"/>
      <c r="H1903" s="635"/>
    </row>
    <row r="1904" spans="1:8" ht="12.75" customHeight="1" x14ac:dyDescent="0.25">
      <c r="A1904" s="631">
        <f t="shared" si="29"/>
        <v>1899</v>
      </c>
      <c r="B1904" s="632"/>
      <c r="C1904" s="633"/>
      <c r="D1904" s="634"/>
      <c r="E1904" s="655"/>
      <c r="F1904" s="684"/>
      <c r="G1904" s="684"/>
      <c r="H1904" s="635"/>
    </row>
    <row r="1905" spans="1:8" ht="12.75" customHeight="1" x14ac:dyDescent="0.25">
      <c r="A1905" s="631">
        <f t="shared" si="29"/>
        <v>1900</v>
      </c>
      <c r="B1905" s="632"/>
      <c r="C1905" s="633"/>
      <c r="D1905" s="634"/>
      <c r="E1905" s="655"/>
      <c r="F1905" s="684"/>
      <c r="G1905" s="684"/>
      <c r="H1905" s="635"/>
    </row>
    <row r="1906" spans="1:8" ht="12.75" customHeight="1" x14ac:dyDescent="0.25">
      <c r="A1906" s="631">
        <f t="shared" si="29"/>
        <v>1901</v>
      </c>
      <c r="B1906" s="632"/>
      <c r="C1906" s="633"/>
      <c r="D1906" s="634"/>
      <c r="E1906" s="655"/>
      <c r="F1906" s="684"/>
      <c r="G1906" s="684"/>
      <c r="H1906" s="635"/>
    </row>
    <row r="1907" spans="1:8" ht="12.75" customHeight="1" x14ac:dyDescent="0.25">
      <c r="A1907" s="631">
        <f t="shared" si="29"/>
        <v>1902</v>
      </c>
      <c r="B1907" s="632"/>
      <c r="C1907" s="633"/>
      <c r="D1907" s="634"/>
      <c r="E1907" s="655"/>
      <c r="F1907" s="684"/>
      <c r="G1907" s="684"/>
      <c r="H1907" s="635"/>
    </row>
    <row r="1908" spans="1:8" ht="12.75" customHeight="1" x14ac:dyDescent="0.25">
      <c r="A1908" s="631">
        <f t="shared" si="29"/>
        <v>1903</v>
      </c>
      <c r="B1908" s="632"/>
      <c r="C1908" s="633"/>
      <c r="D1908" s="634"/>
      <c r="E1908" s="655"/>
      <c r="F1908" s="684"/>
      <c r="G1908" s="684"/>
      <c r="H1908" s="635"/>
    </row>
    <row r="1909" spans="1:8" ht="12.75" customHeight="1" x14ac:dyDescent="0.25">
      <c r="A1909" s="631">
        <f t="shared" si="29"/>
        <v>1904</v>
      </c>
      <c r="B1909" s="632"/>
      <c r="C1909" s="633"/>
      <c r="D1909" s="634"/>
      <c r="E1909" s="655"/>
      <c r="F1909" s="684"/>
      <c r="G1909" s="684"/>
      <c r="H1909" s="635"/>
    </row>
    <row r="1910" spans="1:8" ht="12.75" customHeight="1" x14ac:dyDescent="0.25">
      <c r="A1910" s="631">
        <f t="shared" si="29"/>
        <v>1905</v>
      </c>
      <c r="B1910" s="632"/>
      <c r="C1910" s="633"/>
      <c r="D1910" s="634"/>
      <c r="E1910" s="655"/>
      <c r="F1910" s="684"/>
      <c r="G1910" s="684"/>
      <c r="H1910" s="635"/>
    </row>
    <row r="1911" spans="1:8" ht="12.75" customHeight="1" x14ac:dyDescent="0.25">
      <c r="A1911" s="631">
        <f t="shared" si="29"/>
        <v>1906</v>
      </c>
      <c r="B1911" s="632"/>
      <c r="C1911" s="633"/>
      <c r="D1911" s="634"/>
      <c r="E1911" s="655"/>
      <c r="F1911" s="684"/>
      <c r="G1911" s="684"/>
      <c r="H1911" s="635"/>
    </row>
    <row r="1912" spans="1:8" ht="12.75" customHeight="1" x14ac:dyDescent="0.25">
      <c r="A1912" s="631">
        <f t="shared" si="29"/>
        <v>1907</v>
      </c>
      <c r="B1912" s="632"/>
      <c r="C1912" s="633"/>
      <c r="D1912" s="634"/>
      <c r="E1912" s="655"/>
      <c r="F1912" s="684"/>
      <c r="G1912" s="684"/>
      <c r="H1912" s="635"/>
    </row>
    <row r="1913" spans="1:8" ht="12.75" customHeight="1" x14ac:dyDescent="0.25">
      <c r="A1913" s="631">
        <f t="shared" si="29"/>
        <v>1908</v>
      </c>
      <c r="B1913" s="632"/>
      <c r="C1913" s="633"/>
      <c r="D1913" s="634"/>
      <c r="E1913" s="655"/>
      <c r="F1913" s="684"/>
      <c r="G1913" s="684"/>
      <c r="H1913" s="635"/>
    </row>
    <row r="1914" spans="1:8" ht="12.75" customHeight="1" x14ac:dyDescent="0.25">
      <c r="A1914" s="631">
        <f t="shared" si="29"/>
        <v>1909</v>
      </c>
      <c r="B1914" s="632"/>
      <c r="C1914" s="633"/>
      <c r="D1914" s="634"/>
      <c r="E1914" s="655"/>
      <c r="F1914" s="684"/>
      <c r="G1914" s="684"/>
      <c r="H1914" s="635"/>
    </row>
    <row r="1915" spans="1:8" ht="12.75" customHeight="1" x14ac:dyDescent="0.25">
      <c r="A1915" s="631">
        <f t="shared" si="29"/>
        <v>1910</v>
      </c>
      <c r="B1915" s="632"/>
      <c r="C1915" s="633"/>
      <c r="D1915" s="634"/>
      <c r="E1915" s="655"/>
      <c r="F1915" s="684"/>
      <c r="G1915" s="684"/>
      <c r="H1915" s="635"/>
    </row>
    <row r="1916" spans="1:8" ht="12.75" customHeight="1" x14ac:dyDescent="0.25">
      <c r="A1916" s="631">
        <f t="shared" si="29"/>
        <v>1911</v>
      </c>
      <c r="B1916" s="632"/>
      <c r="C1916" s="633"/>
      <c r="D1916" s="634"/>
      <c r="E1916" s="655"/>
      <c r="F1916" s="684"/>
      <c r="G1916" s="684"/>
      <c r="H1916" s="635"/>
    </row>
    <row r="1917" spans="1:8" ht="12.75" customHeight="1" x14ac:dyDescent="0.25">
      <c r="A1917" s="631">
        <f t="shared" si="29"/>
        <v>1912</v>
      </c>
      <c r="B1917" s="632"/>
      <c r="C1917" s="633"/>
      <c r="D1917" s="634"/>
      <c r="E1917" s="655"/>
      <c r="F1917" s="684"/>
      <c r="G1917" s="684"/>
      <c r="H1917" s="635"/>
    </row>
    <row r="1918" spans="1:8" ht="12.75" customHeight="1" x14ac:dyDescent="0.25">
      <c r="A1918" s="631">
        <f t="shared" si="29"/>
        <v>1913</v>
      </c>
      <c r="B1918" s="632"/>
      <c r="C1918" s="633"/>
      <c r="D1918" s="634"/>
      <c r="E1918" s="655"/>
      <c r="F1918" s="684"/>
      <c r="G1918" s="684"/>
      <c r="H1918" s="635"/>
    </row>
    <row r="1919" spans="1:8" ht="12.75" customHeight="1" x14ac:dyDescent="0.25">
      <c r="A1919" s="631">
        <f t="shared" si="29"/>
        <v>1914</v>
      </c>
      <c r="B1919" s="632"/>
      <c r="C1919" s="633"/>
      <c r="D1919" s="634"/>
      <c r="E1919" s="655"/>
      <c r="F1919" s="684"/>
      <c r="G1919" s="684"/>
      <c r="H1919" s="635"/>
    </row>
    <row r="1920" spans="1:8" ht="12.75" customHeight="1" x14ac:dyDescent="0.25">
      <c r="A1920" s="631">
        <f t="shared" si="29"/>
        <v>1915</v>
      </c>
      <c r="B1920" s="632"/>
      <c r="C1920" s="633"/>
      <c r="D1920" s="634"/>
      <c r="E1920" s="655"/>
      <c r="F1920" s="684"/>
      <c r="G1920" s="684"/>
      <c r="H1920" s="635"/>
    </row>
    <row r="1921" spans="1:8" ht="12.75" customHeight="1" x14ac:dyDescent="0.25">
      <c r="A1921" s="631">
        <f t="shared" ref="A1921:A1984" si="30">ROW()-5</f>
        <v>1916</v>
      </c>
      <c r="B1921" s="632"/>
      <c r="C1921" s="633"/>
      <c r="D1921" s="634"/>
      <c r="E1921" s="655"/>
      <c r="F1921" s="684"/>
      <c r="G1921" s="684"/>
      <c r="H1921" s="635"/>
    </row>
    <row r="1922" spans="1:8" ht="12.75" customHeight="1" x14ac:dyDescent="0.25">
      <c r="A1922" s="631">
        <f t="shared" si="30"/>
        <v>1917</v>
      </c>
      <c r="B1922" s="632"/>
      <c r="C1922" s="633"/>
      <c r="D1922" s="634"/>
      <c r="E1922" s="655"/>
      <c r="F1922" s="684"/>
      <c r="G1922" s="684"/>
      <c r="H1922" s="635"/>
    </row>
    <row r="1923" spans="1:8" ht="12.75" customHeight="1" x14ac:dyDescent="0.25">
      <c r="A1923" s="631">
        <f t="shared" si="30"/>
        <v>1918</v>
      </c>
      <c r="B1923" s="632"/>
      <c r="C1923" s="633"/>
      <c r="D1923" s="634"/>
      <c r="E1923" s="655"/>
      <c r="F1923" s="684"/>
      <c r="G1923" s="684"/>
      <c r="H1923" s="635"/>
    </row>
    <row r="1924" spans="1:8" ht="12.75" customHeight="1" x14ac:dyDescent="0.25">
      <c r="A1924" s="631">
        <f t="shared" si="30"/>
        <v>1919</v>
      </c>
      <c r="B1924" s="632"/>
      <c r="C1924" s="633"/>
      <c r="D1924" s="634"/>
      <c r="E1924" s="655"/>
      <c r="F1924" s="684"/>
      <c r="G1924" s="684"/>
      <c r="H1924" s="635"/>
    </row>
    <row r="1925" spans="1:8" ht="12.75" customHeight="1" x14ac:dyDescent="0.25">
      <c r="A1925" s="631">
        <f t="shared" si="30"/>
        <v>1920</v>
      </c>
      <c r="B1925" s="632"/>
      <c r="C1925" s="633"/>
      <c r="D1925" s="634"/>
      <c r="E1925" s="655"/>
      <c r="F1925" s="684"/>
      <c r="G1925" s="684"/>
      <c r="H1925" s="635"/>
    </row>
    <row r="1926" spans="1:8" ht="12.75" customHeight="1" x14ac:dyDescent="0.25">
      <c r="A1926" s="631">
        <f t="shared" si="30"/>
        <v>1921</v>
      </c>
      <c r="B1926" s="632"/>
      <c r="C1926" s="633"/>
      <c r="D1926" s="634"/>
      <c r="E1926" s="655"/>
      <c r="F1926" s="684"/>
      <c r="G1926" s="684"/>
      <c r="H1926" s="635"/>
    </row>
    <row r="1927" spans="1:8" ht="12.75" customHeight="1" x14ac:dyDescent="0.25">
      <c r="A1927" s="631">
        <f t="shared" si="30"/>
        <v>1922</v>
      </c>
      <c r="B1927" s="632"/>
      <c r="C1927" s="633"/>
      <c r="D1927" s="634"/>
      <c r="E1927" s="655"/>
      <c r="F1927" s="684"/>
      <c r="G1927" s="684"/>
      <c r="H1927" s="635"/>
    </row>
    <row r="1928" spans="1:8" ht="12.75" customHeight="1" x14ac:dyDescent="0.25">
      <c r="A1928" s="631">
        <f t="shared" si="30"/>
        <v>1923</v>
      </c>
      <c r="B1928" s="632"/>
      <c r="C1928" s="633"/>
      <c r="D1928" s="634"/>
      <c r="E1928" s="655"/>
      <c r="F1928" s="684"/>
      <c r="G1928" s="684"/>
      <c r="H1928" s="635"/>
    </row>
    <row r="1929" spans="1:8" ht="12.75" customHeight="1" x14ac:dyDescent="0.25">
      <c r="A1929" s="631">
        <f t="shared" si="30"/>
        <v>1924</v>
      </c>
      <c r="B1929" s="632"/>
      <c r="C1929" s="633"/>
      <c r="D1929" s="634"/>
      <c r="E1929" s="655"/>
      <c r="F1929" s="684"/>
      <c r="G1929" s="684"/>
      <c r="H1929" s="635"/>
    </row>
    <row r="1930" spans="1:8" ht="12.75" customHeight="1" x14ac:dyDescent="0.25">
      <c r="A1930" s="631">
        <f t="shared" si="30"/>
        <v>1925</v>
      </c>
      <c r="B1930" s="632"/>
      <c r="C1930" s="633"/>
      <c r="D1930" s="634"/>
      <c r="E1930" s="655"/>
      <c r="F1930" s="684"/>
      <c r="G1930" s="684"/>
      <c r="H1930" s="635"/>
    </row>
    <row r="1931" spans="1:8" ht="12.75" customHeight="1" x14ac:dyDescent="0.25">
      <c r="A1931" s="631">
        <f t="shared" si="30"/>
        <v>1926</v>
      </c>
      <c r="B1931" s="632"/>
      <c r="C1931" s="633"/>
      <c r="D1931" s="634"/>
      <c r="E1931" s="655"/>
      <c r="F1931" s="684"/>
      <c r="G1931" s="684"/>
      <c r="H1931" s="635"/>
    </row>
    <row r="1932" spans="1:8" ht="12.75" customHeight="1" x14ac:dyDescent="0.25">
      <c r="A1932" s="631">
        <f t="shared" si="30"/>
        <v>1927</v>
      </c>
      <c r="B1932" s="632"/>
      <c r="C1932" s="633"/>
      <c r="D1932" s="634"/>
      <c r="E1932" s="655"/>
      <c r="F1932" s="684"/>
      <c r="G1932" s="684"/>
      <c r="H1932" s="635"/>
    </row>
    <row r="1933" spans="1:8" ht="12.75" customHeight="1" x14ac:dyDescent="0.25">
      <c r="A1933" s="631">
        <f t="shared" si="30"/>
        <v>1928</v>
      </c>
      <c r="B1933" s="632"/>
      <c r="C1933" s="633"/>
      <c r="D1933" s="634"/>
      <c r="E1933" s="655"/>
      <c r="F1933" s="684"/>
      <c r="G1933" s="684"/>
      <c r="H1933" s="635"/>
    </row>
    <row r="1934" spans="1:8" ht="12.75" customHeight="1" x14ac:dyDescent="0.25">
      <c r="A1934" s="631">
        <f t="shared" si="30"/>
        <v>1929</v>
      </c>
      <c r="B1934" s="632"/>
      <c r="C1934" s="633"/>
      <c r="D1934" s="634"/>
      <c r="E1934" s="655"/>
      <c r="F1934" s="684"/>
      <c r="G1934" s="684"/>
      <c r="H1934" s="635"/>
    </row>
    <row r="1935" spans="1:8" ht="12.75" customHeight="1" x14ac:dyDescent="0.25">
      <c r="A1935" s="631">
        <f t="shared" si="30"/>
        <v>1930</v>
      </c>
      <c r="B1935" s="632"/>
      <c r="C1935" s="633"/>
      <c r="D1935" s="634"/>
      <c r="E1935" s="655"/>
      <c r="F1935" s="684"/>
      <c r="G1935" s="684"/>
      <c r="H1935" s="635"/>
    </row>
    <row r="1936" spans="1:8" ht="12.75" customHeight="1" x14ac:dyDescent="0.25">
      <c r="A1936" s="631">
        <f t="shared" si="30"/>
        <v>1931</v>
      </c>
      <c r="B1936" s="632"/>
      <c r="C1936" s="633"/>
      <c r="D1936" s="634"/>
      <c r="E1936" s="655"/>
      <c r="F1936" s="684"/>
      <c r="G1936" s="684"/>
      <c r="H1936" s="635"/>
    </row>
    <row r="1937" spans="1:8" ht="12.75" customHeight="1" x14ac:dyDescent="0.25">
      <c r="A1937" s="631">
        <f t="shared" si="30"/>
        <v>1932</v>
      </c>
      <c r="B1937" s="632"/>
      <c r="C1937" s="633"/>
      <c r="D1937" s="634"/>
      <c r="E1937" s="655"/>
      <c r="F1937" s="684"/>
      <c r="G1937" s="684"/>
      <c r="H1937" s="635"/>
    </row>
    <row r="1938" spans="1:8" ht="12.75" customHeight="1" x14ac:dyDescent="0.25">
      <c r="A1938" s="631">
        <f t="shared" si="30"/>
        <v>1933</v>
      </c>
      <c r="B1938" s="632"/>
      <c r="C1938" s="633"/>
      <c r="D1938" s="634"/>
      <c r="E1938" s="655"/>
      <c r="F1938" s="684"/>
      <c r="G1938" s="684"/>
      <c r="H1938" s="635"/>
    </row>
    <row r="1939" spans="1:8" ht="12.75" customHeight="1" x14ac:dyDescent="0.25">
      <c r="A1939" s="631">
        <f t="shared" si="30"/>
        <v>1934</v>
      </c>
      <c r="B1939" s="632"/>
      <c r="C1939" s="633"/>
      <c r="D1939" s="634"/>
      <c r="E1939" s="655"/>
      <c r="F1939" s="684"/>
      <c r="G1939" s="684"/>
      <c r="H1939" s="635"/>
    </row>
    <row r="1940" spans="1:8" ht="12.75" customHeight="1" x14ac:dyDescent="0.25">
      <c r="A1940" s="631">
        <f t="shared" si="30"/>
        <v>1935</v>
      </c>
      <c r="B1940" s="632"/>
      <c r="C1940" s="633"/>
      <c r="D1940" s="634"/>
      <c r="E1940" s="655"/>
      <c r="F1940" s="684"/>
      <c r="G1940" s="684"/>
      <c r="H1940" s="635"/>
    </row>
    <row r="1941" spans="1:8" ht="12.75" customHeight="1" x14ac:dyDescent="0.25">
      <c r="A1941" s="631">
        <f t="shared" si="30"/>
        <v>1936</v>
      </c>
      <c r="B1941" s="632"/>
      <c r="C1941" s="633"/>
      <c r="D1941" s="634"/>
      <c r="E1941" s="655"/>
      <c r="F1941" s="684"/>
      <c r="G1941" s="684"/>
      <c r="H1941" s="635"/>
    </row>
    <row r="1942" spans="1:8" ht="12.75" customHeight="1" x14ac:dyDescent="0.25">
      <c r="A1942" s="631">
        <f t="shared" si="30"/>
        <v>1937</v>
      </c>
      <c r="B1942" s="632"/>
      <c r="C1942" s="633"/>
      <c r="D1942" s="634"/>
      <c r="E1942" s="655"/>
      <c r="F1942" s="684"/>
      <c r="G1942" s="684"/>
      <c r="H1942" s="635"/>
    </row>
    <row r="1943" spans="1:8" ht="12.75" customHeight="1" x14ac:dyDescent="0.25">
      <c r="A1943" s="631">
        <f t="shared" si="30"/>
        <v>1938</v>
      </c>
      <c r="B1943" s="632"/>
      <c r="C1943" s="633"/>
      <c r="D1943" s="634"/>
      <c r="E1943" s="655"/>
      <c r="F1943" s="684"/>
      <c r="G1943" s="684"/>
      <c r="H1943" s="635"/>
    </row>
    <row r="1944" spans="1:8" ht="12.75" customHeight="1" x14ac:dyDescent="0.25">
      <c r="A1944" s="631">
        <f t="shared" si="30"/>
        <v>1939</v>
      </c>
      <c r="B1944" s="632"/>
      <c r="C1944" s="633"/>
      <c r="D1944" s="634"/>
      <c r="E1944" s="655"/>
      <c r="F1944" s="684"/>
      <c r="G1944" s="684"/>
      <c r="H1944" s="635"/>
    </row>
    <row r="1945" spans="1:8" ht="12.75" customHeight="1" x14ac:dyDescent="0.25">
      <c r="A1945" s="631">
        <f t="shared" si="30"/>
        <v>1940</v>
      </c>
      <c r="B1945" s="632"/>
      <c r="C1945" s="633"/>
      <c r="D1945" s="634"/>
      <c r="E1945" s="655"/>
      <c r="F1945" s="684"/>
      <c r="G1945" s="684"/>
      <c r="H1945" s="635"/>
    </row>
    <row r="1946" spans="1:8" ht="12.75" customHeight="1" x14ac:dyDescent="0.25">
      <c r="A1946" s="631">
        <f t="shared" si="30"/>
        <v>1941</v>
      </c>
      <c r="B1946" s="632"/>
      <c r="C1946" s="633"/>
      <c r="D1946" s="634"/>
      <c r="E1946" s="655"/>
      <c r="F1946" s="684"/>
      <c r="G1946" s="684"/>
      <c r="H1946" s="635"/>
    </row>
    <row r="1947" spans="1:8" ht="12.75" customHeight="1" x14ac:dyDescent="0.25">
      <c r="A1947" s="631">
        <f t="shared" si="30"/>
        <v>1942</v>
      </c>
      <c r="B1947" s="632"/>
      <c r="C1947" s="633"/>
      <c r="D1947" s="634"/>
      <c r="E1947" s="655"/>
      <c r="F1947" s="684"/>
      <c r="G1947" s="684"/>
      <c r="H1947" s="635"/>
    </row>
    <row r="1948" spans="1:8" ht="12.75" customHeight="1" x14ac:dyDescent="0.25">
      <c r="A1948" s="631">
        <f t="shared" si="30"/>
        <v>1943</v>
      </c>
      <c r="B1948" s="632"/>
      <c r="C1948" s="633"/>
      <c r="D1948" s="634"/>
      <c r="E1948" s="655"/>
      <c r="F1948" s="684"/>
      <c r="G1948" s="684"/>
      <c r="H1948" s="635"/>
    </row>
    <row r="1949" spans="1:8" ht="12.75" customHeight="1" x14ac:dyDescent="0.25">
      <c r="A1949" s="631">
        <f t="shared" si="30"/>
        <v>1944</v>
      </c>
      <c r="B1949" s="632"/>
      <c r="C1949" s="633"/>
      <c r="D1949" s="634"/>
      <c r="E1949" s="655"/>
      <c r="F1949" s="684"/>
      <c r="G1949" s="684"/>
      <c r="H1949" s="635"/>
    </row>
    <row r="1950" spans="1:8" ht="12.75" customHeight="1" x14ac:dyDescent="0.25">
      <c r="A1950" s="631">
        <f t="shared" si="30"/>
        <v>1945</v>
      </c>
      <c r="B1950" s="632"/>
      <c r="C1950" s="633"/>
      <c r="D1950" s="634"/>
      <c r="E1950" s="655"/>
      <c r="F1950" s="684"/>
      <c r="G1950" s="684"/>
      <c r="H1950" s="635"/>
    </row>
    <row r="1951" spans="1:8" ht="12.75" customHeight="1" x14ac:dyDescent="0.25">
      <c r="A1951" s="631">
        <f t="shared" si="30"/>
        <v>1946</v>
      </c>
      <c r="B1951" s="632"/>
      <c r="C1951" s="633"/>
      <c r="D1951" s="634"/>
      <c r="E1951" s="655"/>
      <c r="F1951" s="684"/>
      <c r="G1951" s="684"/>
      <c r="H1951" s="635"/>
    </row>
    <row r="1952" spans="1:8" ht="12.75" customHeight="1" x14ac:dyDescent="0.25">
      <c r="A1952" s="631">
        <f t="shared" si="30"/>
        <v>1947</v>
      </c>
      <c r="B1952" s="632"/>
      <c r="C1952" s="633"/>
      <c r="D1952" s="634"/>
      <c r="E1952" s="655"/>
      <c r="F1952" s="684"/>
      <c r="G1952" s="684"/>
      <c r="H1952" s="635"/>
    </row>
    <row r="1953" spans="1:8" ht="12.75" customHeight="1" x14ac:dyDescent="0.25">
      <c r="A1953" s="631">
        <f t="shared" si="30"/>
        <v>1948</v>
      </c>
      <c r="B1953" s="632"/>
      <c r="C1953" s="633"/>
      <c r="D1953" s="634"/>
      <c r="E1953" s="655"/>
      <c r="F1953" s="684"/>
      <c r="G1953" s="684"/>
      <c r="H1953" s="635"/>
    </row>
    <row r="1954" spans="1:8" ht="12.75" customHeight="1" x14ac:dyDescent="0.25">
      <c r="A1954" s="631">
        <f t="shared" si="30"/>
        <v>1949</v>
      </c>
      <c r="B1954" s="632"/>
      <c r="C1954" s="633"/>
      <c r="D1954" s="634"/>
      <c r="E1954" s="655"/>
      <c r="F1954" s="684"/>
      <c r="G1954" s="684"/>
      <c r="H1954" s="635"/>
    </row>
    <row r="1955" spans="1:8" ht="12.75" customHeight="1" x14ac:dyDescent="0.25">
      <c r="A1955" s="631">
        <f t="shared" si="30"/>
        <v>1950</v>
      </c>
      <c r="B1955" s="632"/>
      <c r="C1955" s="633"/>
      <c r="D1955" s="634"/>
      <c r="E1955" s="655"/>
      <c r="F1955" s="684"/>
      <c r="G1955" s="684"/>
      <c r="H1955" s="635"/>
    </row>
    <row r="1956" spans="1:8" ht="12.75" customHeight="1" x14ac:dyDescent="0.25">
      <c r="A1956" s="631">
        <f t="shared" si="30"/>
        <v>1951</v>
      </c>
      <c r="B1956" s="632"/>
      <c r="C1956" s="633"/>
      <c r="D1956" s="634"/>
      <c r="E1956" s="655"/>
      <c r="F1956" s="684"/>
      <c r="G1956" s="684"/>
      <c r="H1956" s="635"/>
    </row>
    <row r="1957" spans="1:8" ht="12.75" customHeight="1" x14ac:dyDescent="0.25">
      <c r="A1957" s="631">
        <f t="shared" si="30"/>
        <v>1952</v>
      </c>
      <c r="B1957" s="632"/>
      <c r="C1957" s="633"/>
      <c r="D1957" s="634"/>
      <c r="E1957" s="655"/>
      <c r="F1957" s="684"/>
      <c r="G1957" s="684"/>
      <c r="H1957" s="635"/>
    </row>
    <row r="1958" spans="1:8" ht="12.75" customHeight="1" x14ac:dyDescent="0.25">
      <c r="A1958" s="631">
        <f t="shared" si="30"/>
        <v>1953</v>
      </c>
      <c r="B1958" s="632"/>
      <c r="C1958" s="633"/>
      <c r="D1958" s="634"/>
      <c r="E1958" s="655"/>
      <c r="F1958" s="684"/>
      <c r="G1958" s="684"/>
      <c r="H1958" s="635"/>
    </row>
    <row r="1959" spans="1:8" ht="12.75" customHeight="1" x14ac:dyDescent="0.25">
      <c r="A1959" s="631">
        <f t="shared" si="30"/>
        <v>1954</v>
      </c>
      <c r="B1959" s="632"/>
      <c r="C1959" s="633"/>
      <c r="D1959" s="634"/>
      <c r="E1959" s="655"/>
      <c r="F1959" s="684"/>
      <c r="G1959" s="684"/>
      <c r="H1959" s="635"/>
    </row>
    <row r="1960" spans="1:8" ht="12.75" customHeight="1" x14ac:dyDescent="0.25">
      <c r="A1960" s="631">
        <f t="shared" si="30"/>
        <v>1955</v>
      </c>
      <c r="B1960" s="632"/>
      <c r="C1960" s="633"/>
      <c r="D1960" s="634"/>
      <c r="E1960" s="655"/>
      <c r="F1960" s="684"/>
      <c r="G1960" s="684"/>
      <c r="H1960" s="635"/>
    </row>
    <row r="1961" spans="1:8" ht="12.75" customHeight="1" x14ac:dyDescent="0.25">
      <c r="A1961" s="631">
        <f t="shared" si="30"/>
        <v>1956</v>
      </c>
      <c r="B1961" s="632"/>
      <c r="C1961" s="633"/>
      <c r="D1961" s="634"/>
      <c r="E1961" s="655"/>
      <c r="F1961" s="684"/>
      <c r="G1961" s="684"/>
      <c r="H1961" s="635"/>
    </row>
    <row r="1962" spans="1:8" ht="12.75" customHeight="1" x14ac:dyDescent="0.25">
      <c r="A1962" s="631">
        <f t="shared" si="30"/>
        <v>1957</v>
      </c>
      <c r="B1962" s="632"/>
      <c r="C1962" s="633"/>
      <c r="D1962" s="634"/>
      <c r="E1962" s="655"/>
      <c r="F1962" s="684"/>
      <c r="G1962" s="684"/>
      <c r="H1962" s="635"/>
    </row>
    <row r="1963" spans="1:8" ht="12.75" customHeight="1" x14ac:dyDescent="0.25">
      <c r="A1963" s="631">
        <f t="shared" si="30"/>
        <v>1958</v>
      </c>
      <c r="B1963" s="632"/>
      <c r="C1963" s="633"/>
      <c r="D1963" s="634"/>
      <c r="E1963" s="655"/>
      <c r="F1963" s="684"/>
      <c r="G1963" s="684"/>
      <c r="H1963" s="635"/>
    </row>
    <row r="1964" spans="1:8" ht="12.75" customHeight="1" x14ac:dyDescent="0.25">
      <c r="A1964" s="631">
        <f t="shared" si="30"/>
        <v>1959</v>
      </c>
      <c r="B1964" s="632"/>
      <c r="C1964" s="633"/>
      <c r="D1964" s="634"/>
      <c r="E1964" s="655"/>
      <c r="F1964" s="684"/>
      <c r="G1964" s="684"/>
      <c r="H1964" s="635"/>
    </row>
    <row r="1965" spans="1:8" ht="12.75" customHeight="1" x14ac:dyDescent="0.25">
      <c r="A1965" s="631">
        <f t="shared" si="30"/>
        <v>1960</v>
      </c>
      <c r="B1965" s="632"/>
      <c r="C1965" s="633"/>
      <c r="D1965" s="634"/>
      <c r="E1965" s="655"/>
      <c r="F1965" s="684"/>
      <c r="G1965" s="684"/>
      <c r="H1965" s="635"/>
    </row>
    <row r="1966" spans="1:8" ht="12.75" customHeight="1" x14ac:dyDescent="0.25">
      <c r="A1966" s="631">
        <f t="shared" si="30"/>
        <v>1961</v>
      </c>
      <c r="B1966" s="632"/>
      <c r="C1966" s="633"/>
      <c r="D1966" s="634"/>
      <c r="E1966" s="655"/>
      <c r="F1966" s="684"/>
      <c r="G1966" s="684"/>
      <c r="H1966" s="635"/>
    </row>
    <row r="1967" spans="1:8" ht="12.75" customHeight="1" x14ac:dyDescent="0.25">
      <c r="A1967" s="631">
        <f t="shared" si="30"/>
        <v>1962</v>
      </c>
      <c r="B1967" s="632"/>
      <c r="C1967" s="633"/>
      <c r="D1967" s="634"/>
      <c r="E1967" s="655"/>
      <c r="F1967" s="684"/>
      <c r="G1967" s="684"/>
      <c r="H1967" s="635"/>
    </row>
    <row r="1968" spans="1:8" ht="12.75" customHeight="1" x14ac:dyDescent="0.25">
      <c r="A1968" s="631">
        <f t="shared" si="30"/>
        <v>1963</v>
      </c>
      <c r="B1968" s="632"/>
      <c r="C1968" s="633"/>
      <c r="D1968" s="634"/>
      <c r="E1968" s="655"/>
      <c r="F1968" s="684"/>
      <c r="G1968" s="684"/>
      <c r="H1968" s="635"/>
    </row>
    <row r="1969" spans="1:8" ht="12.75" customHeight="1" x14ac:dyDescent="0.25">
      <c r="A1969" s="631">
        <f t="shared" si="30"/>
        <v>1964</v>
      </c>
      <c r="B1969" s="632"/>
      <c r="C1969" s="633"/>
      <c r="D1969" s="634"/>
      <c r="E1969" s="655"/>
      <c r="F1969" s="684"/>
      <c r="G1969" s="684"/>
      <c r="H1969" s="635"/>
    </row>
    <row r="1970" spans="1:8" ht="12.75" customHeight="1" x14ac:dyDescent="0.25">
      <c r="A1970" s="631">
        <f t="shared" si="30"/>
        <v>1965</v>
      </c>
      <c r="B1970" s="632"/>
      <c r="C1970" s="633"/>
      <c r="D1970" s="634"/>
      <c r="E1970" s="655"/>
      <c r="F1970" s="684"/>
      <c r="G1970" s="684"/>
      <c r="H1970" s="635"/>
    </row>
    <row r="1971" spans="1:8" ht="12.75" customHeight="1" x14ac:dyDescent="0.25">
      <c r="A1971" s="631">
        <f t="shared" si="30"/>
        <v>1966</v>
      </c>
      <c r="B1971" s="632"/>
      <c r="C1971" s="633"/>
      <c r="D1971" s="634"/>
      <c r="E1971" s="655"/>
      <c r="F1971" s="684"/>
      <c r="G1971" s="684"/>
      <c r="H1971" s="635"/>
    </row>
    <row r="1972" spans="1:8" ht="12.75" customHeight="1" x14ac:dyDescent="0.25">
      <c r="A1972" s="631">
        <f t="shared" si="30"/>
        <v>1967</v>
      </c>
      <c r="B1972" s="632"/>
      <c r="C1972" s="633"/>
      <c r="D1972" s="634"/>
      <c r="E1972" s="655"/>
      <c r="F1972" s="684"/>
      <c r="G1972" s="684"/>
      <c r="H1972" s="635"/>
    </row>
    <row r="1973" spans="1:8" ht="12.75" customHeight="1" x14ac:dyDescent="0.25">
      <c r="A1973" s="631">
        <f t="shared" si="30"/>
        <v>1968</v>
      </c>
      <c r="B1973" s="632"/>
      <c r="C1973" s="633"/>
      <c r="D1973" s="634"/>
      <c r="E1973" s="655"/>
      <c r="F1973" s="684"/>
      <c r="G1973" s="684"/>
      <c r="H1973" s="635"/>
    </row>
    <row r="1974" spans="1:8" ht="12.75" customHeight="1" x14ac:dyDescent="0.25">
      <c r="A1974" s="631">
        <f t="shared" si="30"/>
        <v>1969</v>
      </c>
      <c r="B1974" s="632"/>
      <c r="C1974" s="633"/>
      <c r="D1974" s="634"/>
      <c r="E1974" s="655"/>
      <c r="F1974" s="684"/>
      <c r="G1974" s="684"/>
      <c r="H1974" s="635"/>
    </row>
    <row r="1975" spans="1:8" ht="12.75" customHeight="1" x14ac:dyDescent="0.25">
      <c r="A1975" s="631">
        <f t="shared" si="30"/>
        <v>1970</v>
      </c>
      <c r="B1975" s="632"/>
      <c r="C1975" s="633"/>
      <c r="D1975" s="634"/>
      <c r="E1975" s="655"/>
      <c r="F1975" s="684"/>
      <c r="G1975" s="684"/>
      <c r="H1975" s="635"/>
    </row>
    <row r="1976" spans="1:8" ht="12.75" customHeight="1" x14ac:dyDescent="0.25">
      <c r="A1976" s="631">
        <f t="shared" si="30"/>
        <v>1971</v>
      </c>
      <c r="B1976" s="632"/>
      <c r="C1976" s="633"/>
      <c r="D1976" s="634"/>
      <c r="E1976" s="655"/>
      <c r="F1976" s="684"/>
      <c r="G1976" s="684"/>
      <c r="H1976" s="635"/>
    </row>
    <row r="1977" spans="1:8" ht="12.75" customHeight="1" x14ac:dyDescent="0.25">
      <c r="A1977" s="631">
        <f t="shared" si="30"/>
        <v>1972</v>
      </c>
      <c r="B1977" s="632"/>
      <c r="C1977" s="633"/>
      <c r="D1977" s="634"/>
      <c r="E1977" s="655"/>
      <c r="F1977" s="684"/>
      <c r="G1977" s="684"/>
      <c r="H1977" s="635"/>
    </row>
    <row r="1978" spans="1:8" ht="12.75" customHeight="1" x14ac:dyDescent="0.25">
      <c r="A1978" s="631">
        <f t="shared" si="30"/>
        <v>1973</v>
      </c>
      <c r="B1978" s="632"/>
      <c r="C1978" s="633"/>
      <c r="D1978" s="634"/>
      <c r="E1978" s="655"/>
      <c r="F1978" s="684"/>
      <c r="G1978" s="684"/>
      <c r="H1978" s="635"/>
    </row>
    <row r="1979" spans="1:8" ht="12.75" customHeight="1" x14ac:dyDescent="0.25">
      <c r="A1979" s="631">
        <f t="shared" si="30"/>
        <v>1974</v>
      </c>
      <c r="B1979" s="632"/>
      <c r="C1979" s="633"/>
      <c r="D1979" s="634"/>
      <c r="E1979" s="655"/>
      <c r="F1979" s="684"/>
      <c r="G1979" s="684"/>
      <c r="H1979" s="635"/>
    </row>
    <row r="1980" spans="1:8" ht="12.75" customHeight="1" x14ac:dyDescent="0.25">
      <c r="A1980" s="631">
        <f t="shared" si="30"/>
        <v>1975</v>
      </c>
      <c r="B1980" s="632"/>
      <c r="C1980" s="633"/>
      <c r="D1980" s="634"/>
      <c r="E1980" s="655"/>
      <c r="F1980" s="684"/>
      <c r="G1980" s="684"/>
      <c r="H1980" s="635"/>
    </row>
    <row r="1981" spans="1:8" ht="12.75" customHeight="1" x14ac:dyDescent="0.25">
      <c r="A1981" s="631">
        <f t="shared" si="30"/>
        <v>1976</v>
      </c>
      <c r="B1981" s="632"/>
      <c r="C1981" s="633"/>
      <c r="D1981" s="634"/>
      <c r="E1981" s="655"/>
      <c r="F1981" s="684"/>
      <c r="G1981" s="684"/>
      <c r="H1981" s="635"/>
    </row>
    <row r="1982" spans="1:8" ht="12.75" customHeight="1" x14ac:dyDescent="0.25">
      <c r="A1982" s="631">
        <f t="shared" si="30"/>
        <v>1977</v>
      </c>
      <c r="B1982" s="632"/>
      <c r="C1982" s="633"/>
      <c r="D1982" s="634"/>
      <c r="E1982" s="655"/>
      <c r="F1982" s="684"/>
      <c r="G1982" s="684"/>
      <c r="H1982" s="635"/>
    </row>
    <row r="1983" spans="1:8" ht="12.75" customHeight="1" x14ac:dyDescent="0.25">
      <c r="A1983" s="631">
        <f t="shared" si="30"/>
        <v>1978</v>
      </c>
      <c r="B1983" s="632"/>
      <c r="C1983" s="633"/>
      <c r="D1983" s="634"/>
      <c r="E1983" s="655"/>
      <c r="F1983" s="684"/>
      <c r="G1983" s="684"/>
      <c r="H1983" s="635"/>
    </row>
    <row r="1984" spans="1:8" ht="12.75" customHeight="1" x14ac:dyDescent="0.25">
      <c r="A1984" s="631">
        <f t="shared" si="30"/>
        <v>1979</v>
      </c>
      <c r="B1984" s="632"/>
      <c r="C1984" s="633"/>
      <c r="D1984" s="634"/>
      <c r="E1984" s="655"/>
      <c r="F1984" s="684"/>
      <c r="G1984" s="684"/>
      <c r="H1984" s="635"/>
    </row>
    <row r="1985" spans="1:8" ht="12.75" customHeight="1" x14ac:dyDescent="0.25">
      <c r="A1985" s="631">
        <f t="shared" ref="A1985:A2048" si="31">ROW()-5</f>
        <v>1980</v>
      </c>
      <c r="B1985" s="632"/>
      <c r="C1985" s="633"/>
      <c r="D1985" s="634"/>
      <c r="E1985" s="655"/>
      <c r="F1985" s="684"/>
      <c r="G1985" s="684"/>
      <c r="H1985" s="635"/>
    </row>
    <row r="1986" spans="1:8" ht="12.75" customHeight="1" x14ac:dyDescent="0.25">
      <c r="A1986" s="631">
        <f t="shared" si="31"/>
        <v>1981</v>
      </c>
      <c r="B1986" s="632"/>
      <c r="C1986" s="633"/>
      <c r="D1986" s="634"/>
      <c r="E1986" s="655"/>
      <c r="F1986" s="684"/>
      <c r="G1986" s="684"/>
      <c r="H1986" s="635"/>
    </row>
    <row r="1987" spans="1:8" ht="12.75" customHeight="1" x14ac:dyDescent="0.25">
      <c r="A1987" s="631">
        <f t="shared" si="31"/>
        <v>1982</v>
      </c>
      <c r="B1987" s="632"/>
      <c r="C1987" s="633"/>
      <c r="D1987" s="634"/>
      <c r="E1987" s="655"/>
      <c r="F1987" s="684"/>
      <c r="G1987" s="684"/>
      <c r="H1987" s="635"/>
    </row>
    <row r="1988" spans="1:8" ht="12.75" customHeight="1" x14ac:dyDescent="0.25">
      <c r="A1988" s="631">
        <f t="shared" si="31"/>
        <v>1983</v>
      </c>
      <c r="B1988" s="632"/>
      <c r="C1988" s="633"/>
      <c r="D1988" s="634"/>
      <c r="E1988" s="655"/>
      <c r="F1988" s="684"/>
      <c r="G1988" s="684"/>
      <c r="H1988" s="635"/>
    </row>
    <row r="1989" spans="1:8" ht="12.75" customHeight="1" x14ac:dyDescent="0.25">
      <c r="A1989" s="631">
        <f t="shared" si="31"/>
        <v>1984</v>
      </c>
      <c r="B1989" s="632"/>
      <c r="C1989" s="633"/>
      <c r="D1989" s="634"/>
      <c r="E1989" s="655"/>
      <c r="F1989" s="684"/>
      <c r="G1989" s="684"/>
      <c r="H1989" s="635"/>
    </row>
    <row r="1990" spans="1:8" ht="12.75" customHeight="1" x14ac:dyDescent="0.25">
      <c r="A1990" s="631">
        <f t="shared" si="31"/>
        <v>1985</v>
      </c>
      <c r="B1990" s="632"/>
      <c r="C1990" s="633"/>
      <c r="D1990" s="634"/>
      <c r="E1990" s="655"/>
      <c r="F1990" s="684"/>
      <c r="G1990" s="684"/>
      <c r="H1990" s="635"/>
    </row>
    <row r="1991" spans="1:8" ht="12.75" customHeight="1" x14ac:dyDescent="0.25">
      <c r="A1991" s="631">
        <f t="shared" si="31"/>
        <v>1986</v>
      </c>
      <c r="B1991" s="632"/>
      <c r="C1991" s="633"/>
      <c r="D1991" s="634"/>
      <c r="E1991" s="655"/>
      <c r="F1991" s="684"/>
      <c r="G1991" s="684"/>
      <c r="H1991" s="635"/>
    </row>
    <row r="1992" spans="1:8" ht="12.75" customHeight="1" x14ac:dyDescent="0.25">
      <c r="A1992" s="631">
        <f t="shared" si="31"/>
        <v>1987</v>
      </c>
      <c r="B1992" s="632"/>
      <c r="C1992" s="633"/>
      <c r="D1992" s="634"/>
      <c r="E1992" s="655"/>
      <c r="F1992" s="684"/>
      <c r="G1992" s="684"/>
      <c r="H1992" s="635"/>
    </row>
    <row r="1993" spans="1:8" ht="12.75" customHeight="1" x14ac:dyDescent="0.25">
      <c r="A1993" s="631">
        <f t="shared" si="31"/>
        <v>1988</v>
      </c>
      <c r="B1993" s="632"/>
      <c r="C1993" s="633"/>
      <c r="D1993" s="634"/>
      <c r="E1993" s="655"/>
      <c r="F1993" s="684"/>
      <c r="G1993" s="684"/>
      <c r="H1993" s="635"/>
    </row>
    <row r="1994" spans="1:8" ht="12.75" customHeight="1" x14ac:dyDescent="0.25">
      <c r="A1994" s="631">
        <f t="shared" si="31"/>
        <v>1989</v>
      </c>
      <c r="B1994" s="632"/>
      <c r="C1994" s="633"/>
      <c r="D1994" s="634"/>
      <c r="E1994" s="655"/>
      <c r="F1994" s="684"/>
      <c r="G1994" s="684"/>
      <c r="H1994" s="635"/>
    </row>
    <row r="1995" spans="1:8" ht="12.75" customHeight="1" x14ac:dyDescent="0.25">
      <c r="A1995" s="631">
        <f t="shared" si="31"/>
        <v>1990</v>
      </c>
      <c r="B1995" s="632"/>
      <c r="C1995" s="633"/>
      <c r="D1995" s="634"/>
      <c r="E1995" s="655"/>
      <c r="F1995" s="684"/>
      <c r="G1995" s="684"/>
      <c r="H1995" s="635"/>
    </row>
    <row r="1996" spans="1:8" ht="12.75" customHeight="1" x14ac:dyDescent="0.25">
      <c r="A1996" s="631">
        <f t="shared" si="31"/>
        <v>1991</v>
      </c>
      <c r="B1996" s="632"/>
      <c r="C1996" s="633"/>
      <c r="D1996" s="634"/>
      <c r="E1996" s="655"/>
      <c r="F1996" s="684"/>
      <c r="G1996" s="684"/>
      <c r="H1996" s="635"/>
    </row>
    <row r="1997" spans="1:8" ht="12.75" customHeight="1" x14ac:dyDescent="0.25">
      <c r="A1997" s="631">
        <f t="shared" si="31"/>
        <v>1992</v>
      </c>
      <c r="B1997" s="632"/>
      <c r="C1997" s="633"/>
      <c r="D1997" s="634"/>
      <c r="E1997" s="655"/>
      <c r="F1997" s="684"/>
      <c r="G1997" s="684"/>
      <c r="H1997" s="635"/>
    </row>
    <row r="1998" spans="1:8" ht="12.75" customHeight="1" x14ac:dyDescent="0.25">
      <c r="A1998" s="631">
        <f t="shared" si="31"/>
        <v>1993</v>
      </c>
      <c r="B1998" s="632"/>
      <c r="C1998" s="633"/>
      <c r="D1998" s="634"/>
      <c r="E1998" s="655"/>
      <c r="F1998" s="684"/>
      <c r="G1998" s="684"/>
      <c r="H1998" s="635"/>
    </row>
    <row r="1999" spans="1:8" ht="12.75" customHeight="1" x14ac:dyDescent="0.25">
      <c r="A1999" s="631">
        <f t="shared" si="31"/>
        <v>1994</v>
      </c>
      <c r="B1999" s="632"/>
      <c r="C1999" s="633"/>
      <c r="D1999" s="634"/>
      <c r="E1999" s="655"/>
      <c r="F1999" s="684"/>
      <c r="G1999" s="684"/>
      <c r="H1999" s="635"/>
    </row>
    <row r="2000" spans="1:8" ht="12.75" customHeight="1" x14ac:dyDescent="0.25">
      <c r="A2000" s="631">
        <f t="shared" si="31"/>
        <v>1995</v>
      </c>
      <c r="B2000" s="632"/>
      <c r="C2000" s="633"/>
      <c r="D2000" s="634"/>
      <c r="E2000" s="655"/>
      <c r="F2000" s="684"/>
      <c r="G2000" s="684"/>
      <c r="H2000" s="635"/>
    </row>
    <row r="2001" spans="1:8" ht="12.75" customHeight="1" x14ac:dyDescent="0.25">
      <c r="A2001" s="631">
        <f t="shared" si="31"/>
        <v>1996</v>
      </c>
      <c r="B2001" s="632"/>
      <c r="C2001" s="633"/>
      <c r="D2001" s="634"/>
      <c r="E2001" s="655"/>
      <c r="F2001" s="684"/>
      <c r="G2001" s="684"/>
      <c r="H2001" s="635"/>
    </row>
    <row r="2002" spans="1:8" ht="12.75" customHeight="1" x14ac:dyDescent="0.25">
      <c r="A2002" s="631">
        <f t="shared" si="31"/>
        <v>1997</v>
      </c>
      <c r="B2002" s="632"/>
      <c r="C2002" s="633"/>
      <c r="D2002" s="634"/>
      <c r="E2002" s="655"/>
      <c r="F2002" s="684"/>
      <c r="G2002" s="684"/>
      <c r="H2002" s="635"/>
    </row>
    <row r="2003" spans="1:8" ht="12.75" customHeight="1" x14ac:dyDescent="0.25">
      <c r="A2003" s="631">
        <f t="shared" si="31"/>
        <v>1998</v>
      </c>
      <c r="B2003" s="632"/>
      <c r="C2003" s="633"/>
      <c r="D2003" s="634"/>
      <c r="E2003" s="655"/>
      <c r="F2003" s="684"/>
      <c r="G2003" s="684"/>
      <c r="H2003" s="635"/>
    </row>
    <row r="2004" spans="1:8" ht="12.75" customHeight="1" x14ac:dyDescent="0.25">
      <c r="A2004" s="631">
        <f t="shared" si="31"/>
        <v>1999</v>
      </c>
      <c r="B2004" s="632"/>
      <c r="C2004" s="633"/>
      <c r="D2004" s="634"/>
      <c r="E2004" s="655"/>
      <c r="F2004" s="684"/>
      <c r="G2004" s="684"/>
      <c r="H2004" s="635"/>
    </row>
    <row r="2005" spans="1:8" ht="12.75" customHeight="1" x14ac:dyDescent="0.25">
      <c r="A2005" s="631">
        <f t="shared" si="31"/>
        <v>2000</v>
      </c>
      <c r="B2005" s="632"/>
      <c r="C2005" s="633"/>
      <c r="D2005" s="634"/>
      <c r="E2005" s="655"/>
      <c r="F2005" s="684"/>
      <c r="G2005" s="684"/>
      <c r="H2005" s="635"/>
    </row>
    <row r="2006" spans="1:8" ht="12.75" customHeight="1" x14ac:dyDescent="0.25">
      <c r="A2006" s="631">
        <f t="shared" si="31"/>
        <v>2001</v>
      </c>
      <c r="B2006" s="632"/>
      <c r="C2006" s="633"/>
      <c r="D2006" s="634"/>
      <c r="E2006" s="655"/>
      <c r="F2006" s="684"/>
      <c r="G2006" s="684"/>
      <c r="H2006" s="635"/>
    </row>
    <row r="2007" spans="1:8" ht="12.75" customHeight="1" x14ac:dyDescent="0.25">
      <c r="A2007" s="631">
        <f t="shared" si="31"/>
        <v>2002</v>
      </c>
      <c r="B2007" s="632"/>
      <c r="C2007" s="633"/>
      <c r="D2007" s="634"/>
      <c r="E2007" s="655"/>
      <c r="F2007" s="684"/>
      <c r="G2007" s="684"/>
      <c r="H2007" s="635"/>
    </row>
    <row r="2008" spans="1:8" ht="12.75" customHeight="1" x14ac:dyDescent="0.25">
      <c r="A2008" s="631">
        <f t="shared" si="31"/>
        <v>2003</v>
      </c>
      <c r="B2008" s="632"/>
      <c r="C2008" s="633"/>
      <c r="D2008" s="634"/>
      <c r="E2008" s="655"/>
      <c r="F2008" s="684"/>
      <c r="G2008" s="684"/>
      <c r="H2008" s="635"/>
    </row>
    <row r="2009" spans="1:8" ht="12.75" customHeight="1" x14ac:dyDescent="0.25">
      <c r="A2009" s="631">
        <f t="shared" si="31"/>
        <v>2004</v>
      </c>
      <c r="B2009" s="632"/>
      <c r="C2009" s="633"/>
      <c r="D2009" s="634"/>
      <c r="E2009" s="655"/>
      <c r="F2009" s="684"/>
      <c r="G2009" s="684"/>
      <c r="H2009" s="635"/>
    </row>
    <row r="2010" spans="1:8" ht="12.75" customHeight="1" x14ac:dyDescent="0.25">
      <c r="A2010" s="631">
        <f t="shared" si="31"/>
        <v>2005</v>
      </c>
      <c r="B2010" s="632"/>
      <c r="C2010" s="633"/>
      <c r="D2010" s="634"/>
      <c r="E2010" s="655"/>
      <c r="F2010" s="684"/>
      <c r="G2010" s="684"/>
      <c r="H2010" s="635"/>
    </row>
    <row r="2011" spans="1:8" ht="12.75" customHeight="1" x14ac:dyDescent="0.25">
      <c r="A2011" s="631">
        <f t="shared" si="31"/>
        <v>2006</v>
      </c>
      <c r="B2011" s="632"/>
      <c r="C2011" s="633"/>
      <c r="D2011" s="634"/>
      <c r="E2011" s="655"/>
      <c r="F2011" s="684"/>
      <c r="G2011" s="684"/>
      <c r="H2011" s="635"/>
    </row>
    <row r="2012" spans="1:8" ht="12.75" customHeight="1" x14ac:dyDescent="0.25">
      <c r="A2012" s="631">
        <f t="shared" si="31"/>
        <v>2007</v>
      </c>
      <c r="B2012" s="632"/>
      <c r="C2012" s="633"/>
      <c r="D2012" s="634"/>
      <c r="E2012" s="655"/>
      <c r="F2012" s="684"/>
      <c r="G2012" s="684"/>
      <c r="H2012" s="635"/>
    </row>
    <row r="2013" spans="1:8" ht="12.75" customHeight="1" x14ac:dyDescent="0.25">
      <c r="A2013" s="631">
        <f t="shared" si="31"/>
        <v>2008</v>
      </c>
      <c r="B2013" s="632"/>
      <c r="C2013" s="633"/>
      <c r="D2013" s="634"/>
      <c r="E2013" s="655"/>
      <c r="F2013" s="684"/>
      <c r="G2013" s="684"/>
      <c r="H2013" s="635"/>
    </row>
    <row r="2014" spans="1:8" ht="12.75" customHeight="1" x14ac:dyDescent="0.25">
      <c r="A2014" s="631">
        <f t="shared" si="31"/>
        <v>2009</v>
      </c>
      <c r="B2014" s="632"/>
      <c r="C2014" s="633"/>
      <c r="D2014" s="634"/>
      <c r="E2014" s="655"/>
      <c r="F2014" s="684"/>
      <c r="G2014" s="684"/>
      <c r="H2014" s="635"/>
    </row>
    <row r="2015" spans="1:8" ht="12.75" customHeight="1" x14ac:dyDescent="0.25">
      <c r="A2015" s="631">
        <f t="shared" si="31"/>
        <v>2010</v>
      </c>
      <c r="B2015" s="632"/>
      <c r="C2015" s="633"/>
      <c r="D2015" s="634"/>
      <c r="E2015" s="655"/>
      <c r="F2015" s="684"/>
      <c r="G2015" s="684"/>
      <c r="H2015" s="635"/>
    </row>
    <row r="2016" spans="1:8" ht="12.75" customHeight="1" x14ac:dyDescent="0.25">
      <c r="A2016" s="631">
        <f t="shared" si="31"/>
        <v>2011</v>
      </c>
      <c r="B2016" s="632"/>
      <c r="C2016" s="633"/>
      <c r="D2016" s="634"/>
      <c r="E2016" s="655"/>
      <c r="F2016" s="684"/>
      <c r="G2016" s="684"/>
      <c r="H2016" s="635"/>
    </row>
    <row r="2017" spans="1:8" ht="12.75" customHeight="1" x14ac:dyDescent="0.25">
      <c r="A2017" s="631">
        <f t="shared" si="31"/>
        <v>2012</v>
      </c>
      <c r="B2017" s="632"/>
      <c r="C2017" s="633"/>
      <c r="D2017" s="634"/>
      <c r="E2017" s="655"/>
      <c r="F2017" s="684"/>
      <c r="G2017" s="684"/>
      <c r="H2017" s="635"/>
    </row>
    <row r="2018" spans="1:8" ht="12.75" customHeight="1" x14ac:dyDescent="0.25">
      <c r="A2018" s="631">
        <f t="shared" si="31"/>
        <v>2013</v>
      </c>
      <c r="B2018" s="632"/>
      <c r="C2018" s="633"/>
      <c r="D2018" s="634"/>
      <c r="E2018" s="655"/>
      <c r="F2018" s="684"/>
      <c r="G2018" s="684"/>
      <c r="H2018" s="635"/>
    </row>
    <row r="2019" spans="1:8" ht="12.75" customHeight="1" x14ac:dyDescent="0.25">
      <c r="A2019" s="631">
        <f t="shared" si="31"/>
        <v>2014</v>
      </c>
      <c r="B2019" s="632"/>
      <c r="C2019" s="633"/>
      <c r="D2019" s="634"/>
      <c r="E2019" s="655"/>
      <c r="F2019" s="684"/>
      <c r="G2019" s="684"/>
      <c r="H2019" s="635"/>
    </row>
    <row r="2020" spans="1:8" ht="12.75" customHeight="1" x14ac:dyDescent="0.25">
      <c r="A2020" s="631">
        <f t="shared" si="31"/>
        <v>2015</v>
      </c>
      <c r="B2020" s="632"/>
      <c r="C2020" s="633"/>
      <c r="D2020" s="634"/>
      <c r="E2020" s="655"/>
      <c r="F2020" s="684"/>
      <c r="G2020" s="684"/>
      <c r="H2020" s="635"/>
    </row>
    <row r="2021" spans="1:8" ht="12.75" customHeight="1" x14ac:dyDescent="0.25">
      <c r="A2021" s="631">
        <f t="shared" si="31"/>
        <v>2016</v>
      </c>
      <c r="B2021" s="632"/>
      <c r="C2021" s="633"/>
      <c r="D2021" s="634"/>
      <c r="E2021" s="655"/>
      <c r="F2021" s="684"/>
      <c r="G2021" s="684"/>
      <c r="H2021" s="635"/>
    </row>
    <row r="2022" spans="1:8" ht="12.75" customHeight="1" x14ac:dyDescent="0.25">
      <c r="A2022" s="631">
        <f t="shared" si="31"/>
        <v>2017</v>
      </c>
      <c r="B2022" s="632"/>
      <c r="C2022" s="633"/>
      <c r="D2022" s="634"/>
      <c r="E2022" s="655"/>
      <c r="F2022" s="684"/>
      <c r="G2022" s="684"/>
      <c r="H2022" s="635"/>
    </row>
    <row r="2023" spans="1:8" ht="12.75" customHeight="1" x14ac:dyDescent="0.25">
      <c r="A2023" s="631">
        <f t="shared" si="31"/>
        <v>2018</v>
      </c>
      <c r="B2023" s="632"/>
      <c r="C2023" s="633"/>
      <c r="D2023" s="634"/>
      <c r="E2023" s="655"/>
      <c r="F2023" s="684"/>
      <c r="G2023" s="684"/>
      <c r="H2023" s="635"/>
    </row>
    <row r="2024" spans="1:8" ht="12.75" customHeight="1" x14ac:dyDescent="0.25">
      <c r="A2024" s="631">
        <f t="shared" si="31"/>
        <v>2019</v>
      </c>
      <c r="B2024" s="632"/>
      <c r="C2024" s="633"/>
      <c r="D2024" s="634"/>
      <c r="E2024" s="655"/>
      <c r="F2024" s="684"/>
      <c r="G2024" s="684"/>
      <c r="H2024" s="635"/>
    </row>
    <row r="2025" spans="1:8" ht="12.75" customHeight="1" x14ac:dyDescent="0.25">
      <c r="A2025" s="631">
        <f t="shared" si="31"/>
        <v>2020</v>
      </c>
      <c r="B2025" s="632"/>
      <c r="C2025" s="633"/>
      <c r="D2025" s="634"/>
      <c r="E2025" s="655"/>
      <c r="F2025" s="684"/>
      <c r="G2025" s="684"/>
      <c r="H2025" s="635"/>
    </row>
    <row r="2026" spans="1:8" ht="12.75" customHeight="1" x14ac:dyDescent="0.25">
      <c r="A2026" s="631">
        <f t="shared" si="31"/>
        <v>2021</v>
      </c>
      <c r="B2026" s="632"/>
      <c r="C2026" s="633"/>
      <c r="D2026" s="634"/>
      <c r="E2026" s="655"/>
      <c r="F2026" s="684"/>
      <c r="G2026" s="684"/>
      <c r="H2026" s="635"/>
    </row>
    <row r="2027" spans="1:8" ht="12.75" customHeight="1" x14ac:dyDescent="0.25">
      <c r="A2027" s="631">
        <f t="shared" si="31"/>
        <v>2022</v>
      </c>
      <c r="B2027" s="632"/>
      <c r="C2027" s="633"/>
      <c r="D2027" s="634"/>
      <c r="E2027" s="655"/>
      <c r="F2027" s="684"/>
      <c r="G2027" s="684"/>
      <c r="H2027" s="635"/>
    </row>
    <row r="2028" spans="1:8" ht="12.75" customHeight="1" x14ac:dyDescent="0.25">
      <c r="A2028" s="631">
        <f t="shared" si="31"/>
        <v>2023</v>
      </c>
      <c r="B2028" s="632"/>
      <c r="C2028" s="633"/>
      <c r="D2028" s="634"/>
      <c r="E2028" s="655"/>
      <c r="F2028" s="684"/>
      <c r="G2028" s="684"/>
      <c r="H2028" s="635"/>
    </row>
    <row r="2029" spans="1:8" ht="12.75" customHeight="1" x14ac:dyDescent="0.25">
      <c r="A2029" s="631">
        <f t="shared" si="31"/>
        <v>2024</v>
      </c>
      <c r="B2029" s="632"/>
      <c r="C2029" s="633"/>
      <c r="D2029" s="634"/>
      <c r="E2029" s="655"/>
      <c r="F2029" s="684"/>
      <c r="G2029" s="684"/>
      <c r="H2029" s="635"/>
    </row>
    <row r="2030" spans="1:8" ht="12.75" customHeight="1" x14ac:dyDescent="0.25">
      <c r="A2030" s="631">
        <f t="shared" si="31"/>
        <v>2025</v>
      </c>
      <c r="B2030" s="632"/>
      <c r="C2030" s="633"/>
      <c r="D2030" s="634"/>
      <c r="E2030" s="655"/>
      <c r="F2030" s="684"/>
      <c r="G2030" s="684"/>
      <c r="H2030" s="635"/>
    </row>
    <row r="2031" spans="1:8" ht="12.75" customHeight="1" x14ac:dyDescent="0.25">
      <c r="A2031" s="631">
        <f t="shared" si="31"/>
        <v>2026</v>
      </c>
      <c r="B2031" s="632"/>
      <c r="C2031" s="633"/>
      <c r="D2031" s="634"/>
      <c r="E2031" s="655"/>
      <c r="F2031" s="684"/>
      <c r="G2031" s="684"/>
      <c r="H2031" s="635"/>
    </row>
    <row r="2032" spans="1:8" ht="12.75" customHeight="1" x14ac:dyDescent="0.25">
      <c r="A2032" s="631">
        <f t="shared" si="31"/>
        <v>2027</v>
      </c>
      <c r="B2032" s="632"/>
      <c r="C2032" s="633"/>
      <c r="D2032" s="634"/>
      <c r="E2032" s="655"/>
      <c r="F2032" s="684"/>
      <c r="G2032" s="684"/>
      <c r="H2032" s="635"/>
    </row>
    <row r="2033" spans="1:8" ht="12.75" customHeight="1" x14ac:dyDescent="0.25">
      <c r="A2033" s="631">
        <f t="shared" si="31"/>
        <v>2028</v>
      </c>
      <c r="B2033" s="632"/>
      <c r="C2033" s="633"/>
      <c r="D2033" s="634"/>
      <c r="E2033" s="655"/>
      <c r="F2033" s="684"/>
      <c r="G2033" s="684"/>
      <c r="H2033" s="635"/>
    </row>
    <row r="2034" spans="1:8" ht="12.75" customHeight="1" x14ac:dyDescent="0.25">
      <c r="A2034" s="631">
        <f t="shared" si="31"/>
        <v>2029</v>
      </c>
      <c r="B2034" s="632"/>
      <c r="C2034" s="633"/>
      <c r="D2034" s="634"/>
      <c r="E2034" s="655"/>
      <c r="F2034" s="684"/>
      <c r="G2034" s="684"/>
      <c r="H2034" s="635"/>
    </row>
    <row r="2035" spans="1:8" ht="12.75" customHeight="1" x14ac:dyDescent="0.25">
      <c r="A2035" s="631">
        <f t="shared" si="31"/>
        <v>2030</v>
      </c>
      <c r="B2035" s="632"/>
      <c r="C2035" s="633"/>
      <c r="D2035" s="634"/>
      <c r="E2035" s="655"/>
      <c r="F2035" s="684"/>
      <c r="G2035" s="684"/>
      <c r="H2035" s="635"/>
    </row>
    <row r="2036" spans="1:8" ht="12.75" customHeight="1" x14ac:dyDescent="0.25">
      <c r="A2036" s="631">
        <f t="shared" si="31"/>
        <v>2031</v>
      </c>
      <c r="B2036" s="632"/>
      <c r="C2036" s="633"/>
      <c r="D2036" s="634"/>
      <c r="E2036" s="655"/>
      <c r="F2036" s="684"/>
      <c r="G2036" s="684"/>
      <c r="H2036" s="635"/>
    </row>
    <row r="2037" spans="1:8" ht="12.75" customHeight="1" x14ac:dyDescent="0.25">
      <c r="A2037" s="631">
        <f t="shared" si="31"/>
        <v>2032</v>
      </c>
      <c r="B2037" s="632"/>
      <c r="C2037" s="633"/>
      <c r="D2037" s="634"/>
      <c r="E2037" s="655"/>
      <c r="F2037" s="684"/>
      <c r="G2037" s="684"/>
      <c r="H2037" s="635"/>
    </row>
    <row r="2038" spans="1:8" ht="12.75" customHeight="1" x14ac:dyDescent="0.25">
      <c r="A2038" s="631">
        <f t="shared" si="31"/>
        <v>2033</v>
      </c>
      <c r="B2038" s="632"/>
      <c r="C2038" s="633"/>
      <c r="D2038" s="634"/>
      <c r="E2038" s="655"/>
      <c r="F2038" s="684"/>
      <c r="G2038" s="684"/>
      <c r="H2038" s="635"/>
    </row>
    <row r="2039" spans="1:8" ht="12.75" customHeight="1" x14ac:dyDescent="0.25">
      <c r="A2039" s="631">
        <f t="shared" si="31"/>
        <v>2034</v>
      </c>
      <c r="B2039" s="632"/>
      <c r="C2039" s="633"/>
      <c r="D2039" s="634"/>
      <c r="E2039" s="655"/>
      <c r="F2039" s="684"/>
      <c r="G2039" s="684"/>
      <c r="H2039" s="635"/>
    </row>
    <row r="2040" spans="1:8" ht="12.75" customHeight="1" x14ac:dyDescent="0.25">
      <c r="A2040" s="631">
        <f t="shared" si="31"/>
        <v>2035</v>
      </c>
      <c r="B2040" s="632"/>
      <c r="C2040" s="633"/>
      <c r="D2040" s="634"/>
      <c r="E2040" s="655"/>
      <c r="F2040" s="684"/>
      <c r="G2040" s="684"/>
      <c r="H2040" s="635"/>
    </row>
    <row r="2041" spans="1:8" ht="12.75" customHeight="1" x14ac:dyDescent="0.25">
      <c r="A2041" s="631">
        <f t="shared" si="31"/>
        <v>2036</v>
      </c>
      <c r="B2041" s="632"/>
      <c r="C2041" s="633"/>
      <c r="D2041" s="634"/>
      <c r="E2041" s="655"/>
      <c r="F2041" s="684"/>
      <c r="G2041" s="684"/>
      <c r="H2041" s="635"/>
    </row>
    <row r="2042" spans="1:8" ht="12.75" customHeight="1" x14ac:dyDescent="0.25">
      <c r="A2042" s="631">
        <f t="shared" si="31"/>
        <v>2037</v>
      </c>
      <c r="B2042" s="632"/>
      <c r="C2042" s="633"/>
      <c r="D2042" s="634"/>
      <c r="E2042" s="655"/>
      <c r="F2042" s="684"/>
      <c r="G2042" s="684"/>
      <c r="H2042" s="635"/>
    </row>
    <row r="2043" spans="1:8" ht="12.75" customHeight="1" x14ac:dyDescent="0.25">
      <c r="A2043" s="631">
        <f t="shared" si="31"/>
        <v>2038</v>
      </c>
      <c r="B2043" s="632"/>
      <c r="C2043" s="633"/>
      <c r="D2043" s="634"/>
      <c r="E2043" s="655"/>
      <c r="F2043" s="684"/>
      <c r="G2043" s="684"/>
      <c r="H2043" s="635"/>
    </row>
    <row r="2044" spans="1:8" ht="12.75" customHeight="1" x14ac:dyDescent="0.25">
      <c r="A2044" s="631">
        <f t="shared" si="31"/>
        <v>2039</v>
      </c>
      <c r="B2044" s="632"/>
      <c r="C2044" s="633"/>
      <c r="D2044" s="634"/>
      <c r="E2044" s="655"/>
      <c r="F2044" s="684"/>
      <c r="G2044" s="684"/>
      <c r="H2044" s="635"/>
    </row>
    <row r="2045" spans="1:8" ht="12.75" customHeight="1" x14ac:dyDescent="0.25">
      <c r="A2045" s="631">
        <f t="shared" si="31"/>
        <v>2040</v>
      </c>
      <c r="B2045" s="632"/>
      <c r="C2045" s="633"/>
      <c r="D2045" s="634"/>
      <c r="E2045" s="655"/>
      <c r="F2045" s="684"/>
      <c r="G2045" s="684"/>
      <c r="H2045" s="635"/>
    </row>
    <row r="2046" spans="1:8" ht="12.75" customHeight="1" x14ac:dyDescent="0.25">
      <c r="A2046" s="631">
        <f t="shared" si="31"/>
        <v>2041</v>
      </c>
      <c r="B2046" s="632"/>
      <c r="C2046" s="633"/>
      <c r="D2046" s="634"/>
      <c r="E2046" s="655"/>
      <c r="F2046" s="684"/>
      <c r="G2046" s="684"/>
      <c r="H2046" s="635"/>
    </row>
    <row r="2047" spans="1:8" ht="12.75" customHeight="1" x14ac:dyDescent="0.25">
      <c r="A2047" s="631">
        <f t="shared" si="31"/>
        <v>2042</v>
      </c>
      <c r="B2047" s="632"/>
      <c r="C2047" s="633"/>
      <c r="D2047" s="634"/>
      <c r="E2047" s="655"/>
      <c r="F2047" s="684"/>
      <c r="G2047" s="684"/>
      <c r="H2047" s="635"/>
    </row>
    <row r="2048" spans="1:8" ht="12.75" customHeight="1" x14ac:dyDescent="0.25">
      <c r="A2048" s="631">
        <f t="shared" si="31"/>
        <v>2043</v>
      </c>
      <c r="B2048" s="632"/>
      <c r="C2048" s="633"/>
      <c r="D2048" s="634"/>
      <c r="E2048" s="655"/>
      <c r="F2048" s="684"/>
      <c r="G2048" s="684"/>
      <c r="H2048" s="635"/>
    </row>
    <row r="2049" spans="1:8" ht="12.75" customHeight="1" x14ac:dyDescent="0.25">
      <c r="A2049" s="631">
        <f t="shared" ref="A2049:A2112" si="32">ROW()-5</f>
        <v>2044</v>
      </c>
      <c r="B2049" s="632"/>
      <c r="C2049" s="633"/>
      <c r="D2049" s="634"/>
      <c r="E2049" s="655"/>
      <c r="F2049" s="684"/>
      <c r="G2049" s="684"/>
      <c r="H2049" s="635"/>
    </row>
    <row r="2050" spans="1:8" ht="12.75" customHeight="1" x14ac:dyDescent="0.25">
      <c r="A2050" s="631">
        <f t="shared" si="32"/>
        <v>2045</v>
      </c>
      <c r="B2050" s="632"/>
      <c r="C2050" s="633"/>
      <c r="D2050" s="634"/>
      <c r="E2050" s="655"/>
      <c r="F2050" s="684"/>
      <c r="G2050" s="684"/>
      <c r="H2050" s="635"/>
    </row>
    <row r="2051" spans="1:8" ht="12.75" customHeight="1" x14ac:dyDescent="0.25">
      <c r="A2051" s="631">
        <f t="shared" si="32"/>
        <v>2046</v>
      </c>
      <c r="B2051" s="632"/>
      <c r="C2051" s="633"/>
      <c r="D2051" s="634"/>
      <c r="E2051" s="655"/>
      <c r="F2051" s="684"/>
      <c r="G2051" s="684"/>
      <c r="H2051" s="635"/>
    </row>
    <row r="2052" spans="1:8" ht="12.75" customHeight="1" x14ac:dyDescent="0.25">
      <c r="A2052" s="631">
        <f t="shared" si="32"/>
        <v>2047</v>
      </c>
      <c r="B2052" s="632"/>
      <c r="C2052" s="633"/>
      <c r="D2052" s="634"/>
      <c r="E2052" s="655"/>
      <c r="F2052" s="684"/>
      <c r="G2052" s="684"/>
      <c r="H2052" s="635"/>
    </row>
    <row r="2053" spans="1:8" ht="12.75" customHeight="1" x14ac:dyDescent="0.25">
      <c r="A2053" s="631">
        <f t="shared" si="32"/>
        <v>2048</v>
      </c>
      <c r="B2053" s="632"/>
      <c r="C2053" s="633"/>
      <c r="D2053" s="634"/>
      <c r="E2053" s="655"/>
      <c r="F2053" s="684"/>
      <c r="G2053" s="684"/>
      <c r="H2053" s="635"/>
    </row>
    <row r="2054" spans="1:8" ht="12.75" customHeight="1" x14ac:dyDescent="0.25">
      <c r="A2054" s="631">
        <f t="shared" si="32"/>
        <v>2049</v>
      </c>
      <c r="B2054" s="632"/>
      <c r="C2054" s="633"/>
      <c r="D2054" s="634"/>
      <c r="E2054" s="655"/>
      <c r="F2054" s="684"/>
      <c r="G2054" s="684"/>
      <c r="H2054" s="635"/>
    </row>
    <row r="2055" spans="1:8" ht="12.75" customHeight="1" x14ac:dyDescent="0.25">
      <c r="A2055" s="631">
        <f t="shared" si="32"/>
        <v>2050</v>
      </c>
      <c r="B2055" s="632"/>
      <c r="C2055" s="633"/>
      <c r="D2055" s="634"/>
      <c r="E2055" s="655"/>
      <c r="F2055" s="684"/>
      <c r="G2055" s="684"/>
      <c r="H2055" s="635"/>
    </row>
    <row r="2056" spans="1:8" ht="12.75" customHeight="1" x14ac:dyDescent="0.25">
      <c r="A2056" s="631">
        <f t="shared" si="32"/>
        <v>2051</v>
      </c>
      <c r="B2056" s="632"/>
      <c r="C2056" s="633"/>
      <c r="D2056" s="634"/>
      <c r="E2056" s="655"/>
      <c r="F2056" s="684"/>
      <c r="G2056" s="684"/>
      <c r="H2056" s="635"/>
    </row>
    <row r="2057" spans="1:8" ht="12.75" customHeight="1" x14ac:dyDescent="0.25">
      <c r="A2057" s="631">
        <f t="shared" si="32"/>
        <v>2052</v>
      </c>
      <c r="B2057" s="632"/>
      <c r="C2057" s="633"/>
      <c r="D2057" s="634"/>
      <c r="E2057" s="655"/>
      <c r="F2057" s="684"/>
      <c r="G2057" s="684"/>
      <c r="H2057" s="635"/>
    </row>
    <row r="2058" spans="1:8" ht="12.75" customHeight="1" x14ac:dyDescent="0.25">
      <c r="A2058" s="631">
        <f t="shared" si="32"/>
        <v>2053</v>
      </c>
      <c r="B2058" s="632"/>
      <c r="C2058" s="633"/>
      <c r="D2058" s="634"/>
      <c r="E2058" s="655"/>
      <c r="F2058" s="684"/>
      <c r="G2058" s="684"/>
      <c r="H2058" s="635"/>
    </row>
    <row r="2059" spans="1:8" ht="12.75" customHeight="1" x14ac:dyDescent="0.25">
      <c r="A2059" s="631">
        <f t="shared" si="32"/>
        <v>2054</v>
      </c>
      <c r="B2059" s="632"/>
      <c r="C2059" s="633"/>
      <c r="D2059" s="634"/>
      <c r="E2059" s="655"/>
      <c r="F2059" s="684"/>
      <c r="G2059" s="684"/>
      <c r="H2059" s="635"/>
    </row>
    <row r="2060" spans="1:8" ht="12.75" customHeight="1" x14ac:dyDescent="0.25">
      <c r="A2060" s="631">
        <f t="shared" si="32"/>
        <v>2055</v>
      </c>
      <c r="B2060" s="632"/>
      <c r="C2060" s="633"/>
      <c r="D2060" s="634"/>
      <c r="E2060" s="655"/>
      <c r="F2060" s="684"/>
      <c r="G2060" s="684"/>
      <c r="H2060" s="635"/>
    </row>
    <row r="2061" spans="1:8" ht="12.75" customHeight="1" x14ac:dyDescent="0.25">
      <c r="A2061" s="631">
        <f t="shared" si="32"/>
        <v>2056</v>
      </c>
      <c r="B2061" s="632"/>
      <c r="C2061" s="633"/>
      <c r="D2061" s="634"/>
      <c r="E2061" s="655"/>
      <c r="F2061" s="684"/>
      <c r="G2061" s="684"/>
      <c r="H2061" s="635"/>
    </row>
    <row r="2062" spans="1:8" ht="12.75" customHeight="1" x14ac:dyDescent="0.25">
      <c r="A2062" s="631">
        <f t="shared" si="32"/>
        <v>2057</v>
      </c>
      <c r="B2062" s="632"/>
      <c r="C2062" s="633"/>
      <c r="D2062" s="634"/>
      <c r="E2062" s="655"/>
      <c r="F2062" s="684"/>
      <c r="G2062" s="684"/>
      <c r="H2062" s="635"/>
    </row>
    <row r="2063" spans="1:8" ht="12.75" customHeight="1" x14ac:dyDescent="0.25">
      <c r="A2063" s="631">
        <f t="shared" si="32"/>
        <v>2058</v>
      </c>
      <c r="B2063" s="632"/>
      <c r="C2063" s="633"/>
      <c r="D2063" s="634"/>
      <c r="E2063" s="655"/>
      <c r="F2063" s="684"/>
      <c r="G2063" s="684"/>
      <c r="H2063" s="635"/>
    </row>
    <row r="2064" spans="1:8" ht="12.75" customHeight="1" x14ac:dyDescent="0.25">
      <c r="A2064" s="631">
        <f t="shared" si="32"/>
        <v>2059</v>
      </c>
      <c r="B2064" s="632"/>
      <c r="C2064" s="633"/>
      <c r="D2064" s="634"/>
      <c r="E2064" s="655"/>
      <c r="F2064" s="684"/>
      <c r="G2064" s="684"/>
      <c r="H2064" s="635"/>
    </row>
    <row r="2065" spans="1:8" ht="12.75" customHeight="1" x14ac:dyDescent="0.25">
      <c r="A2065" s="631">
        <f t="shared" si="32"/>
        <v>2060</v>
      </c>
      <c r="B2065" s="632"/>
      <c r="C2065" s="633"/>
      <c r="D2065" s="634"/>
      <c r="E2065" s="655"/>
      <c r="F2065" s="684"/>
      <c r="G2065" s="684"/>
      <c r="H2065" s="635"/>
    </row>
    <row r="2066" spans="1:8" ht="12.75" customHeight="1" x14ac:dyDescent="0.25">
      <c r="A2066" s="631">
        <f t="shared" si="32"/>
        <v>2061</v>
      </c>
      <c r="B2066" s="632"/>
      <c r="C2066" s="633"/>
      <c r="D2066" s="634"/>
      <c r="E2066" s="655"/>
      <c r="F2066" s="684"/>
      <c r="G2066" s="684"/>
      <c r="H2066" s="635"/>
    </row>
    <row r="2067" spans="1:8" ht="12.75" customHeight="1" x14ac:dyDescent="0.25">
      <c r="A2067" s="631">
        <f t="shared" si="32"/>
        <v>2062</v>
      </c>
      <c r="B2067" s="632"/>
      <c r="C2067" s="633"/>
      <c r="D2067" s="634"/>
      <c r="E2067" s="655"/>
      <c r="F2067" s="684"/>
      <c r="G2067" s="684"/>
      <c r="H2067" s="635"/>
    </row>
    <row r="2068" spans="1:8" ht="12.75" customHeight="1" x14ac:dyDescent="0.25">
      <c r="A2068" s="631">
        <f t="shared" si="32"/>
        <v>2063</v>
      </c>
      <c r="B2068" s="632"/>
      <c r="C2068" s="633"/>
      <c r="D2068" s="634"/>
      <c r="E2068" s="655"/>
      <c r="F2068" s="684"/>
      <c r="G2068" s="684"/>
      <c r="H2068" s="635"/>
    </row>
    <row r="2069" spans="1:8" ht="12.75" customHeight="1" x14ac:dyDescent="0.25">
      <c r="A2069" s="631">
        <f t="shared" si="32"/>
        <v>2064</v>
      </c>
      <c r="B2069" s="632"/>
      <c r="C2069" s="633"/>
      <c r="D2069" s="634"/>
      <c r="E2069" s="655"/>
      <c r="F2069" s="684"/>
      <c r="G2069" s="684"/>
      <c r="H2069" s="635"/>
    </row>
    <row r="2070" spans="1:8" ht="12.75" customHeight="1" x14ac:dyDescent="0.25">
      <c r="A2070" s="631">
        <f t="shared" si="32"/>
        <v>2065</v>
      </c>
      <c r="B2070" s="632"/>
      <c r="C2070" s="633"/>
      <c r="D2070" s="634"/>
      <c r="E2070" s="655"/>
      <c r="F2070" s="684"/>
      <c r="G2070" s="684"/>
      <c r="H2070" s="635"/>
    </row>
    <row r="2071" spans="1:8" ht="12.75" customHeight="1" x14ac:dyDescent="0.25">
      <c r="A2071" s="631">
        <f t="shared" si="32"/>
        <v>2066</v>
      </c>
      <c r="B2071" s="632"/>
      <c r="C2071" s="633"/>
      <c r="D2071" s="634"/>
      <c r="E2071" s="655"/>
      <c r="F2071" s="684"/>
      <c r="G2071" s="684"/>
      <c r="H2071" s="635"/>
    </row>
    <row r="2072" spans="1:8" ht="12.75" customHeight="1" x14ac:dyDescent="0.25">
      <c r="A2072" s="631">
        <f t="shared" si="32"/>
        <v>2067</v>
      </c>
      <c r="B2072" s="632"/>
      <c r="C2072" s="633"/>
      <c r="D2072" s="634"/>
      <c r="E2072" s="655"/>
      <c r="F2072" s="684"/>
      <c r="G2072" s="684"/>
      <c r="H2072" s="635"/>
    </row>
    <row r="2073" spans="1:8" ht="15" customHeight="1" x14ac:dyDescent="0.25">
      <c r="A2073" s="631">
        <f t="shared" si="32"/>
        <v>2068</v>
      </c>
      <c r="B2073" s="632"/>
      <c r="C2073" s="633"/>
      <c r="D2073" s="634"/>
      <c r="E2073" s="655"/>
      <c r="F2073" s="684"/>
      <c r="G2073" s="684"/>
      <c r="H2073" s="635"/>
    </row>
    <row r="2074" spans="1:8" ht="15" customHeight="1" x14ac:dyDescent="0.25">
      <c r="A2074" s="631">
        <f t="shared" si="32"/>
        <v>2069</v>
      </c>
      <c r="B2074" s="632"/>
      <c r="C2074" s="633"/>
      <c r="D2074" s="634"/>
      <c r="E2074" s="655"/>
      <c r="F2074" s="684"/>
      <c r="G2074" s="684"/>
      <c r="H2074" s="635"/>
    </row>
    <row r="2075" spans="1:8" ht="15" customHeight="1" x14ac:dyDescent="0.25">
      <c r="A2075" s="631">
        <f t="shared" si="32"/>
        <v>2070</v>
      </c>
      <c r="B2075" s="632"/>
      <c r="C2075" s="633"/>
      <c r="D2075" s="634"/>
      <c r="E2075" s="655"/>
      <c r="F2075" s="684"/>
      <c r="G2075" s="684"/>
      <c r="H2075" s="635"/>
    </row>
    <row r="2076" spans="1:8" ht="15" customHeight="1" x14ac:dyDescent="0.25">
      <c r="A2076" s="631">
        <f t="shared" si="32"/>
        <v>2071</v>
      </c>
      <c r="B2076" s="632"/>
      <c r="C2076" s="633"/>
      <c r="D2076" s="634"/>
      <c r="E2076" s="655"/>
      <c r="F2076" s="684"/>
      <c r="G2076" s="684"/>
      <c r="H2076" s="635"/>
    </row>
    <row r="2077" spans="1:8" ht="15" customHeight="1" x14ac:dyDescent="0.25">
      <c r="A2077" s="631">
        <f t="shared" si="32"/>
        <v>2072</v>
      </c>
      <c r="B2077" s="632"/>
      <c r="C2077" s="633"/>
      <c r="D2077" s="634"/>
      <c r="E2077" s="655"/>
      <c r="F2077" s="684"/>
      <c r="G2077" s="684"/>
      <c r="H2077" s="635"/>
    </row>
    <row r="2078" spans="1:8" ht="15" customHeight="1" x14ac:dyDescent="0.25">
      <c r="A2078" s="631">
        <f t="shared" si="32"/>
        <v>2073</v>
      </c>
      <c r="B2078" s="632"/>
      <c r="C2078" s="633"/>
      <c r="D2078" s="634"/>
      <c r="E2078" s="655"/>
      <c r="F2078" s="684"/>
      <c r="G2078" s="684"/>
      <c r="H2078" s="635"/>
    </row>
    <row r="2079" spans="1:8" ht="15" customHeight="1" x14ac:dyDescent="0.25">
      <c r="A2079" s="631">
        <f t="shared" si="32"/>
        <v>2074</v>
      </c>
      <c r="B2079" s="632"/>
      <c r="C2079" s="633"/>
      <c r="D2079" s="634"/>
      <c r="E2079" s="655"/>
      <c r="F2079" s="684"/>
      <c r="G2079" s="684"/>
      <c r="H2079" s="635"/>
    </row>
    <row r="2080" spans="1:8" ht="15" customHeight="1" x14ac:dyDescent="0.25">
      <c r="A2080" s="631">
        <f t="shared" si="32"/>
        <v>2075</v>
      </c>
      <c r="B2080" s="632"/>
      <c r="C2080" s="633"/>
      <c r="D2080" s="634"/>
      <c r="E2080" s="655"/>
      <c r="F2080" s="684"/>
      <c r="G2080" s="684"/>
      <c r="H2080" s="635"/>
    </row>
    <row r="2081" spans="1:8" ht="15" customHeight="1" x14ac:dyDescent="0.25">
      <c r="A2081" s="631">
        <f t="shared" si="32"/>
        <v>2076</v>
      </c>
      <c r="B2081" s="632"/>
      <c r="C2081" s="633"/>
      <c r="D2081" s="634"/>
      <c r="E2081" s="655"/>
      <c r="F2081" s="684"/>
      <c r="G2081" s="684"/>
      <c r="H2081" s="635"/>
    </row>
    <row r="2082" spans="1:8" ht="15" customHeight="1" x14ac:dyDescent="0.25">
      <c r="A2082" s="631">
        <f t="shared" si="32"/>
        <v>2077</v>
      </c>
      <c r="B2082" s="632"/>
      <c r="C2082" s="633"/>
      <c r="D2082" s="634"/>
      <c r="E2082" s="655"/>
      <c r="F2082" s="684"/>
      <c r="G2082" s="684"/>
      <c r="H2082" s="635"/>
    </row>
    <row r="2083" spans="1:8" ht="15" customHeight="1" x14ac:dyDescent="0.25">
      <c r="A2083" s="631">
        <f t="shared" si="32"/>
        <v>2078</v>
      </c>
      <c r="B2083" s="632"/>
      <c r="C2083" s="633"/>
      <c r="D2083" s="634"/>
      <c r="E2083" s="655"/>
      <c r="F2083" s="684"/>
      <c r="G2083" s="684"/>
      <c r="H2083" s="635"/>
    </row>
    <row r="2084" spans="1:8" ht="15" customHeight="1" x14ac:dyDescent="0.25">
      <c r="A2084" s="631">
        <f t="shared" si="32"/>
        <v>2079</v>
      </c>
      <c r="B2084" s="632"/>
      <c r="C2084" s="633"/>
      <c r="D2084" s="634"/>
      <c r="E2084" s="655"/>
      <c r="F2084" s="684"/>
      <c r="G2084" s="684"/>
      <c r="H2084" s="635"/>
    </row>
    <row r="2085" spans="1:8" ht="15" customHeight="1" x14ac:dyDescent="0.25">
      <c r="A2085" s="631">
        <f t="shared" si="32"/>
        <v>2080</v>
      </c>
      <c r="B2085" s="632"/>
      <c r="C2085" s="633"/>
      <c r="D2085" s="634"/>
      <c r="E2085" s="655"/>
      <c r="F2085" s="684"/>
      <c r="G2085" s="684"/>
      <c r="H2085" s="635"/>
    </row>
    <row r="2086" spans="1:8" ht="15" customHeight="1" x14ac:dyDescent="0.25">
      <c r="A2086" s="631">
        <f t="shared" si="32"/>
        <v>2081</v>
      </c>
      <c r="B2086" s="632"/>
      <c r="C2086" s="633"/>
      <c r="D2086" s="634"/>
      <c r="E2086" s="655"/>
      <c r="F2086" s="684"/>
      <c r="G2086" s="684"/>
      <c r="H2086" s="635"/>
    </row>
    <row r="2087" spans="1:8" ht="15" customHeight="1" x14ac:dyDescent="0.25">
      <c r="A2087" s="631">
        <f t="shared" si="32"/>
        <v>2082</v>
      </c>
      <c r="B2087" s="632"/>
      <c r="C2087" s="633"/>
      <c r="D2087" s="634"/>
      <c r="E2087" s="655"/>
      <c r="F2087" s="684"/>
      <c r="G2087" s="684"/>
      <c r="H2087" s="635"/>
    </row>
    <row r="2088" spans="1:8" ht="15" customHeight="1" x14ac:dyDescent="0.25">
      <c r="A2088" s="631">
        <f t="shared" si="32"/>
        <v>2083</v>
      </c>
      <c r="B2088" s="632"/>
      <c r="C2088" s="633"/>
      <c r="D2088" s="634"/>
      <c r="E2088" s="655"/>
      <c r="F2088" s="684"/>
      <c r="G2088" s="684"/>
      <c r="H2088" s="635"/>
    </row>
    <row r="2089" spans="1:8" ht="15" customHeight="1" x14ac:dyDescent="0.25">
      <c r="A2089" s="631">
        <f t="shared" si="32"/>
        <v>2084</v>
      </c>
      <c r="B2089" s="632"/>
      <c r="C2089" s="633"/>
      <c r="D2089" s="634"/>
      <c r="E2089" s="655"/>
      <c r="F2089" s="684"/>
      <c r="G2089" s="684"/>
      <c r="H2089" s="635"/>
    </row>
    <row r="2090" spans="1:8" ht="15" customHeight="1" x14ac:dyDescent="0.25">
      <c r="A2090" s="631">
        <f t="shared" si="32"/>
        <v>2085</v>
      </c>
      <c r="B2090" s="632"/>
      <c r="C2090" s="633"/>
      <c r="D2090" s="634"/>
      <c r="E2090" s="655"/>
      <c r="F2090" s="684"/>
      <c r="G2090" s="684"/>
      <c r="H2090" s="635"/>
    </row>
    <row r="2091" spans="1:8" ht="15" customHeight="1" x14ac:dyDescent="0.25">
      <c r="A2091" s="631">
        <f t="shared" si="32"/>
        <v>2086</v>
      </c>
      <c r="B2091" s="632"/>
      <c r="C2091" s="633"/>
      <c r="D2091" s="634"/>
      <c r="E2091" s="655"/>
      <c r="F2091" s="684"/>
      <c r="G2091" s="684"/>
      <c r="H2091" s="635"/>
    </row>
    <row r="2092" spans="1:8" ht="15" customHeight="1" x14ac:dyDescent="0.25">
      <c r="A2092" s="631">
        <f t="shared" si="32"/>
        <v>2087</v>
      </c>
      <c r="B2092" s="632"/>
      <c r="C2092" s="633"/>
      <c r="D2092" s="634"/>
      <c r="E2092" s="655"/>
      <c r="F2092" s="684"/>
      <c r="G2092" s="684"/>
      <c r="H2092" s="635"/>
    </row>
    <row r="2093" spans="1:8" ht="15" customHeight="1" x14ac:dyDescent="0.25">
      <c r="A2093" s="631">
        <f t="shared" si="32"/>
        <v>2088</v>
      </c>
      <c r="B2093" s="632"/>
      <c r="C2093" s="633"/>
      <c r="D2093" s="634"/>
      <c r="E2093" s="655"/>
      <c r="F2093" s="684"/>
      <c r="G2093" s="684"/>
      <c r="H2093" s="635"/>
    </row>
    <row r="2094" spans="1:8" ht="15" customHeight="1" x14ac:dyDescent="0.25">
      <c r="A2094" s="631">
        <f t="shared" si="32"/>
        <v>2089</v>
      </c>
      <c r="B2094" s="632"/>
      <c r="C2094" s="633"/>
      <c r="D2094" s="634"/>
      <c r="E2094" s="655"/>
      <c r="F2094" s="684"/>
      <c r="G2094" s="684"/>
      <c r="H2094" s="635"/>
    </row>
    <row r="2095" spans="1:8" ht="15" customHeight="1" x14ac:dyDescent="0.25">
      <c r="A2095" s="631">
        <f t="shared" si="32"/>
        <v>2090</v>
      </c>
      <c r="B2095" s="632"/>
      <c r="C2095" s="633"/>
      <c r="D2095" s="634"/>
      <c r="E2095" s="655"/>
      <c r="F2095" s="684"/>
      <c r="G2095" s="684"/>
      <c r="H2095" s="635"/>
    </row>
    <row r="2096" spans="1:8" ht="15" customHeight="1" x14ac:dyDescent="0.25">
      <c r="A2096" s="631">
        <f t="shared" si="32"/>
        <v>2091</v>
      </c>
      <c r="B2096" s="632"/>
      <c r="C2096" s="633"/>
      <c r="D2096" s="634"/>
      <c r="E2096" s="655"/>
      <c r="F2096" s="684"/>
      <c r="G2096" s="684"/>
      <c r="H2096" s="635"/>
    </row>
    <row r="2097" spans="1:8" ht="15" customHeight="1" x14ac:dyDescent="0.25">
      <c r="A2097" s="631">
        <f t="shared" si="32"/>
        <v>2092</v>
      </c>
      <c r="B2097" s="632"/>
      <c r="C2097" s="633"/>
      <c r="D2097" s="634"/>
      <c r="E2097" s="655"/>
      <c r="F2097" s="684"/>
      <c r="G2097" s="684"/>
      <c r="H2097" s="635"/>
    </row>
    <row r="2098" spans="1:8" ht="15" customHeight="1" x14ac:dyDescent="0.25">
      <c r="A2098" s="631">
        <f t="shared" si="32"/>
        <v>2093</v>
      </c>
      <c r="B2098" s="632"/>
      <c r="C2098" s="633"/>
      <c r="D2098" s="634"/>
      <c r="E2098" s="655"/>
      <c r="F2098" s="684"/>
      <c r="G2098" s="684"/>
      <c r="H2098" s="635"/>
    </row>
    <row r="2099" spans="1:8" ht="15" customHeight="1" x14ac:dyDescent="0.25">
      <c r="A2099" s="631">
        <f t="shared" si="32"/>
        <v>2094</v>
      </c>
      <c r="B2099" s="632"/>
      <c r="C2099" s="633"/>
      <c r="D2099" s="634"/>
      <c r="E2099" s="655"/>
      <c r="F2099" s="684"/>
      <c r="G2099" s="684"/>
      <c r="H2099" s="635"/>
    </row>
    <row r="2100" spans="1:8" ht="15" customHeight="1" x14ac:dyDescent="0.25">
      <c r="A2100" s="631">
        <f t="shared" si="32"/>
        <v>2095</v>
      </c>
      <c r="B2100" s="632"/>
      <c r="C2100" s="633"/>
      <c r="D2100" s="634"/>
      <c r="E2100" s="655"/>
      <c r="F2100" s="684"/>
      <c r="G2100" s="684"/>
      <c r="H2100" s="635"/>
    </row>
    <row r="2101" spans="1:8" ht="15" customHeight="1" x14ac:dyDescent="0.25">
      <c r="A2101" s="631">
        <f t="shared" si="32"/>
        <v>2096</v>
      </c>
      <c r="B2101" s="632"/>
      <c r="C2101" s="633"/>
      <c r="D2101" s="634"/>
      <c r="E2101" s="655"/>
      <c r="F2101" s="684"/>
      <c r="G2101" s="684"/>
      <c r="H2101" s="635"/>
    </row>
    <row r="2102" spans="1:8" ht="15" customHeight="1" x14ac:dyDescent="0.25">
      <c r="A2102" s="631">
        <f t="shared" si="32"/>
        <v>2097</v>
      </c>
      <c r="B2102" s="632"/>
      <c r="C2102" s="633"/>
      <c r="D2102" s="634"/>
      <c r="E2102" s="655"/>
      <c r="F2102" s="684"/>
      <c r="G2102" s="684"/>
      <c r="H2102" s="635"/>
    </row>
    <row r="2103" spans="1:8" ht="15" customHeight="1" x14ac:dyDescent="0.25">
      <c r="A2103" s="631">
        <f t="shared" si="32"/>
        <v>2098</v>
      </c>
      <c r="B2103" s="632"/>
      <c r="C2103" s="633"/>
      <c r="D2103" s="634"/>
      <c r="E2103" s="655"/>
      <c r="F2103" s="684"/>
      <c r="G2103" s="684"/>
      <c r="H2103" s="635"/>
    </row>
    <row r="2104" spans="1:8" ht="15" customHeight="1" x14ac:dyDescent="0.25">
      <c r="A2104" s="631">
        <f t="shared" si="32"/>
        <v>2099</v>
      </c>
      <c r="B2104" s="632"/>
      <c r="C2104" s="633"/>
      <c r="D2104" s="634"/>
      <c r="E2104" s="655"/>
      <c r="F2104" s="684"/>
      <c r="G2104" s="684"/>
      <c r="H2104" s="635"/>
    </row>
    <row r="2105" spans="1:8" ht="15" customHeight="1" x14ac:dyDescent="0.25">
      <c r="A2105" s="631">
        <f t="shared" si="32"/>
        <v>2100</v>
      </c>
      <c r="B2105" s="632"/>
      <c r="C2105" s="633"/>
      <c r="D2105" s="634"/>
      <c r="E2105" s="655"/>
      <c r="F2105" s="684"/>
      <c r="G2105" s="684"/>
      <c r="H2105" s="635"/>
    </row>
    <row r="2106" spans="1:8" ht="15" customHeight="1" x14ac:dyDescent="0.25">
      <c r="A2106" s="631">
        <f t="shared" si="32"/>
        <v>2101</v>
      </c>
      <c r="B2106" s="632"/>
      <c r="C2106" s="633"/>
      <c r="D2106" s="634"/>
      <c r="E2106" s="655"/>
      <c r="F2106" s="684"/>
      <c r="G2106" s="684"/>
      <c r="H2106" s="635"/>
    </row>
    <row r="2107" spans="1:8" ht="15" customHeight="1" x14ac:dyDescent="0.25">
      <c r="A2107" s="631">
        <f t="shared" si="32"/>
        <v>2102</v>
      </c>
      <c r="B2107" s="632"/>
      <c r="C2107" s="633"/>
      <c r="D2107" s="634"/>
      <c r="E2107" s="655"/>
      <c r="F2107" s="684"/>
      <c r="G2107" s="684"/>
      <c r="H2107" s="635"/>
    </row>
    <row r="2108" spans="1:8" ht="15" customHeight="1" x14ac:dyDescent="0.25">
      <c r="A2108" s="631">
        <f t="shared" si="32"/>
        <v>2103</v>
      </c>
      <c r="B2108" s="632"/>
      <c r="C2108" s="633"/>
      <c r="D2108" s="634"/>
      <c r="E2108" s="655"/>
      <c r="F2108" s="684"/>
      <c r="G2108" s="684"/>
      <c r="H2108" s="635"/>
    </row>
    <row r="2109" spans="1:8" ht="15" customHeight="1" x14ac:dyDescent="0.25">
      <c r="A2109" s="631">
        <f t="shared" si="32"/>
        <v>2104</v>
      </c>
      <c r="B2109" s="632"/>
      <c r="C2109" s="633"/>
      <c r="D2109" s="634"/>
      <c r="E2109" s="655"/>
      <c r="F2109" s="684"/>
      <c r="G2109" s="684"/>
      <c r="H2109" s="635"/>
    </row>
    <row r="2110" spans="1:8" ht="15" customHeight="1" x14ac:dyDescent="0.25">
      <c r="A2110" s="631">
        <f t="shared" si="32"/>
        <v>2105</v>
      </c>
      <c r="B2110" s="632"/>
      <c r="C2110" s="633"/>
      <c r="D2110" s="634"/>
      <c r="E2110" s="655"/>
      <c r="F2110" s="684"/>
      <c r="G2110" s="684"/>
      <c r="H2110" s="635"/>
    </row>
    <row r="2111" spans="1:8" ht="15" customHeight="1" x14ac:dyDescent="0.25">
      <c r="A2111" s="631">
        <f t="shared" si="32"/>
        <v>2106</v>
      </c>
      <c r="B2111" s="632"/>
      <c r="C2111" s="633"/>
      <c r="D2111" s="634"/>
      <c r="E2111" s="655"/>
      <c r="F2111" s="684"/>
      <c r="G2111" s="684"/>
      <c r="H2111" s="635"/>
    </row>
    <row r="2112" spans="1:8" ht="15" customHeight="1" x14ac:dyDescent="0.25">
      <c r="A2112" s="631">
        <f t="shared" si="32"/>
        <v>2107</v>
      </c>
      <c r="B2112" s="632"/>
      <c r="C2112" s="633"/>
      <c r="D2112" s="634"/>
      <c r="E2112" s="655"/>
      <c r="F2112" s="684"/>
      <c r="G2112" s="684"/>
      <c r="H2112" s="635"/>
    </row>
    <row r="2113" spans="1:8" ht="15" customHeight="1" x14ac:dyDescent="0.25">
      <c r="A2113" s="631">
        <f t="shared" ref="A2113:A2176" si="33">ROW()-5</f>
        <v>2108</v>
      </c>
      <c r="B2113" s="632"/>
      <c r="C2113" s="633"/>
      <c r="D2113" s="634"/>
      <c r="E2113" s="655"/>
      <c r="F2113" s="684"/>
      <c r="G2113" s="684"/>
      <c r="H2113" s="635"/>
    </row>
    <row r="2114" spans="1:8" ht="15" customHeight="1" x14ac:dyDescent="0.25">
      <c r="A2114" s="631">
        <f t="shared" si="33"/>
        <v>2109</v>
      </c>
      <c r="B2114" s="632"/>
      <c r="C2114" s="633"/>
      <c r="D2114" s="634"/>
      <c r="E2114" s="655"/>
      <c r="F2114" s="684"/>
      <c r="G2114" s="684"/>
      <c r="H2114" s="635"/>
    </row>
    <row r="2115" spans="1:8" ht="15" customHeight="1" x14ac:dyDescent="0.25">
      <c r="A2115" s="631">
        <f t="shared" si="33"/>
        <v>2110</v>
      </c>
      <c r="B2115" s="632"/>
      <c r="C2115" s="633"/>
      <c r="D2115" s="634"/>
      <c r="E2115" s="655"/>
      <c r="F2115" s="684"/>
      <c r="G2115" s="684"/>
      <c r="H2115" s="635"/>
    </row>
    <row r="2116" spans="1:8" ht="15" customHeight="1" x14ac:dyDescent="0.25">
      <c r="A2116" s="631">
        <f t="shared" si="33"/>
        <v>2111</v>
      </c>
      <c r="B2116" s="632"/>
      <c r="C2116" s="633"/>
      <c r="D2116" s="634"/>
      <c r="E2116" s="655"/>
      <c r="F2116" s="684"/>
      <c r="G2116" s="684"/>
      <c r="H2116" s="635"/>
    </row>
    <row r="2117" spans="1:8" ht="15" customHeight="1" x14ac:dyDescent="0.25">
      <c r="A2117" s="631">
        <f t="shared" si="33"/>
        <v>2112</v>
      </c>
      <c r="B2117" s="632"/>
      <c r="C2117" s="633"/>
      <c r="D2117" s="634"/>
      <c r="E2117" s="655"/>
      <c r="F2117" s="684"/>
      <c r="G2117" s="684"/>
      <c r="H2117" s="635"/>
    </row>
    <row r="2118" spans="1:8" ht="15" customHeight="1" x14ac:dyDescent="0.25">
      <c r="A2118" s="631">
        <f t="shared" si="33"/>
        <v>2113</v>
      </c>
      <c r="B2118" s="632"/>
      <c r="C2118" s="633"/>
      <c r="D2118" s="634"/>
      <c r="E2118" s="655"/>
      <c r="F2118" s="684"/>
      <c r="G2118" s="684"/>
      <c r="H2118" s="635"/>
    </row>
    <row r="2119" spans="1:8" ht="15" customHeight="1" x14ac:dyDescent="0.25">
      <c r="A2119" s="631">
        <f t="shared" si="33"/>
        <v>2114</v>
      </c>
      <c r="B2119" s="632"/>
      <c r="C2119" s="633"/>
      <c r="D2119" s="634"/>
      <c r="E2119" s="655"/>
      <c r="F2119" s="684"/>
      <c r="G2119" s="684"/>
      <c r="H2119" s="635"/>
    </row>
    <row r="2120" spans="1:8" ht="15" customHeight="1" x14ac:dyDescent="0.25">
      <c r="A2120" s="631">
        <f t="shared" si="33"/>
        <v>2115</v>
      </c>
      <c r="B2120" s="632"/>
      <c r="C2120" s="633"/>
      <c r="D2120" s="634"/>
      <c r="E2120" s="655"/>
      <c r="F2120" s="684"/>
      <c r="G2120" s="684"/>
      <c r="H2120" s="635"/>
    </row>
    <row r="2121" spans="1:8" ht="15" customHeight="1" x14ac:dyDescent="0.25">
      <c r="A2121" s="631">
        <f t="shared" si="33"/>
        <v>2116</v>
      </c>
      <c r="B2121" s="632"/>
      <c r="C2121" s="633"/>
      <c r="D2121" s="634"/>
      <c r="E2121" s="655"/>
      <c r="F2121" s="684"/>
      <c r="G2121" s="684"/>
      <c r="H2121" s="635"/>
    </row>
    <row r="2122" spans="1:8" ht="15" customHeight="1" x14ac:dyDescent="0.25">
      <c r="A2122" s="631">
        <f t="shared" si="33"/>
        <v>2117</v>
      </c>
      <c r="B2122" s="632"/>
      <c r="C2122" s="633"/>
      <c r="D2122" s="634"/>
      <c r="E2122" s="655"/>
      <c r="F2122" s="684"/>
      <c r="G2122" s="684"/>
      <c r="H2122" s="635"/>
    </row>
    <row r="2123" spans="1:8" ht="15" customHeight="1" x14ac:dyDescent="0.25">
      <c r="A2123" s="631">
        <f t="shared" si="33"/>
        <v>2118</v>
      </c>
      <c r="B2123" s="632"/>
      <c r="C2123" s="633"/>
      <c r="D2123" s="634"/>
      <c r="E2123" s="655"/>
      <c r="F2123" s="684"/>
      <c r="G2123" s="684"/>
      <c r="H2123" s="635"/>
    </row>
    <row r="2124" spans="1:8" ht="15" customHeight="1" x14ac:dyDescent="0.25">
      <c r="A2124" s="631">
        <f t="shared" si="33"/>
        <v>2119</v>
      </c>
      <c r="B2124" s="632"/>
      <c r="C2124" s="633"/>
      <c r="D2124" s="634"/>
      <c r="E2124" s="655"/>
      <c r="F2124" s="684"/>
      <c r="G2124" s="684"/>
      <c r="H2124" s="635"/>
    </row>
    <row r="2125" spans="1:8" ht="15" customHeight="1" x14ac:dyDescent="0.25">
      <c r="A2125" s="631">
        <f t="shared" si="33"/>
        <v>2120</v>
      </c>
      <c r="B2125" s="632"/>
      <c r="C2125" s="633"/>
      <c r="D2125" s="634"/>
      <c r="E2125" s="655"/>
      <c r="F2125" s="684"/>
      <c r="G2125" s="684"/>
      <c r="H2125" s="635"/>
    </row>
    <row r="2126" spans="1:8" ht="15" customHeight="1" x14ac:dyDescent="0.25">
      <c r="A2126" s="631">
        <f t="shared" si="33"/>
        <v>2121</v>
      </c>
      <c r="B2126" s="632"/>
      <c r="C2126" s="633"/>
      <c r="D2126" s="634"/>
      <c r="E2126" s="655"/>
      <c r="F2126" s="684"/>
      <c r="G2126" s="684"/>
      <c r="H2126" s="635"/>
    </row>
    <row r="2127" spans="1:8" ht="15" customHeight="1" x14ac:dyDescent="0.25">
      <c r="A2127" s="631">
        <f t="shared" si="33"/>
        <v>2122</v>
      </c>
      <c r="B2127" s="632"/>
      <c r="C2127" s="633"/>
      <c r="D2127" s="634"/>
      <c r="E2127" s="655"/>
      <c r="F2127" s="684"/>
      <c r="G2127" s="684"/>
      <c r="H2127" s="635"/>
    </row>
    <row r="2128" spans="1:8" ht="15" customHeight="1" x14ac:dyDescent="0.25">
      <c r="A2128" s="631">
        <f t="shared" si="33"/>
        <v>2123</v>
      </c>
      <c r="B2128" s="632"/>
      <c r="C2128" s="633"/>
      <c r="D2128" s="634"/>
      <c r="E2128" s="655"/>
      <c r="F2128" s="684"/>
      <c r="G2128" s="684"/>
      <c r="H2128" s="635"/>
    </row>
    <row r="2129" spans="1:8" ht="15" customHeight="1" x14ac:dyDescent="0.25">
      <c r="A2129" s="631">
        <f t="shared" si="33"/>
        <v>2124</v>
      </c>
      <c r="B2129" s="632"/>
      <c r="C2129" s="633"/>
      <c r="D2129" s="634"/>
      <c r="E2129" s="655"/>
      <c r="F2129" s="684"/>
      <c r="G2129" s="684"/>
      <c r="H2129" s="635"/>
    </row>
    <row r="2130" spans="1:8" ht="15" customHeight="1" x14ac:dyDescent="0.25">
      <c r="A2130" s="631">
        <f t="shared" si="33"/>
        <v>2125</v>
      </c>
      <c r="B2130" s="632"/>
      <c r="C2130" s="633"/>
      <c r="D2130" s="634"/>
      <c r="E2130" s="655"/>
      <c r="F2130" s="684"/>
      <c r="G2130" s="684"/>
      <c r="H2130" s="635"/>
    </row>
    <row r="2131" spans="1:8" ht="15" customHeight="1" x14ac:dyDescent="0.25">
      <c r="A2131" s="631">
        <f t="shared" si="33"/>
        <v>2126</v>
      </c>
      <c r="B2131" s="632"/>
      <c r="C2131" s="633"/>
      <c r="D2131" s="634"/>
      <c r="E2131" s="655"/>
      <c r="F2131" s="684"/>
      <c r="G2131" s="684"/>
      <c r="H2131" s="635"/>
    </row>
    <row r="2132" spans="1:8" ht="15" customHeight="1" x14ac:dyDescent="0.25">
      <c r="A2132" s="631">
        <f t="shared" si="33"/>
        <v>2127</v>
      </c>
      <c r="B2132" s="632"/>
      <c r="C2132" s="633"/>
      <c r="D2132" s="634"/>
      <c r="E2132" s="655"/>
      <c r="F2132" s="684"/>
      <c r="G2132" s="684"/>
      <c r="H2132" s="635"/>
    </row>
    <row r="2133" spans="1:8" ht="15" customHeight="1" x14ac:dyDescent="0.25">
      <c r="A2133" s="631">
        <f t="shared" si="33"/>
        <v>2128</v>
      </c>
      <c r="B2133" s="632"/>
      <c r="C2133" s="633"/>
      <c r="D2133" s="634"/>
      <c r="E2133" s="655"/>
      <c r="F2133" s="684"/>
      <c r="G2133" s="684"/>
      <c r="H2133" s="635"/>
    </row>
    <row r="2134" spans="1:8" ht="15" customHeight="1" x14ac:dyDescent="0.25">
      <c r="A2134" s="631">
        <f t="shared" si="33"/>
        <v>2129</v>
      </c>
      <c r="B2134" s="632"/>
      <c r="C2134" s="633"/>
      <c r="D2134" s="634"/>
      <c r="E2134" s="655"/>
      <c r="F2134" s="684"/>
      <c r="G2134" s="684"/>
      <c r="H2134" s="635"/>
    </row>
    <row r="2135" spans="1:8" ht="15" customHeight="1" x14ac:dyDescent="0.25">
      <c r="A2135" s="631">
        <f t="shared" si="33"/>
        <v>2130</v>
      </c>
      <c r="B2135" s="632"/>
      <c r="C2135" s="633"/>
      <c r="D2135" s="634"/>
      <c r="E2135" s="655"/>
      <c r="F2135" s="684"/>
      <c r="G2135" s="684"/>
      <c r="H2135" s="635"/>
    </row>
    <row r="2136" spans="1:8" ht="15" customHeight="1" x14ac:dyDescent="0.25">
      <c r="A2136" s="631">
        <f t="shared" si="33"/>
        <v>2131</v>
      </c>
      <c r="B2136" s="632"/>
      <c r="C2136" s="633"/>
      <c r="D2136" s="634"/>
      <c r="E2136" s="655"/>
      <c r="F2136" s="684"/>
      <c r="G2136" s="684"/>
      <c r="H2136" s="635"/>
    </row>
    <row r="2137" spans="1:8" ht="15" customHeight="1" x14ac:dyDescent="0.25">
      <c r="A2137" s="631">
        <f t="shared" si="33"/>
        <v>2132</v>
      </c>
      <c r="B2137" s="632"/>
      <c r="C2137" s="633"/>
      <c r="D2137" s="634"/>
      <c r="E2137" s="655"/>
      <c r="F2137" s="684"/>
      <c r="G2137" s="684"/>
      <c r="H2137" s="635"/>
    </row>
    <row r="2138" spans="1:8" ht="15" customHeight="1" x14ac:dyDescent="0.25">
      <c r="A2138" s="631">
        <f t="shared" si="33"/>
        <v>2133</v>
      </c>
      <c r="B2138" s="632"/>
      <c r="C2138" s="633"/>
      <c r="D2138" s="634"/>
      <c r="E2138" s="655"/>
      <c r="F2138" s="684"/>
      <c r="G2138" s="684"/>
      <c r="H2138" s="635"/>
    </row>
    <row r="2139" spans="1:8" ht="15" customHeight="1" x14ac:dyDescent="0.25">
      <c r="A2139" s="631">
        <f t="shared" si="33"/>
        <v>2134</v>
      </c>
      <c r="B2139" s="632"/>
      <c r="C2139" s="633"/>
      <c r="D2139" s="634"/>
      <c r="E2139" s="655"/>
      <c r="F2139" s="684"/>
      <c r="G2139" s="684"/>
      <c r="H2139" s="635"/>
    </row>
    <row r="2140" spans="1:8" ht="15" customHeight="1" x14ac:dyDescent="0.25">
      <c r="A2140" s="631">
        <f t="shared" si="33"/>
        <v>2135</v>
      </c>
      <c r="B2140" s="632"/>
      <c r="C2140" s="633"/>
      <c r="D2140" s="634"/>
      <c r="E2140" s="655"/>
      <c r="F2140" s="684"/>
      <c r="G2140" s="684"/>
      <c r="H2140" s="635"/>
    </row>
    <row r="2141" spans="1:8" ht="15" customHeight="1" x14ac:dyDescent="0.25">
      <c r="A2141" s="631">
        <f t="shared" si="33"/>
        <v>2136</v>
      </c>
      <c r="B2141" s="632"/>
      <c r="C2141" s="633"/>
      <c r="D2141" s="634"/>
      <c r="E2141" s="655"/>
      <c r="F2141" s="684"/>
      <c r="G2141" s="684"/>
      <c r="H2141" s="635"/>
    </row>
    <row r="2142" spans="1:8" ht="15" customHeight="1" x14ac:dyDescent="0.25">
      <c r="A2142" s="631">
        <f t="shared" si="33"/>
        <v>2137</v>
      </c>
      <c r="B2142" s="632"/>
      <c r="C2142" s="633"/>
      <c r="D2142" s="634"/>
      <c r="E2142" s="655"/>
      <c r="F2142" s="684"/>
      <c r="G2142" s="684"/>
      <c r="H2142" s="635"/>
    </row>
    <row r="2143" spans="1:8" ht="15" customHeight="1" x14ac:dyDescent="0.25">
      <c r="A2143" s="631">
        <f t="shared" si="33"/>
        <v>2138</v>
      </c>
      <c r="B2143" s="632"/>
      <c r="C2143" s="633"/>
      <c r="D2143" s="634"/>
      <c r="E2143" s="655"/>
      <c r="F2143" s="684"/>
      <c r="G2143" s="684"/>
      <c r="H2143" s="635"/>
    </row>
    <row r="2144" spans="1:8" ht="15" customHeight="1" x14ac:dyDescent="0.25">
      <c r="A2144" s="631">
        <f t="shared" si="33"/>
        <v>2139</v>
      </c>
      <c r="B2144" s="632"/>
      <c r="C2144" s="633"/>
      <c r="D2144" s="634"/>
      <c r="E2144" s="655"/>
      <c r="F2144" s="684"/>
      <c r="G2144" s="684"/>
      <c r="H2144" s="635"/>
    </row>
    <row r="2145" spans="1:8" ht="15" customHeight="1" x14ac:dyDescent="0.25">
      <c r="A2145" s="631">
        <f t="shared" si="33"/>
        <v>2140</v>
      </c>
      <c r="B2145" s="632"/>
      <c r="C2145" s="633"/>
      <c r="D2145" s="634"/>
      <c r="E2145" s="655"/>
      <c r="F2145" s="684"/>
      <c r="G2145" s="684"/>
      <c r="H2145" s="635"/>
    </row>
    <row r="2146" spans="1:8" ht="15" customHeight="1" x14ac:dyDescent="0.25">
      <c r="A2146" s="631">
        <f t="shared" si="33"/>
        <v>2141</v>
      </c>
      <c r="B2146" s="632"/>
      <c r="C2146" s="633"/>
      <c r="D2146" s="634"/>
      <c r="E2146" s="655"/>
      <c r="F2146" s="684"/>
      <c r="G2146" s="684"/>
      <c r="H2146" s="635"/>
    </row>
    <row r="2147" spans="1:8" ht="15" customHeight="1" x14ac:dyDescent="0.25">
      <c r="A2147" s="631">
        <f t="shared" si="33"/>
        <v>2142</v>
      </c>
      <c r="B2147" s="632"/>
      <c r="C2147" s="633"/>
      <c r="D2147" s="634"/>
      <c r="E2147" s="655"/>
      <c r="F2147" s="684"/>
      <c r="G2147" s="684"/>
      <c r="H2147" s="635"/>
    </row>
    <row r="2148" spans="1:8" ht="15" customHeight="1" x14ac:dyDescent="0.25">
      <c r="A2148" s="631">
        <f t="shared" si="33"/>
        <v>2143</v>
      </c>
      <c r="B2148" s="632"/>
      <c r="C2148" s="633"/>
      <c r="D2148" s="634"/>
      <c r="E2148" s="655"/>
      <c r="F2148" s="684"/>
      <c r="G2148" s="684"/>
      <c r="H2148" s="635"/>
    </row>
    <row r="2149" spans="1:8" ht="15" customHeight="1" x14ac:dyDescent="0.25">
      <c r="A2149" s="631">
        <f t="shared" si="33"/>
        <v>2144</v>
      </c>
      <c r="B2149" s="632"/>
      <c r="C2149" s="633"/>
      <c r="D2149" s="634"/>
      <c r="E2149" s="655"/>
      <c r="F2149" s="684"/>
      <c r="G2149" s="684"/>
      <c r="H2149" s="635"/>
    </row>
    <row r="2150" spans="1:8" ht="15" customHeight="1" x14ac:dyDescent="0.25">
      <c r="A2150" s="631">
        <f t="shared" si="33"/>
        <v>2145</v>
      </c>
      <c r="B2150" s="632"/>
      <c r="C2150" s="633"/>
      <c r="D2150" s="634"/>
      <c r="E2150" s="655"/>
      <c r="F2150" s="684"/>
      <c r="G2150" s="684"/>
      <c r="H2150" s="635"/>
    </row>
    <row r="2151" spans="1:8" ht="15" customHeight="1" x14ac:dyDescent="0.25">
      <c r="A2151" s="631">
        <f t="shared" si="33"/>
        <v>2146</v>
      </c>
      <c r="B2151" s="632"/>
      <c r="C2151" s="633"/>
      <c r="D2151" s="634"/>
      <c r="E2151" s="655"/>
      <c r="F2151" s="684"/>
      <c r="G2151" s="684"/>
      <c r="H2151" s="635"/>
    </row>
    <row r="2152" spans="1:8" ht="15" customHeight="1" x14ac:dyDescent="0.25">
      <c r="A2152" s="631">
        <f t="shared" si="33"/>
        <v>2147</v>
      </c>
      <c r="B2152" s="632"/>
      <c r="C2152" s="633"/>
      <c r="D2152" s="634"/>
      <c r="E2152" s="655"/>
      <c r="F2152" s="684"/>
      <c r="G2152" s="684"/>
      <c r="H2152" s="635"/>
    </row>
    <row r="2153" spans="1:8" ht="15" customHeight="1" x14ac:dyDescent="0.25">
      <c r="A2153" s="631">
        <f t="shared" si="33"/>
        <v>2148</v>
      </c>
      <c r="B2153" s="632"/>
      <c r="C2153" s="633"/>
      <c r="D2153" s="634"/>
      <c r="E2153" s="655"/>
      <c r="F2153" s="684"/>
      <c r="G2153" s="684"/>
      <c r="H2153" s="635"/>
    </row>
    <row r="2154" spans="1:8" ht="15" customHeight="1" x14ac:dyDescent="0.25">
      <c r="A2154" s="631">
        <f t="shared" si="33"/>
        <v>2149</v>
      </c>
      <c r="B2154" s="632"/>
      <c r="C2154" s="633"/>
      <c r="D2154" s="634"/>
      <c r="E2154" s="655"/>
      <c r="F2154" s="684"/>
      <c r="G2154" s="684"/>
      <c r="H2154" s="635"/>
    </row>
    <row r="2155" spans="1:8" ht="15" customHeight="1" x14ac:dyDescent="0.25">
      <c r="A2155" s="631">
        <f t="shared" si="33"/>
        <v>2150</v>
      </c>
      <c r="B2155" s="632"/>
      <c r="C2155" s="633"/>
      <c r="D2155" s="634"/>
      <c r="E2155" s="655"/>
      <c r="F2155" s="684"/>
      <c r="G2155" s="684"/>
      <c r="H2155" s="635"/>
    </row>
    <row r="2156" spans="1:8" ht="15" customHeight="1" x14ac:dyDescent="0.25">
      <c r="A2156" s="631">
        <f t="shared" si="33"/>
        <v>2151</v>
      </c>
      <c r="B2156" s="632"/>
      <c r="C2156" s="633"/>
      <c r="D2156" s="634"/>
      <c r="E2156" s="655"/>
      <c r="F2156" s="684"/>
      <c r="G2156" s="684"/>
      <c r="H2156" s="635"/>
    </row>
    <row r="2157" spans="1:8" ht="15" customHeight="1" x14ac:dyDescent="0.25">
      <c r="A2157" s="631">
        <f t="shared" si="33"/>
        <v>2152</v>
      </c>
      <c r="B2157" s="632"/>
      <c r="C2157" s="633"/>
      <c r="D2157" s="634"/>
      <c r="E2157" s="655"/>
      <c r="F2157" s="684"/>
      <c r="G2157" s="684"/>
      <c r="H2157" s="635"/>
    </row>
    <row r="2158" spans="1:8" ht="15" customHeight="1" x14ac:dyDescent="0.25">
      <c r="A2158" s="631">
        <f t="shared" si="33"/>
        <v>2153</v>
      </c>
      <c r="B2158" s="632"/>
      <c r="C2158" s="633"/>
      <c r="D2158" s="634"/>
      <c r="E2158" s="655"/>
      <c r="F2158" s="684"/>
      <c r="G2158" s="684"/>
      <c r="H2158" s="635"/>
    </row>
    <row r="2159" spans="1:8" ht="15" customHeight="1" x14ac:dyDescent="0.25">
      <c r="A2159" s="631">
        <f t="shared" si="33"/>
        <v>2154</v>
      </c>
      <c r="B2159" s="632"/>
      <c r="C2159" s="633"/>
      <c r="D2159" s="634"/>
      <c r="E2159" s="655"/>
      <c r="F2159" s="684"/>
      <c r="G2159" s="684"/>
      <c r="H2159" s="635"/>
    </row>
    <row r="2160" spans="1:8" ht="15" customHeight="1" x14ac:dyDescent="0.25">
      <c r="A2160" s="631">
        <f t="shared" si="33"/>
        <v>2155</v>
      </c>
      <c r="B2160" s="632"/>
      <c r="C2160" s="633"/>
      <c r="D2160" s="634"/>
      <c r="E2160" s="655"/>
      <c r="F2160" s="684"/>
      <c r="G2160" s="684"/>
      <c r="H2160" s="635"/>
    </row>
    <row r="2161" spans="1:8" ht="15" customHeight="1" x14ac:dyDescent="0.25">
      <c r="A2161" s="631">
        <f t="shared" si="33"/>
        <v>2156</v>
      </c>
      <c r="B2161" s="632"/>
      <c r="C2161" s="633"/>
      <c r="D2161" s="634"/>
      <c r="E2161" s="655"/>
      <c r="F2161" s="684"/>
      <c r="G2161" s="684"/>
      <c r="H2161" s="635"/>
    </row>
    <row r="2162" spans="1:8" ht="15" customHeight="1" x14ac:dyDescent="0.25">
      <c r="A2162" s="631">
        <f t="shared" si="33"/>
        <v>2157</v>
      </c>
      <c r="B2162" s="632"/>
      <c r="C2162" s="633"/>
      <c r="D2162" s="634"/>
      <c r="E2162" s="655"/>
      <c r="F2162" s="684"/>
      <c r="G2162" s="684"/>
      <c r="H2162" s="635"/>
    </row>
    <row r="2163" spans="1:8" ht="15" customHeight="1" x14ac:dyDescent="0.25">
      <c r="A2163" s="631">
        <f t="shared" si="33"/>
        <v>2158</v>
      </c>
      <c r="B2163" s="632"/>
      <c r="C2163" s="633"/>
      <c r="D2163" s="634"/>
      <c r="E2163" s="655"/>
      <c r="F2163" s="684"/>
      <c r="G2163" s="684"/>
      <c r="H2163" s="635"/>
    </row>
    <row r="2164" spans="1:8" ht="15" customHeight="1" x14ac:dyDescent="0.25">
      <c r="A2164" s="631">
        <f t="shared" si="33"/>
        <v>2159</v>
      </c>
      <c r="B2164" s="632"/>
      <c r="C2164" s="633"/>
      <c r="D2164" s="634"/>
      <c r="E2164" s="655"/>
      <c r="F2164" s="684"/>
      <c r="G2164" s="684"/>
      <c r="H2164" s="635"/>
    </row>
    <row r="2165" spans="1:8" ht="15" customHeight="1" x14ac:dyDescent="0.25">
      <c r="A2165" s="631">
        <f t="shared" si="33"/>
        <v>2160</v>
      </c>
      <c r="B2165" s="632"/>
      <c r="C2165" s="633"/>
      <c r="D2165" s="634"/>
      <c r="E2165" s="655"/>
      <c r="F2165" s="684"/>
      <c r="G2165" s="684"/>
      <c r="H2165" s="635"/>
    </row>
    <row r="2166" spans="1:8" ht="15" customHeight="1" x14ac:dyDescent="0.25">
      <c r="A2166" s="631">
        <f t="shared" si="33"/>
        <v>2161</v>
      </c>
      <c r="B2166" s="632"/>
      <c r="C2166" s="633"/>
      <c r="D2166" s="634"/>
      <c r="E2166" s="655"/>
      <c r="F2166" s="684"/>
      <c r="G2166" s="684"/>
      <c r="H2166" s="635"/>
    </row>
    <row r="2167" spans="1:8" ht="15" customHeight="1" x14ac:dyDescent="0.25">
      <c r="A2167" s="631">
        <f t="shared" si="33"/>
        <v>2162</v>
      </c>
      <c r="B2167" s="632"/>
      <c r="C2167" s="633"/>
      <c r="D2167" s="634"/>
      <c r="E2167" s="655"/>
      <c r="F2167" s="684"/>
      <c r="G2167" s="684"/>
      <c r="H2167" s="635"/>
    </row>
    <row r="2168" spans="1:8" ht="15" customHeight="1" x14ac:dyDescent="0.25">
      <c r="A2168" s="631">
        <f t="shared" si="33"/>
        <v>2163</v>
      </c>
      <c r="B2168" s="632"/>
      <c r="C2168" s="633"/>
      <c r="D2168" s="634"/>
      <c r="E2168" s="655"/>
      <c r="F2168" s="684"/>
      <c r="G2168" s="684"/>
      <c r="H2168" s="635"/>
    </row>
    <row r="2169" spans="1:8" ht="15" customHeight="1" x14ac:dyDescent="0.25">
      <c r="A2169" s="631">
        <f t="shared" si="33"/>
        <v>2164</v>
      </c>
      <c r="B2169" s="632"/>
      <c r="C2169" s="633"/>
      <c r="D2169" s="634"/>
      <c r="E2169" s="655"/>
      <c r="F2169" s="684"/>
      <c r="G2169" s="684"/>
      <c r="H2169" s="635"/>
    </row>
    <row r="2170" spans="1:8" ht="15" customHeight="1" x14ac:dyDescent="0.25">
      <c r="A2170" s="631">
        <f t="shared" si="33"/>
        <v>2165</v>
      </c>
      <c r="B2170" s="632"/>
      <c r="C2170" s="633"/>
      <c r="D2170" s="634"/>
      <c r="E2170" s="655"/>
      <c r="F2170" s="684"/>
      <c r="G2170" s="684"/>
      <c r="H2170" s="635"/>
    </row>
    <row r="2171" spans="1:8" ht="15" customHeight="1" x14ac:dyDescent="0.25">
      <c r="A2171" s="631">
        <f t="shared" si="33"/>
        <v>2166</v>
      </c>
      <c r="B2171" s="632"/>
      <c r="C2171" s="633"/>
      <c r="D2171" s="634"/>
      <c r="E2171" s="655"/>
      <c r="F2171" s="684"/>
      <c r="G2171" s="684"/>
      <c r="H2171" s="635"/>
    </row>
    <row r="2172" spans="1:8" ht="15" customHeight="1" x14ac:dyDescent="0.25">
      <c r="A2172" s="631">
        <f t="shared" si="33"/>
        <v>2167</v>
      </c>
      <c r="B2172" s="632"/>
      <c r="C2172" s="633"/>
      <c r="D2172" s="634"/>
      <c r="E2172" s="655"/>
      <c r="F2172" s="684"/>
      <c r="G2172" s="684"/>
      <c r="H2172" s="635"/>
    </row>
    <row r="2173" spans="1:8" ht="15" customHeight="1" x14ac:dyDescent="0.25">
      <c r="A2173" s="631">
        <f t="shared" si="33"/>
        <v>2168</v>
      </c>
      <c r="B2173" s="632"/>
      <c r="C2173" s="633"/>
      <c r="D2173" s="634"/>
      <c r="E2173" s="655"/>
      <c r="F2173" s="684"/>
      <c r="G2173" s="684"/>
      <c r="H2173" s="635"/>
    </row>
    <row r="2174" spans="1:8" ht="15" customHeight="1" x14ac:dyDescent="0.25">
      <c r="A2174" s="631">
        <f t="shared" si="33"/>
        <v>2169</v>
      </c>
      <c r="B2174" s="632"/>
      <c r="C2174" s="633"/>
      <c r="D2174" s="634"/>
      <c r="E2174" s="655"/>
      <c r="F2174" s="684"/>
      <c r="G2174" s="684"/>
      <c r="H2174" s="635"/>
    </row>
    <row r="2175" spans="1:8" ht="15" customHeight="1" x14ac:dyDescent="0.25">
      <c r="A2175" s="631">
        <f t="shared" si="33"/>
        <v>2170</v>
      </c>
      <c r="B2175" s="632"/>
      <c r="C2175" s="633"/>
      <c r="D2175" s="634"/>
      <c r="E2175" s="655"/>
      <c r="F2175" s="684"/>
      <c r="G2175" s="684"/>
      <c r="H2175" s="635"/>
    </row>
    <row r="2176" spans="1:8" ht="15" customHeight="1" x14ac:dyDescent="0.25">
      <c r="A2176" s="631">
        <f t="shared" si="33"/>
        <v>2171</v>
      </c>
      <c r="B2176" s="632"/>
      <c r="C2176" s="633"/>
      <c r="D2176" s="634"/>
      <c r="E2176" s="655"/>
      <c r="F2176" s="684"/>
      <c r="G2176" s="684"/>
      <c r="H2176" s="635"/>
    </row>
    <row r="2177" spans="1:8" ht="15" customHeight="1" x14ac:dyDescent="0.25">
      <c r="A2177" s="631">
        <f t="shared" ref="A2177:A2240" si="34">ROW()-5</f>
        <v>2172</v>
      </c>
      <c r="B2177" s="632"/>
      <c r="C2177" s="633"/>
      <c r="D2177" s="634"/>
      <c r="E2177" s="655"/>
      <c r="F2177" s="684"/>
      <c r="G2177" s="684"/>
      <c r="H2177" s="635"/>
    </row>
    <row r="2178" spans="1:8" ht="15" customHeight="1" x14ac:dyDescent="0.25">
      <c r="A2178" s="631">
        <f t="shared" si="34"/>
        <v>2173</v>
      </c>
      <c r="B2178" s="632"/>
      <c r="C2178" s="633"/>
      <c r="D2178" s="634"/>
      <c r="E2178" s="655"/>
      <c r="F2178" s="684"/>
      <c r="G2178" s="684"/>
      <c r="H2178" s="635"/>
    </row>
    <row r="2179" spans="1:8" ht="15" customHeight="1" x14ac:dyDescent="0.25">
      <c r="A2179" s="631">
        <f t="shared" si="34"/>
        <v>2174</v>
      </c>
      <c r="B2179" s="632"/>
      <c r="C2179" s="633"/>
      <c r="D2179" s="634"/>
      <c r="E2179" s="655"/>
      <c r="F2179" s="684"/>
      <c r="G2179" s="684"/>
      <c r="H2179" s="635"/>
    </row>
    <row r="2180" spans="1:8" ht="15" customHeight="1" x14ac:dyDescent="0.25">
      <c r="A2180" s="631">
        <f t="shared" si="34"/>
        <v>2175</v>
      </c>
      <c r="B2180" s="632"/>
      <c r="C2180" s="633"/>
      <c r="D2180" s="634"/>
      <c r="E2180" s="655"/>
      <c r="F2180" s="684"/>
      <c r="G2180" s="684"/>
      <c r="H2180" s="635"/>
    </row>
    <row r="2181" spans="1:8" ht="15" customHeight="1" x14ac:dyDescent="0.25">
      <c r="A2181" s="631">
        <f t="shared" si="34"/>
        <v>2176</v>
      </c>
      <c r="B2181" s="632"/>
      <c r="C2181" s="633"/>
      <c r="D2181" s="634"/>
      <c r="E2181" s="655"/>
      <c r="F2181" s="684"/>
      <c r="G2181" s="684"/>
      <c r="H2181" s="635"/>
    </row>
    <row r="2182" spans="1:8" ht="15" customHeight="1" x14ac:dyDescent="0.25">
      <c r="A2182" s="631">
        <f t="shared" si="34"/>
        <v>2177</v>
      </c>
      <c r="B2182" s="632"/>
      <c r="C2182" s="633"/>
      <c r="D2182" s="634"/>
      <c r="E2182" s="655"/>
      <c r="F2182" s="684"/>
      <c r="G2182" s="684"/>
      <c r="H2182" s="635"/>
    </row>
    <row r="2183" spans="1:8" ht="15" customHeight="1" x14ac:dyDescent="0.25">
      <c r="A2183" s="631">
        <f t="shared" si="34"/>
        <v>2178</v>
      </c>
      <c r="B2183" s="632"/>
      <c r="C2183" s="633"/>
      <c r="D2183" s="634"/>
      <c r="E2183" s="655"/>
      <c r="F2183" s="684"/>
      <c r="G2183" s="684"/>
      <c r="H2183" s="635"/>
    </row>
    <row r="2184" spans="1:8" ht="15" customHeight="1" x14ac:dyDescent="0.25">
      <c r="A2184" s="631">
        <f t="shared" si="34"/>
        <v>2179</v>
      </c>
      <c r="B2184" s="632"/>
      <c r="C2184" s="633"/>
      <c r="D2184" s="634"/>
      <c r="E2184" s="655"/>
      <c r="F2184" s="684"/>
      <c r="G2184" s="684"/>
      <c r="H2184" s="635"/>
    </row>
    <row r="2185" spans="1:8" ht="15" customHeight="1" x14ac:dyDescent="0.25">
      <c r="A2185" s="631">
        <f t="shared" si="34"/>
        <v>2180</v>
      </c>
      <c r="B2185" s="632"/>
      <c r="C2185" s="633"/>
      <c r="D2185" s="634"/>
      <c r="E2185" s="655"/>
      <c r="F2185" s="684"/>
      <c r="G2185" s="684"/>
      <c r="H2185" s="635"/>
    </row>
    <row r="2186" spans="1:8" ht="15" customHeight="1" x14ac:dyDescent="0.25">
      <c r="A2186" s="631">
        <f t="shared" si="34"/>
        <v>2181</v>
      </c>
      <c r="B2186" s="632"/>
      <c r="C2186" s="633"/>
      <c r="D2186" s="634"/>
      <c r="E2186" s="655"/>
      <c r="F2186" s="684"/>
      <c r="G2186" s="684"/>
      <c r="H2186" s="635"/>
    </row>
    <row r="2187" spans="1:8" ht="15" customHeight="1" x14ac:dyDescent="0.25">
      <c r="A2187" s="631">
        <f t="shared" si="34"/>
        <v>2182</v>
      </c>
      <c r="B2187" s="632"/>
      <c r="C2187" s="633"/>
      <c r="D2187" s="634"/>
      <c r="E2187" s="655"/>
      <c r="F2187" s="684"/>
      <c r="G2187" s="684"/>
      <c r="H2187" s="635"/>
    </row>
    <row r="2188" spans="1:8" ht="15" customHeight="1" x14ac:dyDescent="0.25">
      <c r="A2188" s="631">
        <f t="shared" si="34"/>
        <v>2183</v>
      </c>
      <c r="B2188" s="632"/>
      <c r="C2188" s="633"/>
      <c r="D2188" s="634"/>
      <c r="E2188" s="655"/>
      <c r="F2188" s="684"/>
      <c r="G2188" s="684"/>
      <c r="H2188" s="635"/>
    </row>
    <row r="2189" spans="1:8" ht="15" customHeight="1" x14ac:dyDescent="0.25">
      <c r="A2189" s="631">
        <f t="shared" si="34"/>
        <v>2184</v>
      </c>
      <c r="B2189" s="632"/>
      <c r="C2189" s="633"/>
      <c r="D2189" s="634"/>
      <c r="E2189" s="655"/>
      <c r="F2189" s="684"/>
      <c r="G2189" s="684"/>
      <c r="H2189" s="635"/>
    </row>
    <row r="2190" spans="1:8" ht="15" customHeight="1" x14ac:dyDescent="0.25">
      <c r="A2190" s="631">
        <f t="shared" si="34"/>
        <v>2185</v>
      </c>
      <c r="B2190" s="632"/>
      <c r="C2190" s="633"/>
      <c r="D2190" s="634"/>
      <c r="E2190" s="655"/>
      <c r="F2190" s="684"/>
      <c r="G2190" s="684"/>
      <c r="H2190" s="635"/>
    </row>
    <row r="2191" spans="1:8" ht="15" customHeight="1" x14ac:dyDescent="0.25">
      <c r="A2191" s="631">
        <f t="shared" si="34"/>
        <v>2186</v>
      </c>
      <c r="B2191" s="632"/>
      <c r="C2191" s="633"/>
      <c r="D2191" s="634"/>
      <c r="E2191" s="655"/>
      <c r="F2191" s="684"/>
      <c r="G2191" s="684"/>
      <c r="H2191" s="635"/>
    </row>
    <row r="2192" spans="1:8" ht="15" customHeight="1" x14ac:dyDescent="0.25">
      <c r="A2192" s="631">
        <f t="shared" si="34"/>
        <v>2187</v>
      </c>
      <c r="B2192" s="632"/>
      <c r="C2192" s="633"/>
      <c r="D2192" s="634"/>
      <c r="E2192" s="655"/>
      <c r="F2192" s="684"/>
      <c r="G2192" s="684"/>
      <c r="H2192" s="635"/>
    </row>
    <row r="2193" spans="1:8" ht="15" customHeight="1" x14ac:dyDescent="0.25">
      <c r="A2193" s="631">
        <f t="shared" si="34"/>
        <v>2188</v>
      </c>
      <c r="B2193" s="632"/>
      <c r="C2193" s="633"/>
      <c r="D2193" s="634"/>
      <c r="E2193" s="655"/>
      <c r="F2193" s="684"/>
      <c r="G2193" s="684"/>
      <c r="H2193" s="635"/>
    </row>
    <row r="2194" spans="1:8" ht="15" customHeight="1" x14ac:dyDescent="0.25">
      <c r="A2194" s="631">
        <f t="shared" si="34"/>
        <v>2189</v>
      </c>
      <c r="B2194" s="632"/>
      <c r="C2194" s="633"/>
      <c r="D2194" s="634"/>
      <c r="E2194" s="655"/>
      <c r="F2194" s="684"/>
      <c r="G2194" s="684"/>
      <c r="H2194" s="635"/>
    </row>
    <row r="2195" spans="1:8" ht="15" customHeight="1" x14ac:dyDescent="0.25">
      <c r="A2195" s="631">
        <f t="shared" si="34"/>
        <v>2190</v>
      </c>
      <c r="B2195" s="632"/>
      <c r="C2195" s="633"/>
      <c r="D2195" s="634"/>
      <c r="E2195" s="655"/>
      <c r="F2195" s="684"/>
      <c r="G2195" s="684"/>
      <c r="H2195" s="635"/>
    </row>
    <row r="2196" spans="1:8" ht="15" customHeight="1" x14ac:dyDescent="0.25">
      <c r="A2196" s="631">
        <f t="shared" si="34"/>
        <v>2191</v>
      </c>
      <c r="B2196" s="632"/>
      <c r="C2196" s="633"/>
      <c r="D2196" s="634"/>
      <c r="E2196" s="655"/>
      <c r="F2196" s="684"/>
      <c r="G2196" s="684"/>
      <c r="H2196" s="635"/>
    </row>
    <row r="2197" spans="1:8" ht="15" customHeight="1" x14ac:dyDescent="0.25">
      <c r="A2197" s="631">
        <f t="shared" si="34"/>
        <v>2192</v>
      </c>
      <c r="B2197" s="632"/>
      <c r="C2197" s="633"/>
      <c r="D2197" s="634"/>
      <c r="E2197" s="655"/>
      <c r="F2197" s="684"/>
      <c r="G2197" s="684"/>
      <c r="H2197" s="635"/>
    </row>
    <row r="2198" spans="1:8" ht="15" customHeight="1" x14ac:dyDescent="0.25">
      <c r="A2198" s="631">
        <f t="shared" si="34"/>
        <v>2193</v>
      </c>
      <c r="B2198" s="632"/>
      <c r="C2198" s="633"/>
      <c r="D2198" s="634"/>
      <c r="E2198" s="655"/>
      <c r="F2198" s="684"/>
      <c r="G2198" s="684"/>
      <c r="H2198" s="635"/>
    </row>
    <row r="2199" spans="1:8" ht="15" customHeight="1" x14ac:dyDescent="0.25">
      <c r="A2199" s="631">
        <f t="shared" si="34"/>
        <v>2194</v>
      </c>
      <c r="B2199" s="632"/>
      <c r="C2199" s="633"/>
      <c r="D2199" s="634"/>
      <c r="E2199" s="655"/>
      <c r="F2199" s="684"/>
      <c r="G2199" s="684"/>
      <c r="H2199" s="635"/>
    </row>
    <row r="2200" spans="1:8" ht="15" customHeight="1" x14ac:dyDescent="0.25">
      <c r="A2200" s="631">
        <f t="shared" si="34"/>
        <v>2195</v>
      </c>
      <c r="B2200" s="632"/>
      <c r="C2200" s="633"/>
      <c r="D2200" s="634"/>
      <c r="E2200" s="655"/>
      <c r="F2200" s="684"/>
      <c r="G2200" s="684"/>
      <c r="H2200" s="635"/>
    </row>
    <row r="2201" spans="1:8" ht="15" customHeight="1" x14ac:dyDescent="0.25">
      <c r="A2201" s="631">
        <f t="shared" si="34"/>
        <v>2196</v>
      </c>
      <c r="B2201" s="632"/>
      <c r="C2201" s="633"/>
      <c r="D2201" s="634"/>
      <c r="E2201" s="655"/>
      <c r="F2201" s="684"/>
      <c r="G2201" s="684"/>
      <c r="H2201" s="635"/>
    </row>
    <row r="2202" spans="1:8" ht="15" customHeight="1" x14ac:dyDescent="0.25">
      <c r="A2202" s="631">
        <f t="shared" si="34"/>
        <v>2197</v>
      </c>
      <c r="B2202" s="632"/>
      <c r="C2202" s="633"/>
      <c r="D2202" s="634"/>
      <c r="E2202" s="655"/>
      <c r="F2202" s="684"/>
      <c r="G2202" s="684"/>
      <c r="H2202" s="635"/>
    </row>
    <row r="2203" spans="1:8" ht="15" customHeight="1" x14ac:dyDescent="0.25">
      <c r="A2203" s="631">
        <f t="shared" si="34"/>
        <v>2198</v>
      </c>
      <c r="B2203" s="632"/>
      <c r="C2203" s="633"/>
      <c r="D2203" s="634"/>
      <c r="E2203" s="655"/>
      <c r="F2203" s="684"/>
      <c r="G2203" s="684"/>
      <c r="H2203" s="635"/>
    </row>
    <row r="2204" spans="1:8" ht="15" customHeight="1" x14ac:dyDescent="0.25">
      <c r="A2204" s="631">
        <f t="shared" si="34"/>
        <v>2199</v>
      </c>
      <c r="B2204" s="632"/>
      <c r="C2204" s="633"/>
      <c r="D2204" s="634"/>
      <c r="E2204" s="655"/>
      <c r="F2204" s="684"/>
      <c r="G2204" s="684"/>
      <c r="H2204" s="635"/>
    </row>
    <row r="2205" spans="1:8" ht="15" customHeight="1" x14ac:dyDescent="0.25">
      <c r="A2205" s="631">
        <f t="shared" si="34"/>
        <v>2200</v>
      </c>
      <c r="B2205" s="632"/>
      <c r="C2205" s="633"/>
      <c r="D2205" s="634"/>
      <c r="E2205" s="655"/>
      <c r="F2205" s="684"/>
      <c r="G2205" s="684"/>
      <c r="H2205" s="635"/>
    </row>
    <row r="2206" spans="1:8" ht="15" customHeight="1" x14ac:dyDescent="0.25">
      <c r="A2206" s="631">
        <f t="shared" si="34"/>
        <v>2201</v>
      </c>
      <c r="B2206" s="632"/>
      <c r="C2206" s="633"/>
      <c r="D2206" s="634"/>
      <c r="E2206" s="655"/>
      <c r="F2206" s="684"/>
      <c r="G2206" s="684"/>
      <c r="H2206" s="635"/>
    </row>
    <row r="2207" spans="1:8" ht="15" customHeight="1" x14ac:dyDescent="0.25">
      <c r="A2207" s="631">
        <f t="shared" si="34"/>
        <v>2202</v>
      </c>
      <c r="B2207" s="632"/>
      <c r="C2207" s="633"/>
      <c r="D2207" s="634"/>
      <c r="E2207" s="655"/>
      <c r="F2207" s="684"/>
      <c r="G2207" s="684"/>
      <c r="H2207" s="635"/>
    </row>
    <row r="2208" spans="1:8" ht="15" customHeight="1" x14ac:dyDescent="0.25">
      <c r="A2208" s="631">
        <f t="shared" si="34"/>
        <v>2203</v>
      </c>
      <c r="B2208" s="632"/>
      <c r="C2208" s="633"/>
      <c r="D2208" s="634"/>
      <c r="E2208" s="655"/>
      <c r="F2208" s="684"/>
      <c r="G2208" s="684"/>
      <c r="H2208" s="635"/>
    </row>
    <row r="2209" spans="1:8" ht="15" customHeight="1" x14ac:dyDescent="0.25">
      <c r="A2209" s="631">
        <f t="shared" si="34"/>
        <v>2204</v>
      </c>
      <c r="B2209" s="632"/>
      <c r="C2209" s="633"/>
      <c r="D2209" s="634"/>
      <c r="E2209" s="655"/>
      <c r="F2209" s="684"/>
      <c r="G2209" s="684"/>
      <c r="H2209" s="635"/>
    </row>
    <row r="2210" spans="1:8" ht="15" customHeight="1" x14ac:dyDescent="0.25">
      <c r="A2210" s="631">
        <f t="shared" si="34"/>
        <v>2205</v>
      </c>
      <c r="B2210" s="632"/>
      <c r="C2210" s="633"/>
      <c r="D2210" s="634"/>
      <c r="E2210" s="655"/>
      <c r="F2210" s="684"/>
      <c r="G2210" s="684"/>
      <c r="H2210" s="635"/>
    </row>
    <row r="2211" spans="1:8" ht="15" customHeight="1" x14ac:dyDescent="0.25">
      <c r="A2211" s="631">
        <f t="shared" si="34"/>
        <v>2206</v>
      </c>
      <c r="B2211" s="632"/>
      <c r="C2211" s="633"/>
      <c r="D2211" s="634"/>
      <c r="E2211" s="655"/>
      <c r="F2211" s="684"/>
      <c r="G2211" s="684"/>
      <c r="H2211" s="635"/>
    </row>
    <row r="2212" spans="1:8" ht="15" customHeight="1" x14ac:dyDescent="0.25">
      <c r="A2212" s="631">
        <f t="shared" si="34"/>
        <v>2207</v>
      </c>
      <c r="B2212" s="632"/>
      <c r="C2212" s="633"/>
      <c r="D2212" s="634"/>
      <c r="E2212" s="655"/>
      <c r="F2212" s="684"/>
      <c r="G2212" s="684"/>
      <c r="H2212" s="635"/>
    </row>
    <row r="2213" spans="1:8" ht="15" customHeight="1" x14ac:dyDescent="0.25">
      <c r="A2213" s="631">
        <f t="shared" si="34"/>
        <v>2208</v>
      </c>
      <c r="B2213" s="632"/>
      <c r="C2213" s="633"/>
      <c r="D2213" s="634"/>
      <c r="E2213" s="655"/>
      <c r="F2213" s="684"/>
      <c r="G2213" s="684"/>
      <c r="H2213" s="635"/>
    </row>
    <row r="2214" spans="1:8" ht="15" customHeight="1" x14ac:dyDescent="0.25">
      <c r="A2214" s="631">
        <f t="shared" si="34"/>
        <v>2209</v>
      </c>
      <c r="B2214" s="632"/>
      <c r="C2214" s="633"/>
      <c r="D2214" s="634"/>
      <c r="E2214" s="655"/>
      <c r="F2214" s="684"/>
      <c r="G2214" s="684"/>
      <c r="H2214" s="635"/>
    </row>
    <row r="2215" spans="1:8" ht="15" customHeight="1" x14ac:dyDescent="0.25">
      <c r="A2215" s="631">
        <f t="shared" si="34"/>
        <v>2210</v>
      </c>
      <c r="B2215" s="632"/>
      <c r="C2215" s="633"/>
      <c r="D2215" s="634"/>
      <c r="E2215" s="655"/>
      <c r="F2215" s="684"/>
      <c r="G2215" s="684"/>
      <c r="H2215" s="635"/>
    </row>
    <row r="2216" spans="1:8" ht="15" customHeight="1" x14ac:dyDescent="0.25">
      <c r="A2216" s="631">
        <f t="shared" si="34"/>
        <v>2211</v>
      </c>
      <c r="B2216" s="632"/>
      <c r="C2216" s="633"/>
      <c r="D2216" s="634"/>
      <c r="E2216" s="655"/>
      <c r="F2216" s="684"/>
      <c r="G2216" s="684"/>
      <c r="H2216" s="635"/>
    </row>
    <row r="2217" spans="1:8" ht="15" customHeight="1" x14ac:dyDescent="0.25">
      <c r="A2217" s="631">
        <f t="shared" si="34"/>
        <v>2212</v>
      </c>
      <c r="B2217" s="632"/>
      <c r="C2217" s="633"/>
      <c r="D2217" s="634"/>
      <c r="E2217" s="655"/>
      <c r="F2217" s="684"/>
      <c r="G2217" s="684"/>
      <c r="H2217" s="635"/>
    </row>
    <row r="2218" spans="1:8" ht="15" customHeight="1" x14ac:dyDescent="0.25">
      <c r="A2218" s="631">
        <f t="shared" si="34"/>
        <v>2213</v>
      </c>
      <c r="B2218" s="632"/>
      <c r="C2218" s="633"/>
      <c r="D2218" s="634"/>
      <c r="E2218" s="655"/>
      <c r="F2218" s="684"/>
      <c r="G2218" s="684"/>
      <c r="H2218" s="635"/>
    </row>
    <row r="2219" spans="1:8" ht="15" customHeight="1" x14ac:dyDescent="0.25">
      <c r="A2219" s="631">
        <f t="shared" si="34"/>
        <v>2214</v>
      </c>
      <c r="B2219" s="632"/>
      <c r="C2219" s="633"/>
      <c r="D2219" s="634"/>
      <c r="E2219" s="655"/>
      <c r="F2219" s="684"/>
      <c r="G2219" s="684"/>
      <c r="H2219" s="635"/>
    </row>
    <row r="2220" spans="1:8" ht="15" customHeight="1" x14ac:dyDescent="0.25">
      <c r="A2220" s="631">
        <f t="shared" si="34"/>
        <v>2215</v>
      </c>
      <c r="B2220" s="632"/>
      <c r="C2220" s="633"/>
      <c r="D2220" s="634"/>
      <c r="E2220" s="655"/>
      <c r="F2220" s="684"/>
      <c r="G2220" s="684"/>
      <c r="H2220" s="635"/>
    </row>
    <row r="2221" spans="1:8" ht="15" customHeight="1" x14ac:dyDescent="0.25">
      <c r="A2221" s="631">
        <f t="shared" si="34"/>
        <v>2216</v>
      </c>
      <c r="B2221" s="632"/>
      <c r="C2221" s="633"/>
      <c r="D2221" s="634"/>
      <c r="E2221" s="655"/>
      <c r="F2221" s="684"/>
      <c r="G2221" s="684"/>
      <c r="H2221" s="635"/>
    </row>
    <row r="2222" spans="1:8" ht="15" customHeight="1" x14ac:dyDescent="0.25">
      <c r="A2222" s="631">
        <f t="shared" si="34"/>
        <v>2217</v>
      </c>
      <c r="B2222" s="632"/>
      <c r="C2222" s="633"/>
      <c r="D2222" s="634"/>
      <c r="E2222" s="655"/>
      <c r="F2222" s="684"/>
      <c r="G2222" s="684"/>
      <c r="H2222" s="635"/>
    </row>
    <row r="2223" spans="1:8" ht="15" customHeight="1" x14ac:dyDescent="0.25">
      <c r="A2223" s="631">
        <f t="shared" si="34"/>
        <v>2218</v>
      </c>
      <c r="B2223" s="632"/>
      <c r="C2223" s="633"/>
      <c r="D2223" s="634"/>
      <c r="E2223" s="655"/>
      <c r="F2223" s="684"/>
      <c r="G2223" s="684"/>
      <c r="H2223" s="635"/>
    </row>
    <row r="2224" spans="1:8" ht="15" customHeight="1" x14ac:dyDescent="0.25">
      <c r="A2224" s="631">
        <f t="shared" si="34"/>
        <v>2219</v>
      </c>
      <c r="B2224" s="632"/>
      <c r="C2224" s="633"/>
      <c r="D2224" s="634"/>
      <c r="E2224" s="655"/>
      <c r="F2224" s="684"/>
      <c r="G2224" s="684"/>
      <c r="H2224" s="635"/>
    </row>
    <row r="2225" spans="1:8" ht="15" customHeight="1" x14ac:dyDescent="0.25">
      <c r="A2225" s="631">
        <f t="shared" si="34"/>
        <v>2220</v>
      </c>
      <c r="B2225" s="632"/>
      <c r="C2225" s="633"/>
      <c r="D2225" s="634"/>
      <c r="E2225" s="655"/>
      <c r="F2225" s="684"/>
      <c r="G2225" s="684"/>
      <c r="H2225" s="635"/>
    </row>
    <row r="2226" spans="1:8" ht="15" customHeight="1" x14ac:dyDescent="0.25">
      <c r="A2226" s="631">
        <f t="shared" si="34"/>
        <v>2221</v>
      </c>
      <c r="B2226" s="632"/>
      <c r="C2226" s="633"/>
      <c r="D2226" s="634"/>
      <c r="E2226" s="655"/>
      <c r="F2226" s="684"/>
      <c r="G2226" s="684"/>
      <c r="H2226" s="635"/>
    </row>
    <row r="2227" spans="1:8" ht="15" customHeight="1" x14ac:dyDescent="0.25">
      <c r="A2227" s="631">
        <f t="shared" si="34"/>
        <v>2222</v>
      </c>
      <c r="B2227" s="632"/>
      <c r="C2227" s="633"/>
      <c r="D2227" s="634"/>
      <c r="E2227" s="655"/>
      <c r="F2227" s="684"/>
      <c r="G2227" s="684"/>
      <c r="H2227" s="635"/>
    </row>
    <row r="2228" spans="1:8" ht="15" customHeight="1" x14ac:dyDescent="0.25">
      <c r="A2228" s="631">
        <f t="shared" si="34"/>
        <v>2223</v>
      </c>
      <c r="B2228" s="632"/>
      <c r="C2228" s="633"/>
      <c r="D2228" s="634"/>
      <c r="E2228" s="655"/>
      <c r="F2228" s="684"/>
      <c r="G2228" s="684"/>
      <c r="H2228" s="635"/>
    </row>
    <row r="2229" spans="1:8" ht="15" customHeight="1" x14ac:dyDescent="0.25">
      <c r="A2229" s="631">
        <f t="shared" si="34"/>
        <v>2224</v>
      </c>
      <c r="B2229" s="632"/>
      <c r="C2229" s="633"/>
      <c r="D2229" s="634"/>
      <c r="E2229" s="655"/>
      <c r="F2229" s="684"/>
      <c r="G2229" s="684"/>
      <c r="H2229" s="635"/>
    </row>
    <row r="2230" spans="1:8" ht="15" customHeight="1" x14ac:dyDescent="0.25">
      <c r="A2230" s="631">
        <f t="shared" si="34"/>
        <v>2225</v>
      </c>
      <c r="B2230" s="632"/>
      <c r="C2230" s="633"/>
      <c r="D2230" s="634"/>
      <c r="E2230" s="655"/>
      <c r="F2230" s="684"/>
      <c r="G2230" s="684"/>
      <c r="H2230" s="635"/>
    </row>
    <row r="2231" spans="1:8" ht="15" customHeight="1" x14ac:dyDescent="0.25">
      <c r="A2231" s="631">
        <f t="shared" si="34"/>
        <v>2226</v>
      </c>
      <c r="B2231" s="632"/>
      <c r="C2231" s="633"/>
      <c r="D2231" s="634"/>
      <c r="E2231" s="655"/>
      <c r="F2231" s="684"/>
      <c r="G2231" s="684"/>
      <c r="H2231" s="635"/>
    </row>
    <row r="2232" spans="1:8" ht="15" customHeight="1" x14ac:dyDescent="0.25">
      <c r="A2232" s="631">
        <f t="shared" si="34"/>
        <v>2227</v>
      </c>
      <c r="B2232" s="632"/>
      <c r="C2232" s="633"/>
      <c r="D2232" s="634"/>
      <c r="E2232" s="655"/>
      <c r="F2232" s="684"/>
      <c r="G2232" s="684"/>
      <c r="H2232" s="635"/>
    </row>
    <row r="2233" spans="1:8" ht="15" customHeight="1" x14ac:dyDescent="0.25">
      <c r="A2233" s="631">
        <f t="shared" si="34"/>
        <v>2228</v>
      </c>
      <c r="B2233" s="632"/>
      <c r="C2233" s="633"/>
      <c r="D2233" s="634"/>
      <c r="E2233" s="655"/>
      <c r="F2233" s="684"/>
      <c r="G2233" s="684"/>
      <c r="H2233" s="635"/>
    </row>
    <row r="2234" spans="1:8" ht="15" customHeight="1" x14ac:dyDescent="0.25">
      <c r="A2234" s="631">
        <f t="shared" si="34"/>
        <v>2229</v>
      </c>
      <c r="B2234" s="632"/>
      <c r="C2234" s="633"/>
      <c r="D2234" s="634"/>
      <c r="E2234" s="655"/>
      <c r="F2234" s="684"/>
      <c r="G2234" s="684"/>
      <c r="H2234" s="635"/>
    </row>
    <row r="2235" spans="1:8" ht="15" customHeight="1" x14ac:dyDescent="0.25">
      <c r="A2235" s="631">
        <f t="shared" si="34"/>
        <v>2230</v>
      </c>
      <c r="B2235" s="632"/>
      <c r="C2235" s="633"/>
      <c r="D2235" s="634"/>
      <c r="E2235" s="655"/>
      <c r="F2235" s="684"/>
      <c r="G2235" s="684"/>
      <c r="H2235" s="635"/>
    </row>
    <row r="2236" spans="1:8" ht="15" customHeight="1" x14ac:dyDescent="0.25">
      <c r="A2236" s="631">
        <f t="shared" si="34"/>
        <v>2231</v>
      </c>
      <c r="B2236" s="632"/>
      <c r="C2236" s="633"/>
      <c r="D2236" s="634"/>
      <c r="E2236" s="655"/>
      <c r="F2236" s="684"/>
      <c r="G2236" s="684"/>
      <c r="H2236" s="635"/>
    </row>
    <row r="2237" spans="1:8" ht="15" customHeight="1" x14ac:dyDescent="0.25">
      <c r="A2237" s="631">
        <f t="shared" si="34"/>
        <v>2232</v>
      </c>
      <c r="B2237" s="632"/>
      <c r="C2237" s="633"/>
      <c r="D2237" s="634"/>
      <c r="E2237" s="655"/>
      <c r="F2237" s="684"/>
      <c r="G2237" s="684"/>
      <c r="H2237" s="635"/>
    </row>
    <row r="2238" spans="1:8" ht="15" customHeight="1" x14ac:dyDescent="0.25">
      <c r="A2238" s="631">
        <f t="shared" si="34"/>
        <v>2233</v>
      </c>
      <c r="B2238" s="632"/>
      <c r="C2238" s="633"/>
      <c r="D2238" s="634"/>
      <c r="E2238" s="655"/>
      <c r="F2238" s="684"/>
      <c r="G2238" s="684"/>
      <c r="H2238" s="635"/>
    </row>
    <row r="2239" spans="1:8" ht="15" customHeight="1" x14ac:dyDescent="0.25">
      <c r="A2239" s="631">
        <f t="shared" si="34"/>
        <v>2234</v>
      </c>
      <c r="B2239" s="632"/>
      <c r="C2239" s="633"/>
      <c r="D2239" s="634"/>
      <c r="E2239" s="655"/>
      <c r="F2239" s="684"/>
      <c r="G2239" s="684"/>
      <c r="H2239" s="635"/>
    </row>
    <row r="2240" spans="1:8" ht="15" customHeight="1" x14ac:dyDescent="0.25">
      <c r="A2240" s="631">
        <f t="shared" si="34"/>
        <v>2235</v>
      </c>
      <c r="B2240" s="632"/>
      <c r="C2240" s="633"/>
      <c r="D2240" s="634"/>
      <c r="E2240" s="655"/>
      <c r="F2240" s="684"/>
      <c r="G2240" s="684"/>
      <c r="H2240" s="635"/>
    </row>
    <row r="2241" spans="1:8" ht="15" customHeight="1" x14ac:dyDescent="0.25">
      <c r="A2241" s="631">
        <f t="shared" ref="A2241:A2247" si="35">ROW()-5</f>
        <v>2236</v>
      </c>
      <c r="B2241" s="632"/>
      <c r="C2241" s="633"/>
      <c r="D2241" s="634"/>
      <c r="E2241" s="655"/>
      <c r="F2241" s="684"/>
      <c r="G2241" s="684"/>
      <c r="H2241" s="635"/>
    </row>
    <row r="2242" spans="1:8" ht="15" customHeight="1" x14ac:dyDescent="0.25">
      <c r="A2242" s="631">
        <f t="shared" si="35"/>
        <v>2237</v>
      </c>
      <c r="B2242" s="632"/>
      <c r="C2242" s="633"/>
      <c r="D2242" s="634"/>
      <c r="E2242" s="655"/>
      <c r="F2242" s="684"/>
      <c r="G2242" s="684"/>
      <c r="H2242" s="635"/>
    </row>
    <row r="2243" spans="1:8" ht="15" customHeight="1" x14ac:dyDescent="0.25">
      <c r="A2243" s="631">
        <f t="shared" si="35"/>
        <v>2238</v>
      </c>
      <c r="B2243" s="632"/>
      <c r="C2243" s="633"/>
      <c r="D2243" s="634"/>
      <c r="E2243" s="655"/>
      <c r="F2243" s="684"/>
      <c r="G2243" s="684"/>
      <c r="H2243" s="635"/>
    </row>
    <row r="2244" spans="1:8" ht="15" customHeight="1" x14ac:dyDescent="0.25">
      <c r="A2244" s="631">
        <f t="shared" si="35"/>
        <v>2239</v>
      </c>
      <c r="B2244" s="632"/>
      <c r="C2244" s="633"/>
      <c r="D2244" s="634"/>
      <c r="E2244" s="655"/>
      <c r="F2244" s="684"/>
      <c r="G2244" s="684"/>
      <c r="H2244" s="635"/>
    </row>
    <row r="2245" spans="1:8" ht="15" customHeight="1" x14ac:dyDescent="0.25">
      <c r="A2245" s="631">
        <f t="shared" si="35"/>
        <v>2240</v>
      </c>
      <c r="B2245" s="632"/>
      <c r="C2245" s="633"/>
      <c r="D2245" s="634"/>
      <c r="E2245" s="655"/>
      <c r="F2245" s="684"/>
      <c r="G2245" s="684"/>
      <c r="H2245" s="635"/>
    </row>
    <row r="2246" spans="1:8" ht="15" customHeight="1" x14ac:dyDescent="0.25">
      <c r="A2246" s="631">
        <f t="shared" si="35"/>
        <v>2241</v>
      </c>
      <c r="B2246" s="632"/>
      <c r="C2246" s="633"/>
      <c r="D2246" s="634"/>
      <c r="E2246" s="655"/>
      <c r="F2246" s="684"/>
      <c r="G2246" s="684"/>
      <c r="H2246" s="635"/>
    </row>
    <row r="2247" spans="1:8" ht="15" customHeight="1" x14ac:dyDescent="0.25">
      <c r="A2247" s="631">
        <f t="shared" si="35"/>
        <v>2242</v>
      </c>
      <c r="B2247" s="632"/>
      <c r="C2247" s="633"/>
      <c r="D2247" s="634"/>
      <c r="E2247" s="655"/>
      <c r="F2247" s="684"/>
      <c r="G2247" s="684"/>
      <c r="H2247" s="635"/>
    </row>
    <row r="2248" spans="1:8" ht="15" customHeight="1" x14ac:dyDescent="0.25">
      <c r="E2248" s="667">
        <f>SUBTOTAL(9,E4:E2247)</f>
        <v>7060000</v>
      </c>
    </row>
  </sheetData>
  <autoFilter ref="A4:H2057" xr:uid="{00000000-0009-0000-0000-000002000000}"/>
  <sortState xmlns:xlrd2="http://schemas.microsoft.com/office/spreadsheetml/2017/richdata2" ref="B6:H102">
    <sortCondition ref="B6:B102"/>
  </sortState>
  <mergeCells count="9">
    <mergeCell ref="F3:G3"/>
    <mergeCell ref="D4:D5"/>
    <mergeCell ref="C4:C5"/>
    <mergeCell ref="B4:B5"/>
    <mergeCell ref="A4:A5"/>
    <mergeCell ref="G4:G5"/>
    <mergeCell ref="H4:H5"/>
    <mergeCell ref="F4:F5"/>
    <mergeCell ref="E4:E5"/>
  </mergeCells>
  <phoneticPr fontId="42" type="noConversion"/>
  <dataValidations count="1">
    <dataValidation type="decimal" allowBlank="1" showInputMessage="1" showErrorMessage="1" prompt="Зөвхөн дэс дугаар оруулна уу." sqref="A6:A2247" xr:uid="{00000000-0002-0000-0200-000001000000}">
      <formula1>1</formula1>
      <formula2>4000</formula2>
    </dataValidation>
  </dataValidations>
  <pageMargins left="0.7" right="0.7" top="0.75" bottom="0.75" header="0" footer="0"/>
  <pageSetup paperSize="9" scale="61" fitToHeight="0" orientation="portrait" r:id="rId1"/>
  <ignoredErrors>
    <ignoredError sqref="A6:A8 A96:A103 A95 A104:A2056 A9:A94" unlockedFormula="1"/>
  </ignoredErrors>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Ажлын хүснэгтэнд байгаа дансны кодыг бичнэ үү." xr:uid="{8AF8AD26-37AE-4D6F-A389-B6BCDE9AC833}">
          <x14:formula1>
            <xm:f>TB!$B$6:$B$96</xm:f>
          </x14:formula1>
          <xm:sqref>F1:G1048576</xm:sqref>
        </x14:dataValidation>
        <x14:dataValidation type="list" allowBlank="1" showErrorMessage="1" xr:uid="{00000000-0002-0000-0200-000003000000}">
          <x14:formula1>
            <xm:f>CF!$B$11:$B$55</xm:f>
          </x14:formula1>
          <xm:sqref>H6:H2056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103"/>
  <sheetViews>
    <sheetView view="pageBreakPreview" zoomScaleNormal="100" zoomScaleSheetLayoutView="100" workbookViewId="0">
      <pane xSplit="3" ySplit="4" topLeftCell="F89" activePane="bottomRight" state="frozen"/>
      <selection pane="topRight" activeCell="D1" sqref="D1"/>
      <selection pane="bottomLeft" activeCell="A5" sqref="A5"/>
      <selection pane="bottomRight" activeCell="O50" sqref="O50"/>
    </sheetView>
  </sheetViews>
  <sheetFormatPr defaultColWidth="12.6640625" defaultRowHeight="15" customHeight="1" x14ac:dyDescent="0.25"/>
  <cols>
    <col min="1" max="1" width="8.33203125" style="356" hidden="1" customWidth="1"/>
    <col min="2" max="2" width="8" style="356" bestFit="1" customWidth="1"/>
    <col min="3" max="3" width="37.6640625" style="356" customWidth="1"/>
    <col min="4" max="5" width="16.6640625" style="356" customWidth="1"/>
    <col min="6" max="7" width="17" style="322" customWidth="1"/>
    <col min="8" max="8" width="16.88671875" style="322" hidden="1" customWidth="1"/>
    <col min="9" max="9" width="16.33203125" style="322" customWidth="1"/>
    <col min="10" max="10" width="18" style="322" bestFit="1" customWidth="1"/>
    <col min="11" max="12" width="17.33203125" style="322" bestFit="1" customWidth="1"/>
    <col min="13" max="13" width="16.88671875" style="322" hidden="1" customWidth="1"/>
    <col min="14" max="15" width="17.5546875" style="322" customWidth="1"/>
    <col min="16" max="16" width="7.33203125" style="356" bestFit="1" customWidth="1"/>
    <col min="17" max="17" width="6.109375" style="356" bestFit="1" customWidth="1"/>
    <col min="18" max="18" width="6.5546875" style="356" bestFit="1" customWidth="1"/>
    <col min="19" max="16384" width="12.6640625" style="356"/>
  </cols>
  <sheetData>
    <row r="1" spans="1:16" ht="12.75" customHeight="1" x14ac:dyDescent="0.25">
      <c r="A1" s="604"/>
      <c r="B1" s="605"/>
      <c r="C1" s="606" t="str">
        <f>Info!F6&amp;"-ийн ажлын хүснэгт"</f>
        <v>"АЗЕЙ" ХХК-ийн ажлын хүснэгт</v>
      </c>
      <c r="E1" s="607"/>
      <c r="F1" s="323"/>
      <c r="G1" s="323"/>
      <c r="H1" s="323"/>
      <c r="I1" s="323"/>
      <c r="J1" s="323"/>
      <c r="K1" s="323"/>
      <c r="L1" s="323"/>
      <c r="M1" s="323"/>
      <c r="N1" s="323"/>
      <c r="O1" s="323"/>
      <c r="P1" s="604"/>
    </row>
    <row r="2" spans="1:16" ht="12.75" customHeight="1" thickBot="1" x14ac:dyDescent="0.3">
      <c r="A2" s="604"/>
      <c r="B2" s="605"/>
      <c r="C2" s="607"/>
      <c r="D2" s="609"/>
      <c r="E2" s="607"/>
      <c r="F2" s="323"/>
      <c r="G2" s="323"/>
      <c r="H2" s="323"/>
      <c r="I2" s="323"/>
      <c r="J2" s="323"/>
      <c r="K2" s="323"/>
      <c r="L2" s="323"/>
      <c r="M2" s="323"/>
      <c r="N2" s="323"/>
      <c r="O2" s="323"/>
      <c r="P2" s="604"/>
    </row>
    <row r="3" spans="1:16" ht="12.6" customHeight="1" thickBot="1" x14ac:dyDescent="0.3">
      <c r="A3" s="717" t="s">
        <v>49</v>
      </c>
      <c r="B3" s="719" t="s">
        <v>50</v>
      </c>
      <c r="C3" s="721" t="s">
        <v>51</v>
      </c>
      <c r="D3" s="722" t="s">
        <v>52</v>
      </c>
      <c r="E3" s="723"/>
      <c r="F3" s="713" t="s">
        <v>53</v>
      </c>
      <c r="G3" s="716"/>
      <c r="H3" s="324" t="s">
        <v>54</v>
      </c>
      <c r="I3" s="713" t="s">
        <v>55</v>
      </c>
      <c r="J3" s="716"/>
      <c r="K3" s="713" t="s">
        <v>56</v>
      </c>
      <c r="L3" s="714"/>
      <c r="M3" s="324" t="s">
        <v>54</v>
      </c>
      <c r="N3" s="713" t="s">
        <v>57</v>
      </c>
      <c r="O3" s="715"/>
      <c r="P3" s="604" t="s">
        <v>58</v>
      </c>
    </row>
    <row r="4" spans="1:16" ht="14.4" thickBot="1" x14ac:dyDescent="0.3">
      <c r="A4" s="718"/>
      <c r="B4" s="720"/>
      <c r="C4" s="720"/>
      <c r="D4" s="611" t="s">
        <v>59</v>
      </c>
      <c r="E4" s="610" t="s">
        <v>60</v>
      </c>
      <c r="F4" s="324" t="s">
        <v>59</v>
      </c>
      <c r="G4" s="324" t="s">
        <v>60</v>
      </c>
      <c r="H4" s="324"/>
      <c r="I4" s="324" t="s">
        <v>59</v>
      </c>
      <c r="J4" s="324" t="s">
        <v>60</v>
      </c>
      <c r="K4" s="324" t="s">
        <v>59</v>
      </c>
      <c r="L4" s="324" t="s">
        <v>60</v>
      </c>
      <c r="M4" s="324"/>
      <c r="N4" s="324" t="s">
        <v>59</v>
      </c>
      <c r="O4" s="324" t="s">
        <v>60</v>
      </c>
      <c r="P4" s="604"/>
    </row>
    <row r="5" spans="1:16" ht="12.75" hidden="1" customHeight="1" x14ac:dyDescent="0.25">
      <c r="A5" s="604"/>
      <c r="B5" s="612" t="s">
        <v>44</v>
      </c>
      <c r="C5" s="613" t="s">
        <v>61</v>
      </c>
      <c r="D5" s="614" t="s">
        <v>62</v>
      </c>
      <c r="E5" s="614" t="s">
        <v>63</v>
      </c>
      <c r="F5" s="325" t="s">
        <v>64</v>
      </c>
      <c r="G5" s="325" t="s">
        <v>65</v>
      </c>
      <c r="H5" s="325" t="s">
        <v>66</v>
      </c>
      <c r="I5" s="325" t="s">
        <v>67</v>
      </c>
      <c r="J5" s="325" t="s">
        <v>68</v>
      </c>
      <c r="K5" s="326" t="s">
        <v>69</v>
      </c>
      <c r="L5" s="326" t="s">
        <v>70</v>
      </c>
      <c r="M5" s="326" t="s">
        <v>71</v>
      </c>
      <c r="N5" s="327" t="s">
        <v>72</v>
      </c>
      <c r="O5" s="328" t="s">
        <v>73</v>
      </c>
      <c r="P5" s="604"/>
    </row>
    <row r="6" spans="1:16" ht="12.75" customHeight="1" x14ac:dyDescent="0.25">
      <c r="A6" s="604" t="s">
        <v>74</v>
      </c>
      <c r="B6" s="329">
        <v>1001</v>
      </c>
      <c r="C6" s="330" t="s">
        <v>75</v>
      </c>
      <c r="D6" s="331">
        <v>2800000</v>
      </c>
      <c r="E6" s="332"/>
      <c r="F6" s="333">
        <f>SUMIF(GL!$F:$F,TB!$B6,GL!$E:$E)</f>
        <v>0</v>
      </c>
      <c r="G6" s="333">
        <f>SUMIF(GL!$G:$G,TB!$B6,GL!$E:$E)</f>
        <v>0</v>
      </c>
      <c r="H6" s="334">
        <f>Table_1[[#This Row],[Column3]]+Table_1[[#This Row],[Column7]]-Table_1[[#This Row],[Column4]]-Table_1[[#This Row],[Column8]]</f>
        <v>2800000</v>
      </c>
      <c r="I6" s="334">
        <f>IF(H6&gt;0,H6,0)</f>
        <v>2800000</v>
      </c>
      <c r="J6" s="334">
        <f>IF(H6&lt;0,-H6,0)</f>
        <v>0</v>
      </c>
      <c r="K6" s="335"/>
      <c r="L6" s="335"/>
      <c r="M6" s="336">
        <f>Table_1[[#This Row],[Column9]]-Table_1[[#This Row],[Column10]]</f>
        <v>2800000</v>
      </c>
      <c r="N6" s="334">
        <f>IF(M6&gt;0,M6,0)</f>
        <v>2800000</v>
      </c>
      <c r="O6" s="334">
        <f>IF(M6&lt;0,-M6,0)</f>
        <v>0</v>
      </c>
      <c r="P6" s="615" t="str">
        <f>IF(TB!$N6&lt;0,"Актив утгатай данс хасах байж болохгүй","")</f>
        <v/>
      </c>
    </row>
    <row r="7" spans="1:16" ht="12.75" customHeight="1" x14ac:dyDescent="0.25">
      <c r="A7" s="604" t="s">
        <v>74</v>
      </c>
      <c r="B7" s="329">
        <v>1101</v>
      </c>
      <c r="C7" s="330" t="s">
        <v>76</v>
      </c>
      <c r="D7" s="331">
        <v>1050000</v>
      </c>
      <c r="E7" s="332"/>
      <c r="F7" s="333">
        <f>SUMIF(GL!$F:$F,TB!$B7,GL!$E:$E)</f>
        <v>7060000</v>
      </c>
      <c r="G7" s="333">
        <f>SUMIF(GL!$G:$G,TB!$B7,GL!$E:$E)</f>
        <v>0</v>
      </c>
      <c r="H7" s="334">
        <f>Table_1[[#This Row],[Column3]]+Table_1[[#This Row],[Column7]]-Table_1[[#This Row],[Column4]]-Table_1[[#This Row],[Column8]]</f>
        <v>8110000</v>
      </c>
      <c r="I7" s="334">
        <f t="shared" ref="I7:I73" si="0">IF(H7&gt;0,H7,0)</f>
        <v>8110000</v>
      </c>
      <c r="J7" s="334">
        <f t="shared" ref="J7:J32" si="1">IF(H7&lt;0,-H7,0)</f>
        <v>0</v>
      </c>
      <c r="K7" s="335"/>
      <c r="L7" s="337"/>
      <c r="M7" s="336">
        <f>Table_1[[#This Row],[Column9]]-Table_1[[#This Row],[Column10]]</f>
        <v>8110000</v>
      </c>
      <c r="N7" s="334">
        <f t="shared" ref="N7:N60" si="2">IF(M7&gt;0,M7,0)</f>
        <v>8110000</v>
      </c>
      <c r="O7" s="334">
        <f t="shared" ref="O7:O60" si="3">IF(M7&lt;0,-M7,0)</f>
        <v>0</v>
      </c>
      <c r="P7" s="615" t="str">
        <f>IF(TB!$N7&lt;0,"Актив утгатай данс хасах байж болохгүй","")</f>
        <v/>
      </c>
    </row>
    <row r="8" spans="1:16" ht="12.75" customHeight="1" x14ac:dyDescent="0.25">
      <c r="A8" s="604" t="s">
        <v>74</v>
      </c>
      <c r="B8" s="329">
        <v>1120</v>
      </c>
      <c r="C8" s="330" t="s">
        <v>77</v>
      </c>
      <c r="D8" s="331"/>
      <c r="E8" s="332"/>
      <c r="F8" s="333">
        <f>SUMIF(GL!$F:$F,TB!$B8,GL!$E:$E)</f>
        <v>0</v>
      </c>
      <c r="G8" s="333">
        <f>SUMIF(GL!$G:$G,TB!$B8,GL!$E:$E)</f>
        <v>0</v>
      </c>
      <c r="H8" s="334">
        <f>Table_1[[#This Row],[Column3]]+Table_1[[#This Row],[Column7]]-Table_1[[#This Row],[Column4]]-Table_1[[#This Row],[Column8]]</f>
        <v>0</v>
      </c>
      <c r="I8" s="334">
        <f t="shared" si="0"/>
        <v>0</v>
      </c>
      <c r="J8" s="334">
        <f t="shared" si="1"/>
        <v>0</v>
      </c>
      <c r="K8" s="335"/>
      <c r="L8" s="337"/>
      <c r="M8" s="336">
        <f>Table_1[[#This Row],[Column9]]-Table_1[[#This Row],[Column10]]</f>
        <v>0</v>
      </c>
      <c r="N8" s="334">
        <f t="shared" si="2"/>
        <v>0</v>
      </c>
      <c r="O8" s="334">
        <f t="shared" si="3"/>
        <v>0</v>
      </c>
      <c r="P8" s="615"/>
    </row>
    <row r="9" spans="1:16" ht="12.75" customHeight="1" x14ac:dyDescent="0.25">
      <c r="A9" s="604" t="s">
        <v>74</v>
      </c>
      <c r="B9" s="329">
        <v>1130</v>
      </c>
      <c r="C9" s="330" t="s">
        <v>78</v>
      </c>
      <c r="D9" s="331"/>
      <c r="E9" s="332"/>
      <c r="F9" s="333">
        <f>SUMIF(GL!$F:$F,TB!$B9,GL!$E:$E)</f>
        <v>0</v>
      </c>
      <c r="G9" s="333">
        <f>SUMIF(GL!$G:$G,TB!$B9,GL!$E:$E)</f>
        <v>0</v>
      </c>
      <c r="H9" s="334">
        <f>Table_1[[#This Row],[Column3]]+Table_1[[#This Row],[Column7]]-Table_1[[#This Row],[Column4]]-Table_1[[#This Row],[Column8]]</f>
        <v>0</v>
      </c>
      <c r="I9" s="334">
        <f t="shared" si="0"/>
        <v>0</v>
      </c>
      <c r="J9" s="334">
        <f t="shared" si="1"/>
        <v>0</v>
      </c>
      <c r="K9" s="335"/>
      <c r="L9" s="337"/>
      <c r="M9" s="336">
        <f>Table_1[[#This Row],[Column9]]-Table_1[[#This Row],[Column10]]</f>
        <v>0</v>
      </c>
      <c r="N9" s="334">
        <f t="shared" si="2"/>
        <v>0</v>
      </c>
      <c r="O9" s="334">
        <f t="shared" si="3"/>
        <v>0</v>
      </c>
      <c r="P9" s="615"/>
    </row>
    <row r="10" spans="1:16" ht="12.75" customHeight="1" x14ac:dyDescent="0.25">
      <c r="A10" s="604" t="s">
        <v>74</v>
      </c>
      <c r="B10" s="329">
        <v>1140</v>
      </c>
      <c r="C10" s="330" t="s">
        <v>79</v>
      </c>
      <c r="D10" s="331"/>
      <c r="E10" s="332"/>
      <c r="F10" s="333">
        <f>SUMIF(GL!$F:$F,TB!$B10,GL!$E:$E)</f>
        <v>0</v>
      </c>
      <c r="G10" s="333">
        <f>SUMIF(GL!$G:$G,TB!$B10,GL!$E:$E)</f>
        <v>0</v>
      </c>
      <c r="H10" s="334">
        <f>Table_1[[#This Row],[Column3]]+Table_1[[#This Row],[Column7]]-Table_1[[#This Row],[Column4]]-Table_1[[#This Row],[Column8]]</f>
        <v>0</v>
      </c>
      <c r="I10" s="334">
        <f t="shared" si="0"/>
        <v>0</v>
      </c>
      <c r="J10" s="334">
        <f t="shared" si="1"/>
        <v>0</v>
      </c>
      <c r="K10" s="335"/>
      <c r="L10" s="337"/>
      <c r="M10" s="336">
        <f>Table_1[[#This Row],[Column9]]-Table_1[[#This Row],[Column10]]</f>
        <v>0</v>
      </c>
      <c r="N10" s="334">
        <f t="shared" si="2"/>
        <v>0</v>
      </c>
      <c r="O10" s="334">
        <f t="shared" si="3"/>
        <v>0</v>
      </c>
      <c r="P10" s="615"/>
    </row>
    <row r="11" spans="1:16" ht="12.75" customHeight="1" x14ac:dyDescent="0.25">
      <c r="A11" s="604" t="s">
        <v>74</v>
      </c>
      <c r="B11" s="329">
        <v>1150</v>
      </c>
      <c r="C11" s="330" t="s">
        <v>80</v>
      </c>
      <c r="D11" s="331"/>
      <c r="E11" s="332"/>
      <c r="F11" s="333">
        <f>SUMIF(GL!$F:$F,TB!$B11,GL!$E:$E)</f>
        <v>0</v>
      </c>
      <c r="G11" s="333">
        <f>SUMIF(GL!$G:$G,TB!$B11,GL!$E:$E)</f>
        <v>0</v>
      </c>
      <c r="H11" s="334">
        <f>Table_1[[#This Row],[Column3]]+Table_1[[#This Row],[Column7]]-Table_1[[#This Row],[Column4]]-Table_1[[#This Row],[Column8]]</f>
        <v>0</v>
      </c>
      <c r="I11" s="334">
        <f t="shared" si="0"/>
        <v>0</v>
      </c>
      <c r="J11" s="334">
        <f t="shared" si="1"/>
        <v>0</v>
      </c>
      <c r="K11" s="335"/>
      <c r="L11" s="337"/>
      <c r="M11" s="336">
        <f>Table_1[[#This Row],[Column9]]-Table_1[[#This Row],[Column10]]</f>
        <v>0</v>
      </c>
      <c r="N11" s="334">
        <f t="shared" si="2"/>
        <v>0</v>
      </c>
      <c r="O11" s="334">
        <f t="shared" si="3"/>
        <v>0</v>
      </c>
      <c r="P11" s="615"/>
    </row>
    <row r="12" spans="1:16" ht="12.75" customHeight="1" x14ac:dyDescent="0.25">
      <c r="A12" s="604" t="s">
        <v>81</v>
      </c>
      <c r="B12" s="329">
        <v>1200</v>
      </c>
      <c r="C12" s="330" t="s">
        <v>82</v>
      </c>
      <c r="D12" s="331"/>
      <c r="E12" s="332"/>
      <c r="F12" s="333">
        <f>SUMIF(GL!$F:$F,TB!$B12,GL!$E:$E)</f>
        <v>0</v>
      </c>
      <c r="G12" s="333">
        <f>SUMIF(GL!$G:$G,TB!$B12,GL!$E:$E)</f>
        <v>0</v>
      </c>
      <c r="H12" s="334">
        <f>Table_1[[#This Row],[Column3]]+Table_1[[#This Row],[Column7]]-Table_1[[#This Row],[Column4]]-Table_1[[#This Row],[Column8]]</f>
        <v>0</v>
      </c>
      <c r="I12" s="334">
        <f t="shared" si="0"/>
        <v>0</v>
      </c>
      <c r="J12" s="334">
        <f t="shared" si="1"/>
        <v>0</v>
      </c>
      <c r="K12" s="335"/>
      <c r="L12" s="337"/>
      <c r="M12" s="336">
        <f>Table_1[[#This Row],[Column9]]-Table_1[[#This Row],[Column10]]</f>
        <v>0</v>
      </c>
      <c r="N12" s="334">
        <f t="shared" si="2"/>
        <v>0</v>
      </c>
      <c r="O12" s="334">
        <f t="shared" si="3"/>
        <v>0</v>
      </c>
      <c r="P12" s="615" t="str">
        <f>IF(TB!$N12&lt;0,"Актив утгатай данс хасах байж болохгүй","")</f>
        <v/>
      </c>
    </row>
    <row r="13" spans="1:16" ht="12.75" customHeight="1" x14ac:dyDescent="0.25">
      <c r="A13" s="604" t="s">
        <v>83</v>
      </c>
      <c r="B13" s="329">
        <v>1201</v>
      </c>
      <c r="C13" s="330" t="s">
        <v>994</v>
      </c>
      <c r="D13" s="331"/>
      <c r="E13" s="332"/>
      <c r="F13" s="333">
        <f>SUMIF(GL!$F:$F,TB!$B13,GL!$E:$E)</f>
        <v>0</v>
      </c>
      <c r="G13" s="333">
        <f>SUMIF(GL!$G:$G,TB!$B13,GL!$E:$E)</f>
        <v>0</v>
      </c>
      <c r="H13" s="334">
        <f>Table_1[[#This Row],[Column3]]+Table_1[[#This Row],[Column7]]-Table_1[[#This Row],[Column4]]-Table_1[[#This Row],[Column8]]</f>
        <v>0</v>
      </c>
      <c r="I13" s="334">
        <f t="shared" si="0"/>
        <v>0</v>
      </c>
      <c r="J13" s="334">
        <f t="shared" si="1"/>
        <v>0</v>
      </c>
      <c r="K13" s="335"/>
      <c r="L13" s="337"/>
      <c r="M13" s="336">
        <f>Table_1[[#This Row],[Column9]]-Table_1[[#This Row],[Column10]]</f>
        <v>0</v>
      </c>
      <c r="N13" s="334">
        <f t="shared" si="2"/>
        <v>0</v>
      </c>
      <c r="O13" s="334">
        <f t="shared" si="3"/>
        <v>0</v>
      </c>
      <c r="P13" s="615" t="str">
        <f>IF(TB!$N13&lt;0,"Актив утгатай данс хасах байж болохгүй","")</f>
        <v/>
      </c>
    </row>
    <row r="14" spans="1:16" ht="12.75" customHeight="1" x14ac:dyDescent="0.25">
      <c r="A14" s="604" t="s">
        <v>81</v>
      </c>
      <c r="B14" s="329">
        <v>1202</v>
      </c>
      <c r="C14" s="330" t="s">
        <v>84</v>
      </c>
      <c r="D14" s="331"/>
      <c r="E14" s="332"/>
      <c r="F14" s="333">
        <f>SUMIF(GL!$F:$F,TB!$B14,GL!$E:$E)</f>
        <v>0</v>
      </c>
      <c r="G14" s="333">
        <f>SUMIF(GL!$G:$G,TB!$B14,GL!$E:$E)</f>
        <v>0</v>
      </c>
      <c r="H14" s="334">
        <f>Table_1[[#This Row],[Column3]]+Table_1[[#This Row],[Column7]]-Table_1[[#This Row],[Column4]]-Table_1[[#This Row],[Column8]]</f>
        <v>0</v>
      </c>
      <c r="I14" s="334">
        <f t="shared" si="0"/>
        <v>0</v>
      </c>
      <c r="J14" s="334">
        <f t="shared" si="1"/>
        <v>0</v>
      </c>
      <c r="K14" s="335"/>
      <c r="L14" s="337"/>
      <c r="M14" s="336">
        <f>Table_1[[#This Row],[Column9]]-Table_1[[#This Row],[Column10]]</f>
        <v>0</v>
      </c>
      <c r="N14" s="334">
        <f t="shared" si="2"/>
        <v>0</v>
      </c>
      <c r="O14" s="334">
        <f t="shared" si="3"/>
        <v>0</v>
      </c>
      <c r="P14" s="615" t="str">
        <f>IF(TB!$N14&lt;0,"Актив утгатай данс хасах байж болохгүй","")</f>
        <v/>
      </c>
    </row>
    <row r="15" spans="1:16" ht="12.75" customHeight="1" x14ac:dyDescent="0.25">
      <c r="A15" s="604" t="s">
        <v>83</v>
      </c>
      <c r="B15" s="329">
        <v>1203</v>
      </c>
      <c r="C15" s="330" t="s">
        <v>85</v>
      </c>
      <c r="D15" s="331"/>
      <c r="E15" s="332"/>
      <c r="F15" s="333">
        <f>SUMIF(GL!$F:$F,TB!$B15,GL!$E:$E)</f>
        <v>0</v>
      </c>
      <c r="G15" s="333">
        <f>SUMIF(GL!$G:$G,TB!$B15,GL!$E:$E)</f>
        <v>0</v>
      </c>
      <c r="H15" s="334">
        <f>Table_1[[#This Row],[Column3]]+Table_1[[#This Row],[Column7]]-Table_1[[#This Row],[Column4]]-Table_1[[#This Row],[Column8]]</f>
        <v>0</v>
      </c>
      <c r="I15" s="334">
        <f t="shared" si="0"/>
        <v>0</v>
      </c>
      <c r="J15" s="334">
        <f t="shared" si="1"/>
        <v>0</v>
      </c>
      <c r="K15" s="335"/>
      <c r="L15" s="337"/>
      <c r="M15" s="336">
        <f>Table_1[[#This Row],[Column9]]-Table_1[[#This Row],[Column10]]</f>
        <v>0</v>
      </c>
      <c r="N15" s="334">
        <f t="shared" si="2"/>
        <v>0</v>
      </c>
      <c r="O15" s="334">
        <f t="shared" si="3"/>
        <v>0</v>
      </c>
      <c r="P15" s="615" t="str">
        <f>IF(TB!$N15&lt;0,"Актив утгатай данс хасах байж болохгүй","")</f>
        <v/>
      </c>
    </row>
    <row r="16" spans="1:16" ht="12.75" customHeight="1" x14ac:dyDescent="0.25">
      <c r="A16" s="604" t="s">
        <v>83</v>
      </c>
      <c r="B16" s="329">
        <v>1204</v>
      </c>
      <c r="C16" s="330" t="s">
        <v>86</v>
      </c>
      <c r="D16" s="331"/>
      <c r="E16" s="332"/>
      <c r="F16" s="333">
        <f>SUMIF(GL!$F:$F,TB!$B16,GL!$E:$E)</f>
        <v>0</v>
      </c>
      <c r="G16" s="333">
        <f>SUMIF(GL!$G:$G,TB!$B16,GL!$E:$E)</f>
        <v>0</v>
      </c>
      <c r="H16" s="334">
        <f>Table_1[[#This Row],[Column3]]+Table_1[[#This Row],[Column7]]-Table_1[[#This Row],[Column4]]-Table_1[[#This Row],[Column8]]</f>
        <v>0</v>
      </c>
      <c r="I16" s="334">
        <f t="shared" si="0"/>
        <v>0</v>
      </c>
      <c r="J16" s="334">
        <f t="shared" si="1"/>
        <v>0</v>
      </c>
      <c r="K16" s="335"/>
      <c r="L16" s="337"/>
      <c r="M16" s="336">
        <f>Table_1[[#This Row],[Column9]]-Table_1[[#This Row],[Column10]]</f>
        <v>0</v>
      </c>
      <c r="N16" s="334">
        <f t="shared" si="2"/>
        <v>0</v>
      </c>
      <c r="O16" s="334">
        <f t="shared" si="3"/>
        <v>0</v>
      </c>
      <c r="P16" s="615" t="str">
        <f>IF(TB!$N16&lt;0,"Актив утгатай данс хасах байж болохгүй","")</f>
        <v/>
      </c>
    </row>
    <row r="17" spans="1:16" ht="12.75" customHeight="1" x14ac:dyDescent="0.25">
      <c r="A17" s="604" t="s">
        <v>83</v>
      </c>
      <c r="B17" s="329">
        <v>1205</v>
      </c>
      <c r="C17" s="330" t="s">
        <v>87</v>
      </c>
      <c r="D17" s="331"/>
      <c r="E17" s="332"/>
      <c r="F17" s="333">
        <f>SUMIF(GL!$F:$F,TB!$B17,GL!$E:$E)</f>
        <v>0</v>
      </c>
      <c r="G17" s="333">
        <f>SUMIF(GL!$G:$G,TB!$B17,GL!$E:$E)</f>
        <v>0</v>
      </c>
      <c r="H17" s="334">
        <f>Table_1[[#This Row],[Column3]]+Table_1[[#This Row],[Column7]]-Table_1[[#This Row],[Column4]]-Table_1[[#This Row],[Column8]]</f>
        <v>0</v>
      </c>
      <c r="I17" s="334">
        <f t="shared" si="0"/>
        <v>0</v>
      </c>
      <c r="J17" s="334">
        <f t="shared" si="1"/>
        <v>0</v>
      </c>
      <c r="K17" s="335"/>
      <c r="L17" s="337"/>
      <c r="M17" s="336">
        <f>Table_1[[#This Row],[Column9]]-Table_1[[#This Row],[Column10]]</f>
        <v>0</v>
      </c>
      <c r="N17" s="334">
        <f t="shared" si="2"/>
        <v>0</v>
      </c>
      <c r="O17" s="334">
        <f t="shared" si="3"/>
        <v>0</v>
      </c>
      <c r="P17" s="615"/>
    </row>
    <row r="18" spans="1:16" ht="12.75" customHeight="1" x14ac:dyDescent="0.25">
      <c r="A18" s="604" t="s">
        <v>83</v>
      </c>
      <c r="B18" s="329">
        <v>1206</v>
      </c>
      <c r="C18" s="330" t="s">
        <v>88</v>
      </c>
      <c r="D18" s="331"/>
      <c r="E18" s="332"/>
      <c r="F18" s="333">
        <f>SUMIF(GL!$F:$F,TB!$B18,GL!$E:$E)</f>
        <v>0</v>
      </c>
      <c r="G18" s="333">
        <f>SUMIF(GL!$G:$G,TB!$B18,GL!$E:$E)</f>
        <v>0</v>
      </c>
      <c r="H18" s="334">
        <f>Table_1[[#This Row],[Column3]]+Table_1[[#This Row],[Column7]]-Table_1[[#This Row],[Column4]]-Table_1[[#This Row],[Column8]]</f>
        <v>0</v>
      </c>
      <c r="I18" s="334">
        <f t="shared" si="0"/>
        <v>0</v>
      </c>
      <c r="J18" s="334">
        <f t="shared" si="1"/>
        <v>0</v>
      </c>
      <c r="K18" s="335"/>
      <c r="L18" s="337"/>
      <c r="M18" s="336">
        <f>Table_1[[#This Row],[Column9]]-Table_1[[#This Row],[Column10]]</f>
        <v>0</v>
      </c>
      <c r="N18" s="334">
        <f t="shared" si="2"/>
        <v>0</v>
      </c>
      <c r="O18" s="334">
        <f t="shared" si="3"/>
        <v>0</v>
      </c>
      <c r="P18" s="615" t="str">
        <f>IF(TB!$N18&lt;0,"Актив утгатай данс хасах байж болохгүй","")</f>
        <v/>
      </c>
    </row>
    <row r="19" spans="1:16" ht="12.75" customHeight="1" x14ac:dyDescent="0.25">
      <c r="A19" s="604" t="s">
        <v>89</v>
      </c>
      <c r="B19" s="329">
        <v>1300</v>
      </c>
      <c r="C19" s="330" t="s">
        <v>90</v>
      </c>
      <c r="D19" s="331"/>
      <c r="E19" s="332"/>
      <c r="F19" s="333">
        <f>SUMIF(GL!$F:$F,TB!$B19,GL!$E:$E)</f>
        <v>0</v>
      </c>
      <c r="G19" s="333">
        <f>SUMIF(GL!$G:$G,TB!$B19,GL!$E:$E)</f>
        <v>0</v>
      </c>
      <c r="H19" s="334">
        <f>Table_1[[#This Row],[Column3]]+Table_1[[#This Row],[Column7]]-Table_1[[#This Row],[Column4]]-Table_1[[#This Row],[Column8]]</f>
        <v>0</v>
      </c>
      <c r="I19" s="334">
        <f t="shared" si="0"/>
        <v>0</v>
      </c>
      <c r="J19" s="334">
        <f t="shared" si="1"/>
        <v>0</v>
      </c>
      <c r="K19" s="335"/>
      <c r="L19" s="337"/>
      <c r="M19" s="336">
        <f>Table_1[[#This Row],[Column9]]-Table_1[[#This Row],[Column10]]</f>
        <v>0</v>
      </c>
      <c r="N19" s="334">
        <f t="shared" si="2"/>
        <v>0</v>
      </c>
      <c r="O19" s="334">
        <f t="shared" si="3"/>
        <v>0</v>
      </c>
      <c r="P19" s="615" t="str">
        <f>IF(TB!$N19&lt;0,"Актив утгатай данс хасах байж болохгүй","")</f>
        <v/>
      </c>
    </row>
    <row r="20" spans="1:16" ht="12.75" customHeight="1" x14ac:dyDescent="0.25">
      <c r="A20" s="604" t="s">
        <v>89</v>
      </c>
      <c r="B20" s="329">
        <v>1310</v>
      </c>
      <c r="C20" s="330" t="s">
        <v>91</v>
      </c>
      <c r="D20" s="331"/>
      <c r="E20" s="332"/>
      <c r="F20" s="333">
        <f>SUMIF(GL!$F:$F,TB!$B20,GL!$E:$E)</f>
        <v>0</v>
      </c>
      <c r="G20" s="333">
        <f>SUMIF(GL!$G:$G,TB!$B20,GL!$E:$E)</f>
        <v>0</v>
      </c>
      <c r="H20" s="334">
        <f>Table_1[[#This Row],[Column3]]+Table_1[[#This Row],[Column7]]-Table_1[[#This Row],[Column4]]-Table_1[[#This Row],[Column8]]</f>
        <v>0</v>
      </c>
      <c r="I20" s="334">
        <f t="shared" si="0"/>
        <v>0</v>
      </c>
      <c r="J20" s="334">
        <f t="shared" si="1"/>
        <v>0</v>
      </c>
      <c r="K20" s="335"/>
      <c r="L20" s="337"/>
      <c r="M20" s="336">
        <f>Table_1[[#This Row],[Column9]]-Table_1[[#This Row],[Column10]]</f>
        <v>0</v>
      </c>
      <c r="N20" s="334">
        <f t="shared" si="2"/>
        <v>0</v>
      </c>
      <c r="O20" s="334">
        <f t="shared" si="3"/>
        <v>0</v>
      </c>
      <c r="P20" s="615" t="str">
        <f>IF(TB!$N20&lt;0,"Актив утгатай данс хасах байж болохгүй","")</f>
        <v/>
      </c>
    </row>
    <row r="21" spans="1:16" ht="12.75" customHeight="1" x14ac:dyDescent="0.25">
      <c r="A21" s="604" t="s">
        <v>92</v>
      </c>
      <c r="B21" s="329">
        <v>1320</v>
      </c>
      <c r="C21" s="330" t="s">
        <v>93</v>
      </c>
      <c r="D21" s="331"/>
      <c r="E21" s="332"/>
      <c r="F21" s="333">
        <f>SUMIF(GL!$F:$F,TB!$B21,GL!$E:$E)</f>
        <v>0</v>
      </c>
      <c r="G21" s="333">
        <f>SUMIF(GL!$G:$G,TB!$B21,GL!$E:$E)</f>
        <v>0</v>
      </c>
      <c r="H21" s="334">
        <f>Table_1[[#This Row],[Column3]]+Table_1[[#This Row],[Column7]]-Table_1[[#This Row],[Column4]]-Table_1[[#This Row],[Column8]]</f>
        <v>0</v>
      </c>
      <c r="I21" s="334">
        <f t="shared" si="0"/>
        <v>0</v>
      </c>
      <c r="J21" s="334">
        <f t="shared" si="1"/>
        <v>0</v>
      </c>
      <c r="K21" s="335"/>
      <c r="L21" s="337"/>
      <c r="M21" s="336">
        <f>Table_1[[#This Row],[Column9]]-Table_1[[#This Row],[Column10]]</f>
        <v>0</v>
      </c>
      <c r="N21" s="334">
        <f t="shared" si="2"/>
        <v>0</v>
      </c>
      <c r="O21" s="334">
        <f t="shared" si="3"/>
        <v>0</v>
      </c>
      <c r="P21" s="615" t="str">
        <f>IF(TB!$N21&lt;0,"Актив утгатай данс хасах байж болохгүй","")</f>
        <v/>
      </c>
    </row>
    <row r="22" spans="1:16" ht="12.75" customHeight="1" x14ac:dyDescent="0.25">
      <c r="A22" s="604" t="s">
        <v>94</v>
      </c>
      <c r="B22" s="329">
        <v>1360</v>
      </c>
      <c r="C22" s="330" t="s">
        <v>95</v>
      </c>
      <c r="D22" s="331"/>
      <c r="E22" s="332"/>
      <c r="F22" s="333">
        <f>SUMIF(GL!$F:$F,TB!$B22,GL!$E:$E)</f>
        <v>0</v>
      </c>
      <c r="G22" s="333">
        <f>SUMIF(GL!$G:$G,TB!$B22,GL!$E:$E)</f>
        <v>0</v>
      </c>
      <c r="H22" s="334">
        <f>Table_1[[#This Row],[Column3]]+Table_1[[#This Row],[Column7]]-Table_1[[#This Row],[Column4]]-Table_1[[#This Row],[Column8]]</f>
        <v>0</v>
      </c>
      <c r="I22" s="334">
        <f t="shared" si="0"/>
        <v>0</v>
      </c>
      <c r="J22" s="334">
        <f t="shared" si="1"/>
        <v>0</v>
      </c>
      <c r="K22" s="335"/>
      <c r="L22" s="337"/>
      <c r="M22" s="336">
        <f>Table_1[[#This Row],[Column9]]-Table_1[[#This Row],[Column10]]</f>
        <v>0</v>
      </c>
      <c r="N22" s="334">
        <f t="shared" si="2"/>
        <v>0</v>
      </c>
      <c r="O22" s="334">
        <f t="shared" si="3"/>
        <v>0</v>
      </c>
      <c r="P22" s="615" t="str">
        <f>IF(TB!$N22&lt;0,"Актив утгатай данс хасах байж болохгүй","")</f>
        <v/>
      </c>
    </row>
    <row r="23" spans="1:16" ht="12.75" customHeight="1" x14ac:dyDescent="0.25">
      <c r="A23" s="604" t="s">
        <v>96</v>
      </c>
      <c r="B23" s="329">
        <v>1400</v>
      </c>
      <c r="C23" s="330" t="s">
        <v>97</v>
      </c>
      <c r="D23" s="331"/>
      <c r="E23" s="332"/>
      <c r="F23" s="333">
        <f>SUMIF(GL!$F:$F,TB!$B23,GL!$E:$E)</f>
        <v>0</v>
      </c>
      <c r="G23" s="333">
        <f>SUMIF(GL!$G:$G,TB!$B23,GL!$E:$E)</f>
        <v>0</v>
      </c>
      <c r="H23" s="334">
        <f>Table_1[[#This Row],[Column3]]+Table_1[[#This Row],[Column7]]-Table_1[[#This Row],[Column4]]-Table_1[[#This Row],[Column8]]</f>
        <v>0</v>
      </c>
      <c r="I23" s="334">
        <f t="shared" si="0"/>
        <v>0</v>
      </c>
      <c r="J23" s="334">
        <f t="shared" si="1"/>
        <v>0</v>
      </c>
      <c r="K23" s="335"/>
      <c r="L23" s="337"/>
      <c r="M23" s="336">
        <f>Table_1[[#This Row],[Column9]]-Table_1[[#This Row],[Column10]]</f>
        <v>0</v>
      </c>
      <c r="N23" s="334">
        <f t="shared" si="2"/>
        <v>0</v>
      </c>
      <c r="O23" s="334">
        <f t="shared" si="3"/>
        <v>0</v>
      </c>
      <c r="P23" s="615" t="str">
        <f>IF(TB!$N23&lt;0,"Актив утгатай данс хасах байж болохгүй","")</f>
        <v/>
      </c>
    </row>
    <row r="24" spans="1:16" ht="12.75" customHeight="1" x14ac:dyDescent="0.25">
      <c r="A24" s="604" t="s">
        <v>96</v>
      </c>
      <c r="B24" s="329">
        <v>1501</v>
      </c>
      <c r="C24" s="330" t="s">
        <v>98</v>
      </c>
      <c r="D24" s="331"/>
      <c r="E24" s="332"/>
      <c r="F24" s="333">
        <f>SUMIF(GL!$F:$F,TB!$B24,GL!$E:$E)</f>
        <v>0</v>
      </c>
      <c r="G24" s="333">
        <f>SUMIF(GL!$G:$G,TB!$B24,GL!$E:$E)</f>
        <v>0</v>
      </c>
      <c r="H24" s="334">
        <f>Table_1[[#This Row],[Column3]]+Table_1[[#This Row],[Column7]]-Table_1[[#This Row],[Column4]]-Table_1[[#This Row],[Column8]]</f>
        <v>0</v>
      </c>
      <c r="I24" s="334">
        <f t="shared" si="0"/>
        <v>0</v>
      </c>
      <c r="J24" s="334">
        <f t="shared" si="1"/>
        <v>0</v>
      </c>
      <c r="K24" s="335"/>
      <c r="L24" s="337"/>
      <c r="M24" s="336">
        <f>Table_1[[#This Row],[Column9]]-Table_1[[#This Row],[Column10]]</f>
        <v>0</v>
      </c>
      <c r="N24" s="334">
        <f t="shared" si="2"/>
        <v>0</v>
      </c>
      <c r="O24" s="334">
        <f t="shared" si="3"/>
        <v>0</v>
      </c>
      <c r="P24" s="615" t="str">
        <f>IF(TB!$N24&lt;0,"Актив утгатай данс хасах байж болохгүй","")</f>
        <v/>
      </c>
    </row>
    <row r="25" spans="1:16" ht="12.75" customHeight="1" x14ac:dyDescent="0.25">
      <c r="A25" s="604" t="s">
        <v>96</v>
      </c>
      <c r="B25" s="329">
        <v>1420</v>
      </c>
      <c r="C25" s="330" t="s">
        <v>99</v>
      </c>
      <c r="D25" s="331"/>
      <c r="E25" s="332"/>
      <c r="F25" s="333">
        <f>SUMIF(GL!$F:$F,TB!$B25,GL!$E:$E)</f>
        <v>0</v>
      </c>
      <c r="G25" s="333">
        <f>SUMIF(GL!$G:$G,TB!$B25,GL!$E:$E)</f>
        <v>0</v>
      </c>
      <c r="H25" s="334">
        <f>Table_1[[#This Row],[Column3]]+Table_1[[#This Row],[Column7]]-Table_1[[#This Row],[Column4]]-Table_1[[#This Row],[Column8]]</f>
        <v>0</v>
      </c>
      <c r="I25" s="334">
        <f t="shared" si="0"/>
        <v>0</v>
      </c>
      <c r="J25" s="334">
        <f t="shared" si="1"/>
        <v>0</v>
      </c>
      <c r="K25" s="335"/>
      <c r="L25" s="337"/>
      <c r="M25" s="336">
        <f>Table_1[[#This Row],[Column9]]-Table_1[[#This Row],[Column10]]</f>
        <v>0</v>
      </c>
      <c r="N25" s="334">
        <f t="shared" si="2"/>
        <v>0</v>
      </c>
      <c r="O25" s="334">
        <f t="shared" si="3"/>
        <v>0</v>
      </c>
      <c r="P25" s="615" t="str">
        <f>IF(TB!$N25&lt;0,"Актив утгатай данс хасах байж болохгүй","")</f>
        <v/>
      </c>
    </row>
    <row r="26" spans="1:16" ht="12.75" customHeight="1" x14ac:dyDescent="0.25">
      <c r="A26" s="604" t="s">
        <v>96</v>
      </c>
      <c r="B26" s="329">
        <v>1430</v>
      </c>
      <c r="C26" s="330" t="s">
        <v>100</v>
      </c>
      <c r="D26" s="331"/>
      <c r="E26" s="332"/>
      <c r="F26" s="333">
        <f>SUMIF(GL!$F:$F,TB!$B26,GL!$E:$E)</f>
        <v>0</v>
      </c>
      <c r="G26" s="333">
        <f>SUMIF(GL!$G:$G,TB!$B26,GL!$E:$E)</f>
        <v>0</v>
      </c>
      <c r="H26" s="334">
        <f>Table_1[[#This Row],[Column3]]+Table_1[[#This Row],[Column7]]-Table_1[[#This Row],[Column4]]-Table_1[[#This Row],[Column8]]</f>
        <v>0</v>
      </c>
      <c r="I26" s="334">
        <f t="shared" si="0"/>
        <v>0</v>
      </c>
      <c r="J26" s="334">
        <f t="shared" si="1"/>
        <v>0</v>
      </c>
      <c r="K26" s="335"/>
      <c r="L26" s="337"/>
      <c r="M26" s="336">
        <f>Table_1[[#This Row],[Column9]]-Table_1[[#This Row],[Column10]]</f>
        <v>0</v>
      </c>
      <c r="N26" s="334">
        <f t="shared" si="2"/>
        <v>0</v>
      </c>
      <c r="O26" s="334">
        <f t="shared" si="3"/>
        <v>0</v>
      </c>
      <c r="P26" s="615" t="str">
        <f>IF(TB!$N26&lt;0,"Актив утгатай данс хасах байж болохгүй","")</f>
        <v/>
      </c>
    </row>
    <row r="27" spans="1:16" ht="12.75" customHeight="1" x14ac:dyDescent="0.25">
      <c r="A27" s="604" t="s">
        <v>96</v>
      </c>
      <c r="B27" s="329">
        <v>1440</v>
      </c>
      <c r="C27" s="330" t="s">
        <v>101</v>
      </c>
      <c r="D27" s="331"/>
      <c r="E27" s="332"/>
      <c r="F27" s="333">
        <f>SUMIF(GL!$F:$F,TB!$B27,GL!$E:$E)</f>
        <v>0</v>
      </c>
      <c r="G27" s="333">
        <f>SUMIF(GL!$G:$G,TB!$B27,GL!$E:$E)</f>
        <v>0</v>
      </c>
      <c r="H27" s="334">
        <f>Table_1[[#This Row],[Column3]]+Table_1[[#This Row],[Column7]]-Table_1[[#This Row],[Column4]]-Table_1[[#This Row],[Column8]]</f>
        <v>0</v>
      </c>
      <c r="I27" s="334">
        <f t="shared" si="0"/>
        <v>0</v>
      </c>
      <c r="J27" s="334">
        <f t="shared" si="1"/>
        <v>0</v>
      </c>
      <c r="K27" s="335"/>
      <c r="L27" s="337"/>
      <c r="M27" s="336">
        <f>Table_1[[#This Row],[Column9]]-Table_1[[#This Row],[Column10]]</f>
        <v>0</v>
      </c>
      <c r="N27" s="334">
        <f t="shared" si="2"/>
        <v>0</v>
      </c>
      <c r="O27" s="334">
        <f t="shared" si="3"/>
        <v>0</v>
      </c>
      <c r="P27" s="615" t="str">
        <f>IF(TB!$N27&lt;0,"Актив утгатай данс хасах байж болохгүй","")</f>
        <v/>
      </c>
    </row>
    <row r="28" spans="1:16" ht="12.75" customHeight="1" x14ac:dyDescent="0.25">
      <c r="A28" s="604" t="s">
        <v>102</v>
      </c>
      <c r="B28" s="329">
        <v>1450</v>
      </c>
      <c r="C28" s="330" t="s">
        <v>103</v>
      </c>
      <c r="D28" s="331"/>
      <c r="E28" s="332"/>
      <c r="F28" s="333">
        <f>SUMIF(GL!$F:$F,TB!$B28,GL!$E:$E)</f>
        <v>0</v>
      </c>
      <c r="G28" s="333">
        <f>SUMIF(GL!$G:$G,TB!$B28,GL!$E:$E)</f>
        <v>0</v>
      </c>
      <c r="H28" s="334">
        <f>Table_1[[#This Row],[Column3]]+Table_1[[#This Row],[Column7]]-Table_1[[#This Row],[Column4]]-Table_1[[#This Row],[Column8]]</f>
        <v>0</v>
      </c>
      <c r="I28" s="334">
        <f t="shared" si="0"/>
        <v>0</v>
      </c>
      <c r="J28" s="334">
        <f t="shared" si="1"/>
        <v>0</v>
      </c>
      <c r="K28" s="335"/>
      <c r="L28" s="337"/>
      <c r="M28" s="336">
        <f>Table_1[[#This Row],[Column9]]-Table_1[[#This Row],[Column10]]</f>
        <v>0</v>
      </c>
      <c r="N28" s="334">
        <f t="shared" si="2"/>
        <v>0</v>
      </c>
      <c r="O28" s="334">
        <f t="shared" si="3"/>
        <v>0</v>
      </c>
      <c r="P28" s="615" t="str">
        <f>IF(TB!$N28&lt;0,"Актив утгатай данс хасах байж болохгүй","")</f>
        <v/>
      </c>
    </row>
    <row r="29" spans="1:16" ht="12.75" customHeight="1" x14ac:dyDescent="0.25">
      <c r="A29" s="604" t="s">
        <v>104</v>
      </c>
      <c r="B29" s="329">
        <v>1500</v>
      </c>
      <c r="C29" s="330" t="s">
        <v>105</v>
      </c>
      <c r="D29" s="331"/>
      <c r="E29" s="332"/>
      <c r="F29" s="333">
        <f>SUMIF(GL!$F:$F,TB!$B29,GL!$E:$E)</f>
        <v>0</v>
      </c>
      <c r="G29" s="333">
        <f>SUMIF(GL!$G:$G,TB!$B29,GL!$E:$E)</f>
        <v>0</v>
      </c>
      <c r="H29" s="334">
        <f>Table_1[[#This Row],[Column3]]+Table_1[[#This Row],[Column7]]-Table_1[[#This Row],[Column4]]-Table_1[[#This Row],[Column8]]</f>
        <v>0</v>
      </c>
      <c r="I29" s="334">
        <f t="shared" si="0"/>
        <v>0</v>
      </c>
      <c r="J29" s="334">
        <f t="shared" si="1"/>
        <v>0</v>
      </c>
      <c r="K29" s="335"/>
      <c r="L29" s="337"/>
      <c r="M29" s="336">
        <f>Table_1[[#This Row],[Column9]]-Table_1[[#This Row],[Column10]]</f>
        <v>0</v>
      </c>
      <c r="N29" s="334">
        <f t="shared" si="2"/>
        <v>0</v>
      </c>
      <c r="O29" s="334">
        <f t="shared" si="3"/>
        <v>0</v>
      </c>
      <c r="P29" s="615" t="str">
        <f>IF(TB!$N29&lt;0,"Актив утгатай данс хасах байж болохгүй","")</f>
        <v/>
      </c>
    </row>
    <row r="30" spans="1:16" ht="12.75" customHeight="1" x14ac:dyDescent="0.25">
      <c r="A30" s="604" t="s">
        <v>106</v>
      </c>
      <c r="B30" s="329">
        <v>1510</v>
      </c>
      <c r="C30" s="330" t="s">
        <v>107</v>
      </c>
      <c r="D30" s="331"/>
      <c r="E30" s="332"/>
      <c r="F30" s="333">
        <f>SUMIF(GL!$F:$F,TB!$B30,GL!$E:$E)</f>
        <v>0</v>
      </c>
      <c r="G30" s="333">
        <f>SUMIF(GL!$G:$G,TB!$B30,GL!$E:$E)</f>
        <v>0</v>
      </c>
      <c r="H30" s="334">
        <f>Table_1[[#This Row],[Column3]]+Table_1[[#This Row],[Column7]]-Table_1[[#This Row],[Column4]]-Table_1[[#This Row],[Column8]]</f>
        <v>0</v>
      </c>
      <c r="I30" s="334">
        <f t="shared" si="0"/>
        <v>0</v>
      </c>
      <c r="J30" s="334">
        <f t="shared" si="1"/>
        <v>0</v>
      </c>
      <c r="K30" s="335"/>
      <c r="L30" s="337"/>
      <c r="M30" s="336">
        <f>Table_1[[#This Row],[Column9]]-Table_1[[#This Row],[Column10]]</f>
        <v>0</v>
      </c>
      <c r="N30" s="334">
        <f t="shared" si="2"/>
        <v>0</v>
      </c>
      <c r="O30" s="334">
        <f t="shared" si="3"/>
        <v>0</v>
      </c>
      <c r="P30" s="615" t="str">
        <f>IF(TB!$N30&lt;0,"Актив утгатай данс хасах байж болохгүй","")</f>
        <v/>
      </c>
    </row>
    <row r="31" spans="1:16" ht="12.75" customHeight="1" x14ac:dyDescent="0.25">
      <c r="A31" s="604" t="s">
        <v>108</v>
      </c>
      <c r="B31" s="329">
        <v>1520</v>
      </c>
      <c r="C31" s="330" t="s">
        <v>109</v>
      </c>
      <c r="D31" s="331"/>
      <c r="E31" s="332"/>
      <c r="F31" s="333">
        <f>SUMIF(GL!$F:$F,TB!$B31,GL!$E:$E)</f>
        <v>0</v>
      </c>
      <c r="G31" s="333">
        <f>SUMIF(GL!$G:$G,TB!$B31,GL!$E:$E)</f>
        <v>0</v>
      </c>
      <c r="H31" s="334">
        <f>Table_1[[#This Row],[Column3]]+Table_1[[#This Row],[Column7]]-Table_1[[#This Row],[Column4]]-Table_1[[#This Row],[Column8]]</f>
        <v>0</v>
      </c>
      <c r="I31" s="334">
        <f t="shared" si="0"/>
        <v>0</v>
      </c>
      <c r="J31" s="334">
        <f t="shared" si="1"/>
        <v>0</v>
      </c>
      <c r="K31" s="335"/>
      <c r="L31" s="337"/>
      <c r="M31" s="336">
        <f>Table_1[[#This Row],[Column9]]-Table_1[[#This Row],[Column10]]</f>
        <v>0</v>
      </c>
      <c r="N31" s="334">
        <f t="shared" si="2"/>
        <v>0</v>
      </c>
      <c r="O31" s="334">
        <f t="shared" si="3"/>
        <v>0</v>
      </c>
      <c r="P31" s="615" t="str">
        <f>IF(TB!$N31&lt;0,"Актив утгатай данс хасах байж болохгүй","")</f>
        <v/>
      </c>
    </row>
    <row r="32" spans="1:16" ht="12.75" customHeight="1" x14ac:dyDescent="0.25">
      <c r="A32" s="604" t="s">
        <v>110</v>
      </c>
      <c r="B32" s="329">
        <v>2000</v>
      </c>
      <c r="C32" s="330" t="s">
        <v>111</v>
      </c>
      <c r="D32" s="331"/>
      <c r="E32" s="332"/>
      <c r="F32" s="333">
        <f>SUMIF(GL!$F:$F,TB!$B32,GL!$E:$E)</f>
        <v>0</v>
      </c>
      <c r="G32" s="333">
        <f>SUMIF(GL!$G:$G,TB!$B32,GL!$E:$E)</f>
        <v>0</v>
      </c>
      <c r="H32" s="334">
        <f>Table_1[[#This Row],[Column3]]+Table_1[[#This Row],[Column7]]-Table_1[[#This Row],[Column4]]-Table_1[[#This Row],[Column8]]</f>
        <v>0</v>
      </c>
      <c r="I32" s="334">
        <f t="shared" si="0"/>
        <v>0</v>
      </c>
      <c r="J32" s="334">
        <f t="shared" si="1"/>
        <v>0</v>
      </c>
      <c r="K32" s="335"/>
      <c r="L32" s="337"/>
      <c r="M32" s="336">
        <f>Table_1[[#This Row],[Column9]]-Table_1[[#This Row],[Column10]]</f>
        <v>0</v>
      </c>
      <c r="N32" s="334">
        <f t="shared" si="2"/>
        <v>0</v>
      </c>
      <c r="O32" s="334">
        <f t="shared" si="3"/>
        <v>0</v>
      </c>
      <c r="P32" s="615" t="str">
        <f>IF(TB!$N32&lt;0,"Актив утгатай данс хасах байж болохгүй","")</f>
        <v/>
      </c>
    </row>
    <row r="33" spans="1:16" ht="12.75" customHeight="1" x14ac:dyDescent="0.25">
      <c r="A33" s="604" t="s">
        <v>110</v>
      </c>
      <c r="B33" s="329">
        <v>2001</v>
      </c>
      <c r="C33" s="330" t="s">
        <v>112</v>
      </c>
      <c r="D33" s="331"/>
      <c r="E33" s="338"/>
      <c r="F33" s="333">
        <f>SUMIF(GL!$F:$F,TB!$B33,GL!$E:$E)</f>
        <v>0</v>
      </c>
      <c r="G33" s="333">
        <f>SUMIF(GL!$G:$G,TB!$B33,GL!$E:$E)</f>
        <v>0</v>
      </c>
      <c r="H33" s="334">
        <f>Table_1[[#This Row],[Column3]]+Table_1[[#This Row],[Column7]]-Table_1[[#This Row],[Column4]]-Table_1[[#This Row],[Column8]]</f>
        <v>0</v>
      </c>
      <c r="I33" s="334">
        <f t="shared" si="0"/>
        <v>0</v>
      </c>
      <c r="J33" s="334">
        <f>IF(H33&lt;0,-H33,0)</f>
        <v>0</v>
      </c>
      <c r="K33" s="335"/>
      <c r="L33" s="337"/>
      <c r="M33" s="336">
        <f>Table_1[[#This Row],[Column9]]-Table_1[[#This Row],[Column10]]</f>
        <v>0</v>
      </c>
      <c r="N33" s="334">
        <f t="shared" si="2"/>
        <v>0</v>
      </c>
      <c r="O33" s="334">
        <f t="shared" si="3"/>
        <v>0</v>
      </c>
      <c r="P33" s="615" t="str">
        <f>IF(TB!$N33&lt;0,"Актив утгатай данс хасах байж болохгүй","")</f>
        <v/>
      </c>
    </row>
    <row r="34" spans="1:16" ht="12.75" customHeight="1" x14ac:dyDescent="0.25">
      <c r="A34" s="604" t="s">
        <v>110</v>
      </c>
      <c r="B34" s="329">
        <v>2100</v>
      </c>
      <c r="C34" s="330" t="s">
        <v>113</v>
      </c>
      <c r="D34" s="331"/>
      <c r="E34" s="338"/>
      <c r="F34" s="333">
        <f>SUMIF(GL!$F:$F,TB!$B34,GL!$E:$E)</f>
        <v>0</v>
      </c>
      <c r="G34" s="333">
        <f>SUMIF(GL!$G:$G,TB!$B34,GL!$E:$E)</f>
        <v>0</v>
      </c>
      <c r="H34" s="334">
        <f>Table_1[[#This Row],[Column3]]+Table_1[[#This Row],[Column7]]-Table_1[[#This Row],[Column4]]-Table_1[[#This Row],[Column8]]</f>
        <v>0</v>
      </c>
      <c r="I34" s="334">
        <f t="shared" si="0"/>
        <v>0</v>
      </c>
      <c r="J34" s="334">
        <f t="shared" ref="J34:J97" si="4">IF(H34&lt;0,-H34,0)</f>
        <v>0</v>
      </c>
      <c r="K34" s="335"/>
      <c r="L34" s="337"/>
      <c r="M34" s="336">
        <f>Table_1[[#This Row],[Column9]]-Table_1[[#This Row],[Column10]]</f>
        <v>0</v>
      </c>
      <c r="N34" s="334">
        <f t="shared" si="2"/>
        <v>0</v>
      </c>
      <c r="O34" s="334">
        <f t="shared" si="3"/>
        <v>0</v>
      </c>
      <c r="P34" s="615" t="str">
        <f>IF(TB!$N34&lt;0,"Актив утгатай данс хасах байж болохгүй","")</f>
        <v/>
      </c>
    </row>
    <row r="35" spans="1:16" ht="12.75" customHeight="1" x14ac:dyDescent="0.25">
      <c r="A35" s="604" t="s">
        <v>110</v>
      </c>
      <c r="B35" s="329">
        <v>2101</v>
      </c>
      <c r="C35" s="330" t="s">
        <v>114</v>
      </c>
      <c r="D35" s="331"/>
      <c r="E35" s="338"/>
      <c r="F35" s="333">
        <f>SUMIF(GL!$F:$F,TB!$B35,GL!$E:$E)</f>
        <v>0</v>
      </c>
      <c r="G35" s="333">
        <f>SUMIF(GL!$G:$G,TB!$B35,GL!$E:$E)</f>
        <v>0</v>
      </c>
      <c r="H35" s="334">
        <f>Table_1[[#This Row],[Column3]]+Table_1[[#This Row],[Column7]]-Table_1[[#This Row],[Column4]]-Table_1[[#This Row],[Column8]]</f>
        <v>0</v>
      </c>
      <c r="I35" s="334">
        <f t="shared" si="0"/>
        <v>0</v>
      </c>
      <c r="J35" s="334">
        <f t="shared" si="4"/>
        <v>0</v>
      </c>
      <c r="K35" s="335"/>
      <c r="L35" s="337"/>
      <c r="M35" s="336">
        <f>Table_1[[#This Row],[Column9]]-Table_1[[#This Row],[Column10]]</f>
        <v>0</v>
      </c>
      <c r="N35" s="334">
        <f t="shared" si="2"/>
        <v>0</v>
      </c>
      <c r="O35" s="334">
        <f t="shared" si="3"/>
        <v>0</v>
      </c>
      <c r="P35" s="615" t="str">
        <f>IF(TB!$N35&lt;0,"Актив утгатай данс хасах байж болохгүй","")</f>
        <v/>
      </c>
    </row>
    <row r="36" spans="1:16" ht="12.75" customHeight="1" x14ac:dyDescent="0.25">
      <c r="A36" s="604" t="s">
        <v>110</v>
      </c>
      <c r="B36" s="329">
        <v>2200</v>
      </c>
      <c r="C36" s="330" t="s">
        <v>115</v>
      </c>
      <c r="D36" s="331"/>
      <c r="E36" s="338"/>
      <c r="F36" s="333">
        <f>SUMIF(GL!$F:$F,TB!$B36,GL!$E:$E)</f>
        <v>0</v>
      </c>
      <c r="G36" s="333">
        <f>SUMIF(GL!$G:$G,TB!$B36,GL!$E:$E)</f>
        <v>0</v>
      </c>
      <c r="H36" s="334">
        <f>Table_1[[#This Row],[Column3]]+Table_1[[#This Row],[Column7]]-Table_1[[#This Row],[Column4]]-Table_1[[#This Row],[Column8]]</f>
        <v>0</v>
      </c>
      <c r="I36" s="334">
        <f t="shared" si="0"/>
        <v>0</v>
      </c>
      <c r="J36" s="334">
        <f t="shared" si="4"/>
        <v>0</v>
      </c>
      <c r="K36" s="335"/>
      <c r="L36" s="337"/>
      <c r="M36" s="336">
        <f>Table_1[[#This Row],[Column9]]-Table_1[[#This Row],[Column10]]</f>
        <v>0</v>
      </c>
      <c r="N36" s="334">
        <f t="shared" si="2"/>
        <v>0</v>
      </c>
      <c r="O36" s="334">
        <f t="shared" si="3"/>
        <v>0</v>
      </c>
      <c r="P36" s="615" t="str">
        <f>IF(TB!$N36&lt;0,"Актив утгатай данс хасах байж болохгүй","")</f>
        <v/>
      </c>
    </row>
    <row r="37" spans="1:16" ht="12.75" customHeight="1" x14ac:dyDescent="0.25">
      <c r="A37" s="604" t="s">
        <v>110</v>
      </c>
      <c r="B37" s="329">
        <v>2201</v>
      </c>
      <c r="C37" s="330" t="s">
        <v>116</v>
      </c>
      <c r="D37" s="331"/>
      <c r="E37" s="338"/>
      <c r="F37" s="333">
        <f>SUMIF(GL!$F:$F,TB!$B37,GL!$E:$E)</f>
        <v>0</v>
      </c>
      <c r="G37" s="333">
        <f>SUMIF(GL!$G:$G,TB!$B37,GL!$E:$E)</f>
        <v>0</v>
      </c>
      <c r="H37" s="334">
        <f>Table_1[[#This Row],[Column3]]+Table_1[[#This Row],[Column7]]-Table_1[[#This Row],[Column4]]-Table_1[[#This Row],[Column8]]</f>
        <v>0</v>
      </c>
      <c r="I37" s="334">
        <f t="shared" si="0"/>
        <v>0</v>
      </c>
      <c r="J37" s="334">
        <f>IF(H37&lt;0,-H37,0)</f>
        <v>0</v>
      </c>
      <c r="K37" s="335"/>
      <c r="L37" s="337"/>
      <c r="M37" s="336">
        <f>Table_1[[#This Row],[Column9]]-Table_1[[#This Row],[Column10]]</f>
        <v>0</v>
      </c>
      <c r="N37" s="334">
        <f t="shared" si="2"/>
        <v>0</v>
      </c>
      <c r="O37" s="334">
        <f t="shared" si="3"/>
        <v>0</v>
      </c>
      <c r="P37" s="615" t="str">
        <f>IF(TB!$N37&lt;0,"Актив утгатай данс хасах байж болохгүй","")</f>
        <v/>
      </c>
    </row>
    <row r="38" spans="1:16" ht="12.75" customHeight="1" x14ac:dyDescent="0.25">
      <c r="A38" s="604" t="s">
        <v>110</v>
      </c>
      <c r="B38" s="329">
        <v>2300</v>
      </c>
      <c r="C38" s="330" t="s">
        <v>117</v>
      </c>
      <c r="D38" s="331"/>
      <c r="E38" s="338"/>
      <c r="F38" s="333">
        <f>SUMIF(GL!$F:$F,TB!$B38,GL!$E:$E)</f>
        <v>0</v>
      </c>
      <c r="G38" s="333">
        <f>SUMIF(GL!$G:$G,TB!$B38,GL!$E:$E)</f>
        <v>0</v>
      </c>
      <c r="H38" s="334">
        <f>Table_1[[#This Row],[Column3]]+Table_1[[#This Row],[Column7]]-Table_1[[#This Row],[Column4]]-Table_1[[#This Row],[Column8]]</f>
        <v>0</v>
      </c>
      <c r="I38" s="334">
        <f t="shared" si="0"/>
        <v>0</v>
      </c>
      <c r="J38" s="334">
        <f t="shared" si="4"/>
        <v>0</v>
      </c>
      <c r="K38" s="335"/>
      <c r="L38" s="337"/>
      <c r="M38" s="336">
        <f>Table_1[[#This Row],[Column9]]-Table_1[[#This Row],[Column10]]</f>
        <v>0</v>
      </c>
      <c r="N38" s="334">
        <f t="shared" si="2"/>
        <v>0</v>
      </c>
      <c r="O38" s="334">
        <f t="shared" si="3"/>
        <v>0</v>
      </c>
      <c r="P38" s="615" t="str">
        <f>IF(TB!$N38&lt;0,"Актив утгатай данс хасах байж болохгүй","")</f>
        <v/>
      </c>
    </row>
    <row r="39" spans="1:16" ht="12.75" customHeight="1" x14ac:dyDescent="0.25">
      <c r="A39" s="604" t="s">
        <v>110</v>
      </c>
      <c r="B39" s="329">
        <v>2301</v>
      </c>
      <c r="C39" s="330" t="s">
        <v>118</v>
      </c>
      <c r="D39" s="331"/>
      <c r="E39" s="338"/>
      <c r="F39" s="333">
        <f>SUMIF(GL!$F:$F,TB!$B39,GL!$E:$E)</f>
        <v>0</v>
      </c>
      <c r="G39" s="333">
        <f>SUMIF(GL!$G:$G,TB!$B39,GL!$E:$E)</f>
        <v>0</v>
      </c>
      <c r="H39" s="334">
        <f>Table_1[[#This Row],[Column3]]+Table_1[[#This Row],[Column7]]-Table_1[[#This Row],[Column4]]-Table_1[[#This Row],[Column8]]</f>
        <v>0</v>
      </c>
      <c r="I39" s="334">
        <f t="shared" si="0"/>
        <v>0</v>
      </c>
      <c r="J39" s="334">
        <f t="shared" si="4"/>
        <v>0</v>
      </c>
      <c r="K39" s="335"/>
      <c r="L39" s="337"/>
      <c r="M39" s="336">
        <f>Table_1[[#This Row],[Column9]]-Table_1[[#This Row],[Column10]]</f>
        <v>0</v>
      </c>
      <c r="N39" s="334">
        <f t="shared" si="2"/>
        <v>0</v>
      </c>
      <c r="O39" s="334">
        <f t="shared" si="3"/>
        <v>0</v>
      </c>
      <c r="P39" s="615" t="str">
        <f>IF(TB!$N39&lt;0,"Актив утгатай данс хасах байж болохгүй","")</f>
        <v/>
      </c>
    </row>
    <row r="40" spans="1:16" ht="12.75" customHeight="1" x14ac:dyDescent="0.25">
      <c r="A40" s="604" t="s">
        <v>110</v>
      </c>
      <c r="B40" s="329">
        <v>2400</v>
      </c>
      <c r="C40" s="330" t="s">
        <v>119</v>
      </c>
      <c r="D40" s="331"/>
      <c r="E40" s="338"/>
      <c r="F40" s="333">
        <f>SUMIF(GL!$F:$F,TB!$B40,GL!$E:$E)</f>
        <v>0</v>
      </c>
      <c r="G40" s="333">
        <f>SUMIF(GL!$G:$G,TB!$B40,GL!$E:$E)</f>
        <v>0</v>
      </c>
      <c r="H40" s="334">
        <f>Table_1[[#This Row],[Column3]]+Table_1[[#This Row],[Column7]]-Table_1[[#This Row],[Column4]]-Table_1[[#This Row],[Column8]]</f>
        <v>0</v>
      </c>
      <c r="I40" s="334">
        <f t="shared" si="0"/>
        <v>0</v>
      </c>
      <c r="J40" s="334">
        <f t="shared" si="4"/>
        <v>0</v>
      </c>
      <c r="K40" s="335"/>
      <c r="L40" s="337"/>
      <c r="M40" s="336">
        <f>Table_1[[#This Row],[Column9]]-Table_1[[#This Row],[Column10]]</f>
        <v>0</v>
      </c>
      <c r="N40" s="334">
        <f t="shared" si="2"/>
        <v>0</v>
      </c>
      <c r="O40" s="334">
        <f t="shared" si="3"/>
        <v>0</v>
      </c>
      <c r="P40" s="615" t="str">
        <f>IF(TB!$N40&lt;0,"Актив утгатай данс хасах байж болохгүй","")</f>
        <v/>
      </c>
    </row>
    <row r="41" spans="1:16" ht="12.75" customHeight="1" x14ac:dyDescent="0.25">
      <c r="A41" s="604" t="s">
        <v>110</v>
      </c>
      <c r="B41" s="329">
        <v>2401</v>
      </c>
      <c r="C41" s="330" t="s">
        <v>120</v>
      </c>
      <c r="D41" s="331"/>
      <c r="E41" s="338"/>
      <c r="F41" s="333">
        <f>SUMIF(GL!$F:$F,TB!$B41,GL!$E:$E)</f>
        <v>0</v>
      </c>
      <c r="G41" s="333">
        <f>SUMIF(GL!$G:$G,TB!$B41,GL!$E:$E)</f>
        <v>0</v>
      </c>
      <c r="H41" s="334">
        <f>Table_1[[#This Row],[Column3]]+Table_1[[#This Row],[Column7]]-Table_1[[#This Row],[Column4]]-Table_1[[#This Row],[Column8]]</f>
        <v>0</v>
      </c>
      <c r="I41" s="334">
        <f t="shared" si="0"/>
        <v>0</v>
      </c>
      <c r="J41" s="334">
        <f t="shared" si="4"/>
        <v>0</v>
      </c>
      <c r="K41" s="335"/>
      <c r="L41" s="337"/>
      <c r="M41" s="336">
        <f>Table_1[[#This Row],[Column9]]-Table_1[[#This Row],[Column10]]</f>
        <v>0</v>
      </c>
      <c r="N41" s="334">
        <f t="shared" si="2"/>
        <v>0</v>
      </c>
      <c r="O41" s="334">
        <f t="shared" si="3"/>
        <v>0</v>
      </c>
      <c r="P41" s="615" t="str">
        <f>IF(TB!$N41&lt;0,"Актив утгатай данс хасах байж болохгүй","")</f>
        <v/>
      </c>
    </row>
    <row r="42" spans="1:16" ht="12.75" customHeight="1" x14ac:dyDescent="0.25">
      <c r="A42" s="604" t="s">
        <v>110</v>
      </c>
      <c r="B42" s="329">
        <v>2500</v>
      </c>
      <c r="C42" s="330" t="s">
        <v>121</v>
      </c>
      <c r="D42" s="331"/>
      <c r="E42" s="338"/>
      <c r="F42" s="333">
        <f>SUMIF(GL!$F:$F,TB!$B42,GL!$E:$E)</f>
        <v>0</v>
      </c>
      <c r="G42" s="333">
        <f>SUMIF(GL!$G:$G,TB!$B42,GL!$E:$E)</f>
        <v>0</v>
      </c>
      <c r="H42" s="334">
        <f>Table_1[[#This Row],[Column3]]+Table_1[[#This Row],[Column7]]-Table_1[[#This Row],[Column4]]-Table_1[[#This Row],[Column8]]</f>
        <v>0</v>
      </c>
      <c r="I42" s="334">
        <f t="shared" si="0"/>
        <v>0</v>
      </c>
      <c r="J42" s="334">
        <f t="shared" si="4"/>
        <v>0</v>
      </c>
      <c r="K42" s="335"/>
      <c r="L42" s="337"/>
      <c r="M42" s="336">
        <f>Table_1[[#This Row],[Column9]]-Table_1[[#This Row],[Column10]]</f>
        <v>0</v>
      </c>
      <c r="N42" s="334">
        <f t="shared" si="2"/>
        <v>0</v>
      </c>
      <c r="O42" s="334">
        <f t="shared" si="3"/>
        <v>0</v>
      </c>
      <c r="P42" s="615" t="str">
        <f>IF(TB!$N42&lt;0,"Актив утгатай данс хасах байж болохгүй","")</f>
        <v/>
      </c>
    </row>
    <row r="43" spans="1:16" ht="12.75" customHeight="1" x14ac:dyDescent="0.25">
      <c r="A43" s="604" t="s">
        <v>110</v>
      </c>
      <c r="B43" s="329">
        <v>2501</v>
      </c>
      <c r="C43" s="330" t="s">
        <v>122</v>
      </c>
      <c r="D43" s="331"/>
      <c r="E43" s="338"/>
      <c r="F43" s="333">
        <f>SUMIF(GL!$F:$F,TB!$B43,GL!$E:$E)</f>
        <v>0</v>
      </c>
      <c r="G43" s="333">
        <f>SUMIF(GL!$G:$G,TB!$B43,GL!$E:$E)</f>
        <v>0</v>
      </c>
      <c r="H43" s="334">
        <f>Table_1[[#This Row],[Column3]]+Table_1[[#This Row],[Column7]]-Table_1[[#This Row],[Column4]]-Table_1[[#This Row],[Column8]]</f>
        <v>0</v>
      </c>
      <c r="I43" s="334">
        <f t="shared" si="0"/>
        <v>0</v>
      </c>
      <c r="J43" s="334">
        <f t="shared" si="4"/>
        <v>0</v>
      </c>
      <c r="K43" s="335"/>
      <c r="L43" s="337"/>
      <c r="M43" s="336">
        <f>Table_1[[#This Row],[Column9]]-Table_1[[#This Row],[Column10]]</f>
        <v>0</v>
      </c>
      <c r="N43" s="334">
        <f t="shared" si="2"/>
        <v>0</v>
      </c>
      <c r="O43" s="334">
        <f>IF(M43&lt;0,-M43,0)</f>
        <v>0</v>
      </c>
      <c r="P43" s="615" t="str">
        <f>IF(TB!$N43&lt;0,"Актив утгатай данс хасах байж болохгүй","")</f>
        <v/>
      </c>
    </row>
    <row r="44" spans="1:16" ht="12.75" customHeight="1" x14ac:dyDescent="0.25">
      <c r="A44" s="616" t="s">
        <v>123</v>
      </c>
      <c r="B44" s="329">
        <v>3000</v>
      </c>
      <c r="C44" s="330" t="s">
        <v>124</v>
      </c>
      <c r="D44" s="332"/>
      <c r="E44" s="331"/>
      <c r="F44" s="333">
        <f>SUMIF(GL!$F:$F,TB!$B44,GL!$E:$E)</f>
        <v>0</v>
      </c>
      <c r="G44" s="333">
        <f>SUMIF(GL!$G:$G,TB!$B44,GL!$E:$E)</f>
        <v>0</v>
      </c>
      <c r="H44" s="334">
        <f>Table_1[[#This Row],[Column3]]+Table_1[[#This Row],[Column7]]-Table_1[[#This Row],[Column4]]-Table_1[[#This Row],[Column8]]</f>
        <v>0</v>
      </c>
      <c r="I44" s="334">
        <f>IF(H44&gt;0,H44,0)</f>
        <v>0</v>
      </c>
      <c r="J44" s="334">
        <f t="shared" si="4"/>
        <v>0</v>
      </c>
      <c r="K44" s="335"/>
      <c r="L44" s="337"/>
      <c r="M44" s="336">
        <f>Table_1[[#This Row],[Column9]]-Table_1[[#This Row],[Column10]]</f>
        <v>0</v>
      </c>
      <c r="N44" s="334">
        <f t="shared" si="2"/>
        <v>0</v>
      </c>
      <c r="O44" s="334">
        <f>IF(M44&lt;0,-M44,0)</f>
        <v>0</v>
      </c>
      <c r="P44" s="604"/>
    </row>
    <row r="45" spans="1:16" ht="12.75" customHeight="1" x14ac:dyDescent="0.25">
      <c r="A45" s="616" t="s">
        <v>123</v>
      </c>
      <c r="B45" s="329">
        <v>3010</v>
      </c>
      <c r="C45" s="330" t="s">
        <v>125</v>
      </c>
      <c r="D45" s="332"/>
      <c r="E45" s="331"/>
      <c r="F45" s="333">
        <f>SUMIF(GL!$F:$F,TB!$B45,GL!$E:$E)</f>
        <v>0</v>
      </c>
      <c r="G45" s="333">
        <f>SUMIF(GL!$G:$G,TB!$B45,GL!$E:$E)</f>
        <v>0</v>
      </c>
      <c r="H45" s="334">
        <f>Table_1[[#This Row],[Column3]]+Table_1[[#This Row],[Column7]]-Table_1[[#This Row],[Column4]]-Table_1[[#This Row],[Column8]]</f>
        <v>0</v>
      </c>
      <c r="I45" s="334">
        <f t="shared" si="0"/>
        <v>0</v>
      </c>
      <c r="J45" s="334">
        <f t="shared" si="4"/>
        <v>0</v>
      </c>
      <c r="K45" s="335"/>
      <c r="L45" s="337"/>
      <c r="M45" s="336">
        <f>Table_1[[#This Row],[Column9]]-Table_1[[#This Row],[Column10]]</f>
        <v>0</v>
      </c>
      <c r="N45" s="334">
        <f t="shared" si="2"/>
        <v>0</v>
      </c>
      <c r="O45" s="334">
        <f t="shared" ref="O45:O56" si="5">IF(M45&lt;0,-M45,0)</f>
        <v>0</v>
      </c>
      <c r="P45" s="604"/>
    </row>
    <row r="46" spans="1:16" ht="12.75" customHeight="1" x14ac:dyDescent="0.25">
      <c r="A46" s="616" t="s">
        <v>123</v>
      </c>
      <c r="B46" s="329">
        <v>3020</v>
      </c>
      <c r="C46" s="330" t="s">
        <v>126</v>
      </c>
      <c r="D46" s="332"/>
      <c r="E46" s="331"/>
      <c r="F46" s="333">
        <f>SUMIF(GL!$F:$F,TB!$B46,GL!$E:$E)</f>
        <v>0</v>
      </c>
      <c r="G46" s="333">
        <f>SUMIF(GL!$G:$G,TB!$B46,GL!$E:$E)</f>
        <v>0</v>
      </c>
      <c r="H46" s="334">
        <f>Table_1[[#This Row],[Column3]]+Table_1[[#This Row],[Column7]]-Table_1[[#This Row],[Column4]]-Table_1[[#This Row],[Column8]]</f>
        <v>0</v>
      </c>
      <c r="I46" s="334">
        <f t="shared" si="0"/>
        <v>0</v>
      </c>
      <c r="J46" s="334">
        <f t="shared" si="4"/>
        <v>0</v>
      </c>
      <c r="K46" s="335"/>
      <c r="L46" s="337"/>
      <c r="M46" s="336">
        <f>Table_1[[#This Row],[Column9]]-Table_1[[#This Row],[Column10]]</f>
        <v>0</v>
      </c>
      <c r="N46" s="334">
        <f t="shared" si="2"/>
        <v>0</v>
      </c>
      <c r="O46" s="334">
        <f t="shared" si="5"/>
        <v>0</v>
      </c>
      <c r="P46" s="604"/>
    </row>
    <row r="47" spans="1:16" ht="12.75" customHeight="1" x14ac:dyDescent="0.25">
      <c r="A47" s="616" t="s">
        <v>127</v>
      </c>
      <c r="B47" s="329">
        <v>3101</v>
      </c>
      <c r="C47" s="330" t="s">
        <v>128</v>
      </c>
      <c r="D47" s="332"/>
      <c r="E47" s="331"/>
      <c r="F47" s="333">
        <f>SUMIF(GL!$F:$F,TB!$B47,GL!$E:$E)</f>
        <v>0</v>
      </c>
      <c r="G47" s="333">
        <f>SUMIF(GL!$G:$G,TB!$B47,GL!$E:$E)</f>
        <v>0</v>
      </c>
      <c r="H47" s="334">
        <f>Table_1[[#This Row],[Column3]]+Table_1[[#This Row],[Column7]]-Table_1[[#This Row],[Column4]]-Table_1[[#This Row],[Column8]]</f>
        <v>0</v>
      </c>
      <c r="I47" s="334">
        <f t="shared" si="0"/>
        <v>0</v>
      </c>
      <c r="J47" s="334">
        <f t="shared" si="4"/>
        <v>0</v>
      </c>
      <c r="K47" s="335"/>
      <c r="L47" s="337"/>
      <c r="M47" s="336">
        <f>Table_1[[#This Row],[Column9]]-Table_1[[#This Row],[Column10]]</f>
        <v>0</v>
      </c>
      <c r="N47" s="334">
        <f t="shared" si="2"/>
        <v>0</v>
      </c>
      <c r="O47" s="334">
        <f t="shared" si="5"/>
        <v>0</v>
      </c>
      <c r="P47" s="604"/>
    </row>
    <row r="48" spans="1:16" ht="12.75" customHeight="1" x14ac:dyDescent="0.25">
      <c r="A48" s="617" t="s">
        <v>129</v>
      </c>
      <c r="B48" s="329">
        <v>3106</v>
      </c>
      <c r="C48" s="330" t="s">
        <v>130</v>
      </c>
      <c r="D48" s="332"/>
      <c r="E48" s="331"/>
      <c r="F48" s="333">
        <f>SUMIF(GL!$F:$F,TB!$B48,GL!$E:$E)</f>
        <v>0</v>
      </c>
      <c r="G48" s="333">
        <f>SUMIF(GL!$G:$G,TB!$B48,GL!$E:$E)</f>
        <v>0</v>
      </c>
      <c r="H48" s="334">
        <f>Table_1[[#This Row],[Column3]]+Table_1[[#This Row],[Column7]]-Table_1[[#This Row],[Column4]]-Table_1[[#This Row],[Column8]]</f>
        <v>0</v>
      </c>
      <c r="I48" s="334">
        <f t="shared" si="0"/>
        <v>0</v>
      </c>
      <c r="J48" s="334">
        <f t="shared" si="4"/>
        <v>0</v>
      </c>
      <c r="K48" s="335"/>
      <c r="L48" s="337"/>
      <c r="M48" s="336">
        <f>Table_1[[#This Row],[Column9]]-Table_1[[#This Row],[Column10]]</f>
        <v>0</v>
      </c>
      <c r="N48" s="334">
        <f t="shared" si="2"/>
        <v>0</v>
      </c>
      <c r="O48" s="334">
        <f t="shared" si="5"/>
        <v>0</v>
      </c>
      <c r="P48" s="604"/>
    </row>
    <row r="49" spans="1:19" ht="12.75" customHeight="1" x14ac:dyDescent="0.25">
      <c r="A49" s="616" t="s">
        <v>131</v>
      </c>
      <c r="B49" s="329">
        <v>3105</v>
      </c>
      <c r="C49" s="330" t="s">
        <v>132</v>
      </c>
      <c r="D49" s="332"/>
      <c r="E49" s="331"/>
      <c r="F49" s="333">
        <f>SUMIF(GL!$F:$F,TB!$B49,GL!$E:$E)</f>
        <v>0</v>
      </c>
      <c r="G49" s="333">
        <f>SUMIF(GL!$G:$G,TB!$B49,GL!$E:$E)</f>
        <v>500000</v>
      </c>
      <c r="H49" s="334">
        <f>Table_1[[#This Row],[Column3]]+Table_1[[#This Row],[Column7]]-Table_1[[#This Row],[Column4]]-Table_1[[#This Row],[Column8]]</f>
        <v>-500000</v>
      </c>
      <c r="I49" s="334">
        <f t="shared" si="0"/>
        <v>0</v>
      </c>
      <c r="J49" s="334">
        <f t="shared" si="4"/>
        <v>500000</v>
      </c>
      <c r="K49" s="335"/>
      <c r="L49" s="337"/>
      <c r="M49" s="336">
        <f>Table_1[[#This Row],[Column9]]-Table_1[[#This Row],[Column10]]</f>
        <v>-500000</v>
      </c>
      <c r="N49" s="334">
        <f t="shared" si="2"/>
        <v>0</v>
      </c>
      <c r="O49" s="334">
        <f t="shared" si="5"/>
        <v>500000</v>
      </c>
      <c r="P49" s="604"/>
    </row>
    <row r="50" spans="1:19" ht="12.75" customHeight="1" x14ac:dyDescent="0.25">
      <c r="A50" s="616" t="s">
        <v>131</v>
      </c>
      <c r="B50" s="329">
        <v>3103</v>
      </c>
      <c r="C50" s="330" t="s">
        <v>133</v>
      </c>
      <c r="D50" s="332"/>
      <c r="E50" s="331"/>
      <c r="F50" s="333">
        <f>SUMIF(GL!$F:$F,TB!$B50,GL!$E:$E)</f>
        <v>0</v>
      </c>
      <c r="G50" s="333">
        <f>SUMIF(GL!$G:$G,TB!$B50,GL!$E:$E)</f>
        <v>0</v>
      </c>
      <c r="H50" s="334">
        <f>Table_1[[#This Row],[Column3]]+Table_1[[#This Row],[Column7]]-Table_1[[#This Row],[Column4]]-Table_1[[#This Row],[Column8]]</f>
        <v>0</v>
      </c>
      <c r="I50" s="334">
        <f t="shared" si="0"/>
        <v>0</v>
      </c>
      <c r="J50" s="334">
        <f t="shared" si="4"/>
        <v>0</v>
      </c>
      <c r="K50" s="335"/>
      <c r="L50" s="337"/>
      <c r="M50" s="336">
        <f>Table_1[[#This Row],[Column9]]-Table_1[[#This Row],[Column10]]</f>
        <v>0</v>
      </c>
      <c r="N50" s="334">
        <f t="shared" si="2"/>
        <v>0</v>
      </c>
      <c r="O50" s="334">
        <f t="shared" si="5"/>
        <v>0</v>
      </c>
      <c r="P50" s="604"/>
    </row>
    <row r="51" spans="1:19" ht="12.75" customHeight="1" x14ac:dyDescent="0.25">
      <c r="A51" s="616" t="s">
        <v>131</v>
      </c>
      <c r="B51" s="329">
        <v>3060</v>
      </c>
      <c r="C51" s="330" t="s">
        <v>134</v>
      </c>
      <c r="D51" s="332"/>
      <c r="E51" s="331"/>
      <c r="F51" s="333">
        <f>SUMIF(GL!$F:$F,TB!$B51,GL!$E:$E)</f>
        <v>0</v>
      </c>
      <c r="G51" s="333">
        <f>SUMIF(GL!$G:$G,TB!$B51,GL!$E:$E)</f>
        <v>0</v>
      </c>
      <c r="H51" s="334">
        <f>Table_1[[#This Row],[Column3]]+Table_1[[#This Row],[Column7]]-Table_1[[#This Row],[Column4]]-Table_1[[#This Row],[Column8]]</f>
        <v>0</v>
      </c>
      <c r="I51" s="334">
        <f t="shared" si="0"/>
        <v>0</v>
      </c>
      <c r="J51" s="334">
        <f t="shared" si="4"/>
        <v>0</v>
      </c>
      <c r="K51" s="335"/>
      <c r="L51" s="337"/>
      <c r="M51" s="336">
        <f>Table_1[[#This Row],[Column9]]-Table_1[[#This Row],[Column10]]</f>
        <v>0</v>
      </c>
      <c r="N51" s="334">
        <f t="shared" si="2"/>
        <v>0</v>
      </c>
      <c r="O51" s="334">
        <f>IF(M51&lt;0,-M51,0)+$K$95</f>
        <v>65000</v>
      </c>
      <c r="P51" s="604"/>
    </row>
    <row r="52" spans="1:19" ht="12.75" customHeight="1" x14ac:dyDescent="0.25">
      <c r="A52" s="616" t="s">
        <v>131</v>
      </c>
      <c r="B52" s="329">
        <v>3065</v>
      </c>
      <c r="C52" s="330" t="s">
        <v>1008</v>
      </c>
      <c r="D52" s="332"/>
      <c r="E52" s="331"/>
      <c r="F52" s="333">
        <f>SUMIF(GL!$F:$F,TB!$B52,GL!$E:$E)</f>
        <v>0</v>
      </c>
      <c r="G52" s="333">
        <f>SUMIF(GL!$G:$G,TB!$B52,GL!$E:$E)</f>
        <v>0</v>
      </c>
      <c r="H52" s="334">
        <f>Table_1[[#This Row],[Column3]]+Table_1[[#This Row],[Column7]]-Table_1[[#This Row],[Column4]]-Table_1[[#This Row],[Column8]]</f>
        <v>0</v>
      </c>
      <c r="I52" s="334">
        <f>IF(H52&gt;0,H52,0)</f>
        <v>0</v>
      </c>
      <c r="J52" s="334">
        <f>IF(H52&lt;0,-H52,0)</f>
        <v>0</v>
      </c>
      <c r="K52" s="335"/>
      <c r="L52" s="337"/>
      <c r="M52" s="336">
        <f>Table_1[[#This Row],[Column9]]-Table_1[[#This Row],[Column10]]</f>
        <v>0</v>
      </c>
      <c r="N52" s="334">
        <f t="shared" si="2"/>
        <v>0</v>
      </c>
      <c r="O52" s="334">
        <f t="shared" si="5"/>
        <v>0</v>
      </c>
      <c r="P52" s="604"/>
    </row>
    <row r="53" spans="1:19" ht="12.75" customHeight="1" x14ac:dyDescent="0.25">
      <c r="A53" s="616" t="s">
        <v>135</v>
      </c>
      <c r="B53" s="329">
        <v>3070</v>
      </c>
      <c r="C53" s="330" t="s">
        <v>136</v>
      </c>
      <c r="D53" s="332"/>
      <c r="E53" s="331"/>
      <c r="F53" s="333">
        <f>SUMIF(GL!$F:$F,TB!$B53,GL!$E:$E)</f>
        <v>0</v>
      </c>
      <c r="G53" s="333">
        <f>SUMIF(GL!$G:$G,TB!$B53,GL!$E:$E)</f>
        <v>0</v>
      </c>
      <c r="H53" s="334">
        <f>Table_1[[#This Row],[Column3]]+Table_1[[#This Row],[Column7]]-Table_1[[#This Row],[Column4]]-Table_1[[#This Row],[Column8]]</f>
        <v>0</v>
      </c>
      <c r="I53" s="334">
        <f t="shared" si="0"/>
        <v>0</v>
      </c>
      <c r="J53" s="334">
        <f t="shared" si="4"/>
        <v>0</v>
      </c>
      <c r="K53" s="335"/>
      <c r="L53" s="337"/>
      <c r="M53" s="336">
        <f>Table_1[[#This Row],[Column9]]-Table_1[[#This Row],[Column10]]</f>
        <v>0</v>
      </c>
      <c r="N53" s="334">
        <f t="shared" si="2"/>
        <v>0</v>
      </c>
      <c r="O53" s="334">
        <f t="shared" si="5"/>
        <v>0</v>
      </c>
      <c r="P53" s="604"/>
    </row>
    <row r="54" spans="1:19" ht="12.75" customHeight="1" x14ac:dyDescent="0.25">
      <c r="A54" s="616" t="s">
        <v>137</v>
      </c>
      <c r="B54" s="329">
        <v>3080</v>
      </c>
      <c r="C54" s="330" t="s">
        <v>138</v>
      </c>
      <c r="D54" s="332"/>
      <c r="E54" s="331"/>
      <c r="F54" s="333">
        <f>SUMIF(GL!$F:$F,TB!$B54,GL!$E:$E)</f>
        <v>0</v>
      </c>
      <c r="G54" s="333">
        <f>SUMIF(GL!$G:$G,TB!$B54,GL!$E:$E)</f>
        <v>0</v>
      </c>
      <c r="H54" s="334">
        <f>Table_1[[#This Row],[Column3]]+Table_1[[#This Row],[Column7]]-Table_1[[#This Row],[Column4]]-Table_1[[#This Row],[Column8]]</f>
        <v>0</v>
      </c>
      <c r="I54" s="334">
        <f t="shared" si="0"/>
        <v>0</v>
      </c>
      <c r="J54" s="334">
        <f t="shared" si="4"/>
        <v>0</v>
      </c>
      <c r="K54" s="335"/>
      <c r="L54" s="337"/>
      <c r="M54" s="336">
        <f>Table_1[[#This Row],[Column9]]-Table_1[[#This Row],[Column10]]</f>
        <v>0</v>
      </c>
      <c r="N54" s="334">
        <f t="shared" si="2"/>
        <v>0</v>
      </c>
      <c r="O54" s="334">
        <f t="shared" si="5"/>
        <v>0</v>
      </c>
      <c r="P54" s="604"/>
    </row>
    <row r="55" spans="1:19" ht="12.75" customHeight="1" x14ac:dyDescent="0.25">
      <c r="A55" s="616" t="s">
        <v>235</v>
      </c>
      <c r="B55" s="329">
        <v>3090</v>
      </c>
      <c r="C55" s="330" t="s">
        <v>236</v>
      </c>
      <c r="D55" s="332"/>
      <c r="E55" s="331"/>
      <c r="F55" s="333">
        <f>SUMIF(GL!$F:$F,TB!$B55,GL!$E:$E)</f>
        <v>0</v>
      </c>
      <c r="G55" s="333">
        <f>SUMIF(GL!$G:$G,TB!$B55,GL!$E:$E)</f>
        <v>0</v>
      </c>
      <c r="H55" s="334">
        <f>Table_1[[#This Row],[Column3]]+Table_1[[#This Row],[Column7]]-Table_1[[#This Row],[Column4]]-Table_1[[#This Row],[Column8]]</f>
        <v>0</v>
      </c>
      <c r="I55" s="334">
        <f>IF(H55&gt;0,H55,0)</f>
        <v>0</v>
      </c>
      <c r="J55" s="334">
        <f>IF(H55&lt;0,-H55,0)</f>
        <v>0</v>
      </c>
      <c r="K55" s="335"/>
      <c r="L55" s="337"/>
      <c r="M55" s="336">
        <f>Table_1[[#This Row],[Column9]]-Table_1[[#This Row],[Column10]]</f>
        <v>0</v>
      </c>
      <c r="N55" s="334">
        <f>IF(M55&gt;0,M55,0)</f>
        <v>0</v>
      </c>
      <c r="O55" s="334">
        <f>IF(M55&lt;0,-M55,0)</f>
        <v>0</v>
      </c>
      <c r="P55" s="604"/>
    </row>
    <row r="56" spans="1:19" ht="12.75" customHeight="1" x14ac:dyDescent="0.25">
      <c r="A56" s="616" t="s">
        <v>139</v>
      </c>
      <c r="B56" s="329">
        <v>3400</v>
      </c>
      <c r="C56" s="330" t="s">
        <v>140</v>
      </c>
      <c r="D56" s="332"/>
      <c r="E56" s="331"/>
      <c r="F56" s="333">
        <f>SUMIF(GL!$F:$F,TB!$B56,GL!$E:$E)</f>
        <v>0</v>
      </c>
      <c r="G56" s="333">
        <f>SUMIF(GL!$G:$G,TB!$B56,GL!$E:$E)</f>
        <v>0</v>
      </c>
      <c r="H56" s="334">
        <f>Table_1[[#This Row],[Column3]]+Table_1[[#This Row],[Column7]]-Table_1[[#This Row],[Column4]]-Table_1[[#This Row],[Column8]]</f>
        <v>0</v>
      </c>
      <c r="I56" s="334">
        <f t="shared" si="0"/>
        <v>0</v>
      </c>
      <c r="J56" s="334">
        <f t="shared" si="4"/>
        <v>0</v>
      </c>
      <c r="K56" s="335"/>
      <c r="L56" s="337"/>
      <c r="M56" s="336">
        <f>Table_1[[#This Row],[Column9]]-Table_1[[#This Row],[Column10]]</f>
        <v>0</v>
      </c>
      <c r="N56" s="334">
        <f t="shared" si="2"/>
        <v>0</v>
      </c>
      <c r="O56" s="334">
        <f t="shared" si="5"/>
        <v>0</v>
      </c>
      <c r="P56" s="604"/>
    </row>
    <row r="57" spans="1:19" ht="12.75" customHeight="1" x14ac:dyDescent="0.25">
      <c r="A57" s="616" t="s">
        <v>141</v>
      </c>
      <c r="B57" s="329">
        <v>3500</v>
      </c>
      <c r="C57" s="330" t="s">
        <v>142</v>
      </c>
      <c r="D57" s="332"/>
      <c r="E57" s="331"/>
      <c r="F57" s="333">
        <f>SUMIF(GL!$F:$F,TB!$B57,GL!$E:$E)</f>
        <v>0</v>
      </c>
      <c r="G57" s="333">
        <f>SUMIF(GL!$G:$G,TB!$B57,GL!$E:$E)</f>
        <v>0</v>
      </c>
      <c r="H57" s="334">
        <f>Table_1[[#This Row],[Column3]]+Table_1[[#This Row],[Column7]]-Table_1[[#This Row],[Column4]]-Table_1[[#This Row],[Column8]]</f>
        <v>0</v>
      </c>
      <c r="I57" s="334">
        <f t="shared" si="0"/>
        <v>0</v>
      </c>
      <c r="J57" s="334">
        <f t="shared" si="4"/>
        <v>0</v>
      </c>
      <c r="K57" s="335"/>
      <c r="L57" s="337"/>
      <c r="M57" s="336">
        <f>Table_1[[#This Row],[Column9]]-Table_1[[#This Row],[Column10]]</f>
        <v>0</v>
      </c>
      <c r="N57" s="334">
        <f t="shared" si="2"/>
        <v>0</v>
      </c>
      <c r="O57" s="339">
        <f t="shared" si="3"/>
        <v>0</v>
      </c>
      <c r="P57" s="604"/>
    </row>
    <row r="58" spans="1:19" ht="12.75" customHeight="1" x14ac:dyDescent="0.25">
      <c r="A58" s="616" t="s">
        <v>143</v>
      </c>
      <c r="B58" s="329">
        <v>4000</v>
      </c>
      <c r="C58" s="330" t="s">
        <v>144</v>
      </c>
      <c r="D58" s="332"/>
      <c r="E58" s="331">
        <v>1000000</v>
      </c>
      <c r="F58" s="333">
        <f>SUMIF(GL!$F:$F,TB!$B58,GL!$E:$E)</f>
        <v>0</v>
      </c>
      <c r="G58" s="333">
        <f>SUMIF(GL!$G:$G,TB!$B58,GL!$E:$E)</f>
        <v>0</v>
      </c>
      <c r="H58" s="334">
        <f>Table_1[[#This Row],[Column3]]+Table_1[[#This Row],[Column7]]-Table_1[[#This Row],[Column4]]-Table_1[[#This Row],[Column8]]</f>
        <v>-1000000</v>
      </c>
      <c r="I58" s="334">
        <f t="shared" si="0"/>
        <v>0</v>
      </c>
      <c r="J58" s="334">
        <f t="shared" si="4"/>
        <v>1000000</v>
      </c>
      <c r="K58" s="335"/>
      <c r="L58" s="337"/>
      <c r="M58" s="336">
        <f>Table_1[[#This Row],[Column9]]-Table_1[[#This Row],[Column10]]</f>
        <v>-1000000</v>
      </c>
      <c r="N58" s="334">
        <f t="shared" si="2"/>
        <v>0</v>
      </c>
      <c r="O58" s="339">
        <f t="shared" si="3"/>
        <v>1000000</v>
      </c>
      <c r="P58" s="604"/>
    </row>
    <row r="59" spans="1:19" ht="12.75" customHeight="1" x14ac:dyDescent="0.25">
      <c r="A59" s="616" t="s">
        <v>262</v>
      </c>
      <c r="B59" s="329">
        <v>4100</v>
      </c>
      <c r="C59" s="330" t="s">
        <v>263</v>
      </c>
      <c r="D59" s="332"/>
      <c r="E59" s="331"/>
      <c r="F59" s="333">
        <f>SUMIF(GL!$F:$F,TB!$B59,GL!$E:$E)</f>
        <v>0</v>
      </c>
      <c r="G59" s="333">
        <f>SUMIF(GL!$G:$G,TB!$B59,GL!$E:$E)</f>
        <v>0</v>
      </c>
      <c r="H59" s="334">
        <f>Table_1[[#This Row],[Column3]]+Table_1[[#This Row],[Column7]]-Table_1[[#This Row],[Column4]]-Table_1[[#This Row],[Column8]]</f>
        <v>0</v>
      </c>
      <c r="I59" s="334">
        <f>IF(H59&gt;0,H59,0)</f>
        <v>0</v>
      </c>
      <c r="J59" s="334">
        <f>IF(H59&lt;0,-H59,0)</f>
        <v>0</v>
      </c>
      <c r="K59" s="335"/>
      <c r="L59" s="337"/>
      <c r="M59" s="336">
        <f>Table_1[[#This Row],[Column9]]-Table_1[[#This Row],[Column10]]</f>
        <v>0</v>
      </c>
      <c r="N59" s="334">
        <f t="shared" si="2"/>
        <v>0</v>
      </c>
      <c r="O59" s="339">
        <f t="shared" si="3"/>
        <v>0</v>
      </c>
      <c r="P59" s="604"/>
    </row>
    <row r="60" spans="1:19" ht="12.75" customHeight="1" x14ac:dyDescent="0.25">
      <c r="A60" s="616" t="s">
        <v>145</v>
      </c>
      <c r="B60" s="329">
        <v>4200</v>
      </c>
      <c r="C60" s="330" t="s">
        <v>146</v>
      </c>
      <c r="D60" s="332"/>
      <c r="E60" s="331"/>
      <c r="F60" s="333">
        <f>SUMIF(GL!$F:$F,TB!$B60,GL!$E:$E)</f>
        <v>0</v>
      </c>
      <c r="G60" s="333">
        <f>SUMIF(GL!$G:$G,TB!$B60,GL!$E:$E)</f>
        <v>0</v>
      </c>
      <c r="H60" s="334">
        <f>Table_1[[#This Row],[Column3]]+Table_1[[#This Row],[Column7]]-Table_1[[#This Row],[Column4]]-Table_1[[#This Row],[Column8]]</f>
        <v>0</v>
      </c>
      <c r="I60" s="334">
        <f t="shared" si="0"/>
        <v>0</v>
      </c>
      <c r="J60" s="334">
        <f t="shared" si="4"/>
        <v>0</v>
      </c>
      <c r="K60" s="335"/>
      <c r="L60" s="337"/>
      <c r="M60" s="336">
        <f>Table_1[[#This Row],[Column9]]-Table_1[[#This Row],[Column10]]</f>
        <v>0</v>
      </c>
      <c r="N60" s="334">
        <f t="shared" si="2"/>
        <v>0</v>
      </c>
      <c r="O60" s="339">
        <f t="shared" si="3"/>
        <v>0</v>
      </c>
      <c r="P60" s="604" t="s">
        <v>147</v>
      </c>
    </row>
    <row r="61" spans="1:19" ht="12.75" customHeight="1" x14ac:dyDescent="0.25">
      <c r="A61" s="616" t="s">
        <v>148</v>
      </c>
      <c r="B61" s="329">
        <v>4300</v>
      </c>
      <c r="C61" s="330" t="s">
        <v>149</v>
      </c>
      <c r="D61" s="331"/>
      <c r="E61" s="331">
        <v>2850000</v>
      </c>
      <c r="F61" s="333">
        <f>SUMIF(GL!$F:$F,TB!$B61,GL!$E:$E)</f>
        <v>0</v>
      </c>
      <c r="G61" s="333">
        <f>SUMIF(GL!$G:$G,TB!$B61,GL!$E:$E)</f>
        <v>0</v>
      </c>
      <c r="H61" s="334">
        <f>Table_1[[#This Row],[Column3]]+Table_1[[#This Row],[Column7]]-Table_1[[#This Row],[Column4]]-Table_1[[#This Row],[Column8]]</f>
        <v>-2850000</v>
      </c>
      <c r="I61" s="334">
        <f t="shared" si="0"/>
        <v>0</v>
      </c>
      <c r="J61" s="334">
        <f t="shared" si="4"/>
        <v>2850000</v>
      </c>
      <c r="K61" s="335"/>
      <c r="L61" s="337"/>
      <c r="M61" s="336">
        <f>Table_1[[#This Row],[Column9]]-Table_1[[#This Row],[Column10]]</f>
        <v>-2850000</v>
      </c>
      <c r="N61" s="334"/>
      <c r="O61" s="339">
        <f>Table_1[[#This Row],[Column10]]-Table_1[[#This Row],[Column9]]+$K96</f>
        <v>9345000</v>
      </c>
      <c r="P61" s="618" t="s">
        <v>150</v>
      </c>
      <c r="Q61" s="449" t="s">
        <v>151</v>
      </c>
      <c r="R61" s="449" t="s">
        <v>152</v>
      </c>
      <c r="S61" s="619" t="s">
        <v>153</v>
      </c>
    </row>
    <row r="62" spans="1:19" s="623" customFormat="1" ht="12.75" customHeight="1" x14ac:dyDescent="0.25">
      <c r="A62" s="620"/>
      <c r="B62" s="341">
        <v>5000</v>
      </c>
      <c r="C62" s="342" t="s">
        <v>154</v>
      </c>
      <c r="D62" s="344"/>
      <c r="E62" s="344"/>
      <c r="F62" s="343">
        <f>SUMIF(GL!$F:$F,TB!$B62,GL!$E:$E)</f>
        <v>0</v>
      </c>
      <c r="G62" s="343">
        <f>SUMIF(GL!$G:$G,TB!$B62,GL!$E:$E)</f>
        <v>5000000</v>
      </c>
      <c r="H62" s="334">
        <f>Table_1[[#This Row],[Column3]]+Table_1[[#This Row],[Column7]]-Table_1[[#This Row],[Column4]]-Table_1[[#This Row],[Column8]]</f>
        <v>-5000000</v>
      </c>
      <c r="I62" s="345">
        <f>IF(H62&gt;0,H62,0)</f>
        <v>0</v>
      </c>
      <c r="J62" s="345">
        <f>IF(H62&lt;0,-H62,0)</f>
        <v>5000000</v>
      </c>
      <c r="K62" s="346"/>
      <c r="L62" s="347">
        <f>TB!$J62</f>
        <v>5000000</v>
      </c>
      <c r="M62" s="346"/>
      <c r="N62" s="348"/>
      <c r="O62" s="349"/>
      <c r="P62" s="621">
        <v>1</v>
      </c>
      <c r="Q62" s="622"/>
      <c r="R62" s="622">
        <v>7</v>
      </c>
    </row>
    <row r="63" spans="1:19" ht="12.75" customHeight="1" x14ac:dyDescent="0.25">
      <c r="A63" s="604"/>
      <c r="B63" s="329">
        <v>5100</v>
      </c>
      <c r="C63" s="330" t="s">
        <v>155</v>
      </c>
      <c r="D63" s="331"/>
      <c r="E63" s="331"/>
      <c r="F63" s="333">
        <f>SUMIF(GL!$F:$F,TB!$B63,GL!$E:$E)</f>
        <v>0</v>
      </c>
      <c r="G63" s="333">
        <f>SUMIF(GL!$G:$G,TB!$B63,GL!$E:$E)</f>
        <v>1500000</v>
      </c>
      <c r="H63" s="334">
        <f>Table_1[[#This Row],[Column3]]+Table_1[[#This Row],[Column7]]-Table_1[[#This Row],[Column4]]-Table_1[[#This Row],[Column8]]</f>
        <v>-1500000</v>
      </c>
      <c r="I63" s="334">
        <f t="shared" si="0"/>
        <v>0</v>
      </c>
      <c r="J63" s="334">
        <f t="shared" si="4"/>
        <v>1500000</v>
      </c>
      <c r="K63" s="335"/>
      <c r="L63" s="333">
        <f>TB!$J63</f>
        <v>1500000</v>
      </c>
      <c r="M63" s="333"/>
      <c r="N63" s="333"/>
      <c r="O63" s="350"/>
      <c r="P63" s="618">
        <v>4</v>
      </c>
      <c r="Q63" s="449"/>
      <c r="R63" s="449">
        <v>15</v>
      </c>
    </row>
    <row r="64" spans="1:19" ht="12.75" customHeight="1" x14ac:dyDescent="0.25">
      <c r="A64" s="604"/>
      <c r="B64" s="329">
        <v>5200</v>
      </c>
      <c r="C64" s="330" t="s">
        <v>1013</v>
      </c>
      <c r="D64" s="331"/>
      <c r="E64" s="331"/>
      <c r="F64" s="333">
        <f>SUMIF(GL!$F:$F,TB!$B64,GL!$E:$E)</f>
        <v>0</v>
      </c>
      <c r="G64" s="333">
        <f>SUMIF(GL!$G:$G,TB!$B64,GL!$E:$E)</f>
        <v>60000</v>
      </c>
      <c r="H64" s="334">
        <f>Table_1[[#This Row],[Column3]]+Table_1[[#This Row],[Column7]]-Table_1[[#This Row],[Column4]]-Table_1[[#This Row],[Column8]]</f>
        <v>-60000</v>
      </c>
      <c r="I64" s="334">
        <f t="shared" si="0"/>
        <v>0</v>
      </c>
      <c r="J64" s="334">
        <f t="shared" si="4"/>
        <v>60000</v>
      </c>
      <c r="K64" s="335"/>
      <c r="L64" s="333">
        <f>TB!$J64</f>
        <v>60000</v>
      </c>
      <c r="M64" s="333"/>
      <c r="N64" s="333"/>
      <c r="O64" s="350"/>
      <c r="P64" s="618">
        <v>5</v>
      </c>
      <c r="Q64" s="449"/>
      <c r="R64" s="449">
        <v>42</v>
      </c>
    </row>
    <row r="65" spans="1:19" ht="12.75" customHeight="1" x14ac:dyDescent="0.25">
      <c r="A65" s="604"/>
      <c r="B65" s="329">
        <v>5500</v>
      </c>
      <c r="C65" s="330" t="s">
        <v>157</v>
      </c>
      <c r="D65" s="331"/>
      <c r="E65" s="331"/>
      <c r="F65" s="333">
        <f>SUMIF(GL!$F:$F,TB!$B65,GL!$E:$E)</f>
        <v>0</v>
      </c>
      <c r="G65" s="333">
        <f>SUMIF(GL!$G:$G,TB!$B65,GL!$E:$E)</f>
        <v>0</v>
      </c>
      <c r="H65" s="334">
        <f>Table_1[[#This Row],[Column3]]+Table_1[[#This Row],[Column7]]-Table_1[[#This Row],[Column4]]-Table_1[[#This Row],[Column8]]</f>
        <v>0</v>
      </c>
      <c r="I65" s="334">
        <f t="shared" si="0"/>
        <v>0</v>
      </c>
      <c r="J65" s="334">
        <f t="shared" si="4"/>
        <v>0</v>
      </c>
      <c r="K65" s="335"/>
      <c r="L65" s="333">
        <f>TB!$J65</f>
        <v>0</v>
      </c>
      <c r="M65" s="333"/>
      <c r="N65" s="333"/>
      <c r="O65" s="350"/>
      <c r="P65" s="618">
        <v>8</v>
      </c>
      <c r="Q65" s="449"/>
      <c r="R65" s="449">
        <v>17</v>
      </c>
    </row>
    <row r="66" spans="1:19" ht="12.75" customHeight="1" x14ac:dyDescent="0.25">
      <c r="A66" s="604"/>
      <c r="B66" s="329">
        <v>6000</v>
      </c>
      <c r="C66" s="330" t="s">
        <v>158</v>
      </c>
      <c r="D66" s="331"/>
      <c r="E66" s="331"/>
      <c r="F66" s="333">
        <f>SUMIF(GL!$F:$F,TB!$B66,GL!$E:$E)</f>
        <v>0</v>
      </c>
      <c r="G66" s="333">
        <f>SUMIF(GL!$G:$G,TB!$B66,GL!$E:$E)</f>
        <v>0</v>
      </c>
      <c r="H66" s="334">
        <f>Table_1[[#This Row],[Column3]]+Table_1[[#This Row],[Column7]]-Table_1[[#This Row],[Column4]]-Table_1[[#This Row],[Column8]]</f>
        <v>0</v>
      </c>
      <c r="I66" s="334">
        <f>IF(H66&gt;0,H66,0)</f>
        <v>0</v>
      </c>
      <c r="J66" s="334">
        <f t="shared" si="4"/>
        <v>0</v>
      </c>
      <c r="K66" s="335">
        <f>TB!$I66</f>
        <v>0</v>
      </c>
      <c r="L66" s="333">
        <f>TB!$J66</f>
        <v>0</v>
      </c>
      <c r="M66" s="333"/>
      <c r="N66" s="333"/>
      <c r="O66" s="350"/>
      <c r="P66" s="618">
        <v>2</v>
      </c>
      <c r="Q66" s="449"/>
      <c r="R66" s="449"/>
    </row>
    <row r="67" spans="1:19" ht="12.75" customHeight="1" x14ac:dyDescent="0.25">
      <c r="A67" s="604"/>
      <c r="B67" s="329">
        <v>5300</v>
      </c>
      <c r="C67" s="330" t="s">
        <v>159</v>
      </c>
      <c r="D67" s="331"/>
      <c r="E67" s="331"/>
      <c r="F67" s="333">
        <f>SUMIF(GL!$F:$F,TB!$B67,GL!$E:$E)</f>
        <v>0</v>
      </c>
      <c r="G67" s="333">
        <f>SUMIF(GL!$G:$G,TB!$B67,GL!$E:$E)</f>
        <v>0</v>
      </c>
      <c r="H67" s="334">
        <f>Table_1[[#This Row],[Column3]]+Table_1[[#This Row],[Column7]]-Table_1[[#This Row],[Column4]]-Table_1[[#This Row],[Column8]]</f>
        <v>0</v>
      </c>
      <c r="I67" s="334">
        <f t="shared" si="0"/>
        <v>0</v>
      </c>
      <c r="J67" s="334">
        <f t="shared" si="4"/>
        <v>0</v>
      </c>
      <c r="K67" s="335">
        <f>TB!$I67</f>
        <v>0</v>
      </c>
      <c r="L67" s="333">
        <f>TB!$J67</f>
        <v>0</v>
      </c>
      <c r="M67" s="333"/>
      <c r="N67" s="333"/>
      <c r="O67" s="333"/>
      <c r="P67" s="618">
        <v>13</v>
      </c>
      <c r="Q67" s="449"/>
      <c r="R67" s="449"/>
      <c r="S67" s="356">
        <v>16</v>
      </c>
    </row>
    <row r="68" spans="1:19" ht="12.75" customHeight="1" x14ac:dyDescent="0.25">
      <c r="A68" s="604"/>
      <c r="B68" s="329">
        <v>7000</v>
      </c>
      <c r="C68" s="330" t="s">
        <v>160</v>
      </c>
      <c r="D68" s="331"/>
      <c r="E68" s="331"/>
      <c r="F68" s="333">
        <f>SUMIF(GL!$F:$F,TB!$B68,GL!$E:$E)</f>
        <v>0</v>
      </c>
      <c r="G68" s="333">
        <f>SUMIF(GL!$G:$G,TB!$B68,GL!$E:$E)</f>
        <v>0</v>
      </c>
      <c r="H68" s="334">
        <f>Table_1[[#This Row],[Column3]]+Table_1[[#This Row],[Column7]]-Table_1[[#This Row],[Column4]]-Table_1[[#This Row],[Column8]]</f>
        <v>0</v>
      </c>
      <c r="I68" s="334">
        <f t="shared" si="0"/>
        <v>0</v>
      </c>
      <c r="J68" s="334">
        <f t="shared" si="4"/>
        <v>0</v>
      </c>
      <c r="K68" s="335">
        <f>TB!$I68</f>
        <v>0</v>
      </c>
      <c r="L68" s="333">
        <f>TB!$J68</f>
        <v>0</v>
      </c>
      <c r="M68" s="333"/>
      <c r="N68" s="333"/>
      <c r="O68" s="350"/>
      <c r="P68" s="618">
        <v>10</v>
      </c>
      <c r="Q68" s="449">
        <v>2</v>
      </c>
      <c r="R68" s="449"/>
    </row>
    <row r="69" spans="1:19" ht="12.75" customHeight="1" x14ac:dyDescent="0.25">
      <c r="A69" s="604"/>
      <c r="B69" s="329">
        <v>7001</v>
      </c>
      <c r="C69" s="330" t="s">
        <v>161</v>
      </c>
      <c r="D69" s="331"/>
      <c r="E69" s="331"/>
      <c r="F69" s="333">
        <f>SUMIF(GL!$F:$F,TB!$B69,GL!$E:$E)</f>
        <v>0</v>
      </c>
      <c r="G69" s="333">
        <f>SUMIF(GL!$G:$G,TB!$B69,GL!$E:$E)</f>
        <v>0</v>
      </c>
      <c r="H69" s="334">
        <f>Table_1[[#This Row],[Column3]]+Table_1[[#This Row],[Column7]]-Table_1[[#This Row],[Column4]]-Table_1[[#This Row],[Column8]]</f>
        <v>0</v>
      </c>
      <c r="I69" s="334">
        <f t="shared" si="0"/>
        <v>0</v>
      </c>
      <c r="J69" s="334">
        <f t="shared" si="4"/>
        <v>0</v>
      </c>
      <c r="K69" s="335">
        <f>TB!$I69</f>
        <v>0</v>
      </c>
      <c r="L69" s="333">
        <f>TB!$J69</f>
        <v>0</v>
      </c>
      <c r="M69" s="333"/>
      <c r="N69" s="333"/>
      <c r="O69" s="350"/>
      <c r="P69" s="618">
        <v>10</v>
      </c>
      <c r="Q69" s="449">
        <v>3</v>
      </c>
      <c r="R69" s="449"/>
    </row>
    <row r="70" spans="1:19" ht="12.75" customHeight="1" x14ac:dyDescent="0.25">
      <c r="A70" s="604"/>
      <c r="B70" s="329">
        <v>7002</v>
      </c>
      <c r="C70" s="330" t="s">
        <v>162</v>
      </c>
      <c r="D70" s="331"/>
      <c r="E70" s="331"/>
      <c r="F70" s="333">
        <f>SUMIF(GL!$F:$F,TB!$B70,GL!$E:$E)</f>
        <v>0</v>
      </c>
      <c r="G70" s="333">
        <f>SUMIF(GL!$G:$G,TB!$B70,GL!$E:$E)</f>
        <v>0</v>
      </c>
      <c r="H70" s="334">
        <f>Table_1[[#This Row],[Column3]]+Table_1[[#This Row],[Column7]]-Table_1[[#This Row],[Column4]]-Table_1[[#This Row],[Column8]]</f>
        <v>0</v>
      </c>
      <c r="I70" s="334">
        <f t="shared" si="0"/>
        <v>0</v>
      </c>
      <c r="J70" s="334">
        <f t="shared" si="4"/>
        <v>0</v>
      </c>
      <c r="K70" s="335">
        <f>TB!$I70</f>
        <v>0</v>
      </c>
      <c r="L70" s="333">
        <f>TB!$J70</f>
        <v>0</v>
      </c>
      <c r="M70" s="333"/>
      <c r="N70" s="333"/>
      <c r="O70" s="350"/>
      <c r="P70" s="618">
        <v>10</v>
      </c>
      <c r="Q70" s="449">
        <v>2</v>
      </c>
      <c r="R70" s="449"/>
    </row>
    <row r="71" spans="1:19" ht="12.75" customHeight="1" x14ac:dyDescent="0.25">
      <c r="A71" s="604"/>
      <c r="B71" s="329">
        <v>7004</v>
      </c>
      <c r="C71" s="330" t="s">
        <v>163</v>
      </c>
      <c r="D71" s="331"/>
      <c r="E71" s="331"/>
      <c r="F71" s="333">
        <f>SUMIF(GL!$F:$F,TB!$B71,GL!$E:$E)</f>
        <v>0</v>
      </c>
      <c r="G71" s="333">
        <f>SUMIF(GL!$G:$G,TB!$B71,GL!$E:$E)</f>
        <v>0</v>
      </c>
      <c r="H71" s="334">
        <f>Table_1[[#This Row],[Column3]]+Table_1[[#This Row],[Column7]]-Table_1[[#This Row],[Column4]]-Table_1[[#This Row],[Column8]]</f>
        <v>0</v>
      </c>
      <c r="I71" s="334">
        <f t="shared" si="0"/>
        <v>0</v>
      </c>
      <c r="J71" s="334">
        <f t="shared" si="4"/>
        <v>0</v>
      </c>
      <c r="K71" s="335">
        <f>TB!$I71</f>
        <v>0</v>
      </c>
      <c r="L71" s="333">
        <f>TB!$J71</f>
        <v>0</v>
      </c>
      <c r="M71" s="333"/>
      <c r="N71" s="333"/>
      <c r="O71" s="350"/>
      <c r="P71" s="618">
        <v>10</v>
      </c>
      <c r="Q71" s="449">
        <v>10</v>
      </c>
      <c r="R71" s="449"/>
    </row>
    <row r="72" spans="1:19" ht="12.75" customHeight="1" x14ac:dyDescent="0.25">
      <c r="A72" s="604"/>
      <c r="B72" s="329">
        <v>7003</v>
      </c>
      <c r="C72" s="330" t="s">
        <v>164</v>
      </c>
      <c r="D72" s="331"/>
      <c r="E72" s="331"/>
      <c r="F72" s="333">
        <f>SUMIF(GL!$F:$F,TB!$B72,GL!$E:$E)</f>
        <v>0</v>
      </c>
      <c r="G72" s="333">
        <f>SUMIF(GL!$G:$G,TB!$B72,GL!$E:$E)</f>
        <v>0</v>
      </c>
      <c r="H72" s="334">
        <f>Table_1[[#This Row],[Column3]]+Table_1[[#This Row],[Column7]]-Table_1[[#This Row],[Column4]]-Table_1[[#This Row],[Column8]]</f>
        <v>0</v>
      </c>
      <c r="I72" s="334">
        <f t="shared" si="0"/>
        <v>0</v>
      </c>
      <c r="J72" s="334">
        <f t="shared" si="4"/>
        <v>0</v>
      </c>
      <c r="K72" s="335">
        <f>TB!$I72</f>
        <v>0</v>
      </c>
      <c r="L72" s="333">
        <f>TB!$J72</f>
        <v>0</v>
      </c>
      <c r="M72" s="333"/>
      <c r="N72" s="333"/>
      <c r="O72" s="350"/>
      <c r="P72" s="618">
        <v>10</v>
      </c>
      <c r="Q72" s="449">
        <v>1</v>
      </c>
      <c r="R72" s="449"/>
    </row>
    <row r="73" spans="1:19" ht="12.75" customHeight="1" x14ac:dyDescent="0.25">
      <c r="A73" s="604"/>
      <c r="B73" s="329">
        <v>7005</v>
      </c>
      <c r="C73" s="330" t="s">
        <v>165</v>
      </c>
      <c r="D73" s="331"/>
      <c r="E73" s="331"/>
      <c r="F73" s="333">
        <f>SUMIF(GL!$F:$F,TB!$B73,GL!$E:$E)</f>
        <v>0</v>
      </c>
      <c r="G73" s="333">
        <f>SUMIF(GL!$G:$G,TB!$B73,GL!$E:$E)</f>
        <v>0</v>
      </c>
      <c r="H73" s="334">
        <f>Table_1[[#This Row],[Column3]]+Table_1[[#This Row],[Column7]]-Table_1[[#This Row],[Column4]]-Table_1[[#This Row],[Column8]]</f>
        <v>0</v>
      </c>
      <c r="I73" s="334">
        <f t="shared" si="0"/>
        <v>0</v>
      </c>
      <c r="J73" s="334">
        <f t="shared" si="4"/>
        <v>0</v>
      </c>
      <c r="K73" s="335">
        <f>TB!$I73</f>
        <v>0</v>
      </c>
      <c r="L73" s="333">
        <f>TB!$J73</f>
        <v>0</v>
      </c>
      <c r="M73" s="333"/>
      <c r="N73" s="333"/>
      <c r="O73" s="350"/>
      <c r="P73" s="618">
        <v>10</v>
      </c>
      <c r="Q73" s="449">
        <v>1</v>
      </c>
      <c r="R73" s="449"/>
    </row>
    <row r="74" spans="1:19" ht="12.75" customHeight="1" x14ac:dyDescent="0.25">
      <c r="A74" s="604"/>
      <c r="B74" s="329">
        <v>7006</v>
      </c>
      <c r="C74" s="330" t="s">
        <v>166</v>
      </c>
      <c r="D74" s="331"/>
      <c r="E74" s="331"/>
      <c r="F74" s="333">
        <f>SUMIF(GL!$F:$F,TB!$B74,GL!$E:$E)</f>
        <v>0</v>
      </c>
      <c r="G74" s="333">
        <f>SUMIF(GL!$G:$G,TB!$B74,GL!$E:$E)</f>
        <v>0</v>
      </c>
      <c r="H74" s="334">
        <f>Table_1[[#This Row],[Column3]]+Table_1[[#This Row],[Column7]]-Table_1[[#This Row],[Column4]]-Table_1[[#This Row],[Column8]]</f>
        <v>0</v>
      </c>
      <c r="I74" s="334">
        <f t="shared" ref="I74:I97" si="6">IF(H74&gt;0,H74,0)</f>
        <v>0</v>
      </c>
      <c r="J74" s="334">
        <f t="shared" si="4"/>
        <v>0</v>
      </c>
      <c r="K74" s="335">
        <f>TB!$I74</f>
        <v>0</v>
      </c>
      <c r="L74" s="333">
        <f>TB!$J74</f>
        <v>0</v>
      </c>
      <c r="M74" s="333"/>
      <c r="N74" s="333"/>
      <c r="O74" s="350"/>
      <c r="P74" s="618">
        <v>10</v>
      </c>
      <c r="Q74" s="449">
        <v>21</v>
      </c>
      <c r="R74" s="449"/>
    </row>
    <row r="75" spans="1:19" ht="12.75" customHeight="1" x14ac:dyDescent="0.25">
      <c r="A75" s="604"/>
      <c r="B75" s="329">
        <v>7007</v>
      </c>
      <c r="C75" s="330" t="s">
        <v>167</v>
      </c>
      <c r="D75" s="331"/>
      <c r="E75" s="331"/>
      <c r="F75" s="333">
        <f>SUMIF(GL!$F:$F,TB!$B75,GL!$E:$E)</f>
        <v>0</v>
      </c>
      <c r="G75" s="333">
        <f>SUMIF(GL!$G:$G,TB!$B75,GL!$E:$E)</f>
        <v>0</v>
      </c>
      <c r="H75" s="334">
        <f>Table_1[[#This Row],[Column3]]+Table_1[[#This Row],[Column7]]-Table_1[[#This Row],[Column4]]-Table_1[[#This Row],[Column8]]</f>
        <v>0</v>
      </c>
      <c r="I75" s="334">
        <f t="shared" si="6"/>
        <v>0</v>
      </c>
      <c r="J75" s="334">
        <f t="shared" si="4"/>
        <v>0</v>
      </c>
      <c r="K75" s="335">
        <f>TB!$I75</f>
        <v>0</v>
      </c>
      <c r="L75" s="333">
        <f>TB!$J75</f>
        <v>0</v>
      </c>
      <c r="M75" s="333"/>
      <c r="N75" s="333"/>
      <c r="O75" s="350"/>
      <c r="P75" s="618">
        <v>10</v>
      </c>
      <c r="Q75" s="449">
        <v>6</v>
      </c>
      <c r="R75" s="449"/>
    </row>
    <row r="76" spans="1:19" ht="12.75" customHeight="1" x14ac:dyDescent="0.25">
      <c r="A76" s="604"/>
      <c r="B76" s="329">
        <v>7008</v>
      </c>
      <c r="C76" s="330" t="s">
        <v>168</v>
      </c>
      <c r="D76" s="331"/>
      <c r="E76" s="331"/>
      <c r="F76" s="333">
        <f>SUMIF(GL!$F:$F,TB!$B76,GL!$E:$E)</f>
        <v>0</v>
      </c>
      <c r="G76" s="333">
        <f>SUMIF(GL!$G:$G,TB!$B76,GL!$E:$E)</f>
        <v>0</v>
      </c>
      <c r="H76" s="334">
        <f>Table_1[[#This Row],[Column3]]+Table_1[[#This Row],[Column7]]-Table_1[[#This Row],[Column4]]-Table_1[[#This Row],[Column8]]</f>
        <v>0</v>
      </c>
      <c r="I76" s="334">
        <f t="shared" si="6"/>
        <v>0</v>
      </c>
      <c r="J76" s="334">
        <f t="shared" si="4"/>
        <v>0</v>
      </c>
      <c r="K76" s="335">
        <f>TB!$I76</f>
        <v>0</v>
      </c>
      <c r="L76" s="333">
        <f>TB!$J76</f>
        <v>0</v>
      </c>
      <c r="M76" s="333"/>
      <c r="N76" s="333"/>
      <c r="O76" s="350"/>
      <c r="P76" s="618">
        <v>10</v>
      </c>
      <c r="Q76" s="449">
        <v>24</v>
      </c>
      <c r="R76" s="449"/>
    </row>
    <row r="77" spans="1:19" ht="12.75" customHeight="1" x14ac:dyDescent="0.25">
      <c r="A77" s="604"/>
      <c r="B77" s="329">
        <v>7009</v>
      </c>
      <c r="C77" s="330" t="s">
        <v>169</v>
      </c>
      <c r="D77" s="331"/>
      <c r="E77" s="331"/>
      <c r="F77" s="333">
        <f>SUMIF(GL!$F:$F,TB!$B77,GL!$E:$E)</f>
        <v>0</v>
      </c>
      <c r="G77" s="333">
        <f>SUMIF(GL!$G:$G,TB!$B77,GL!$E:$E)</f>
        <v>0</v>
      </c>
      <c r="H77" s="334">
        <f>Table_1[[#This Row],[Column3]]+Table_1[[#This Row],[Column7]]-Table_1[[#This Row],[Column4]]-Table_1[[#This Row],[Column8]]</f>
        <v>0</v>
      </c>
      <c r="I77" s="334">
        <f t="shared" si="6"/>
        <v>0</v>
      </c>
      <c r="J77" s="334">
        <f t="shared" si="4"/>
        <v>0</v>
      </c>
      <c r="K77" s="335">
        <f>TB!$I77</f>
        <v>0</v>
      </c>
      <c r="L77" s="333">
        <f>TB!$J77</f>
        <v>0</v>
      </c>
      <c r="M77" s="333"/>
      <c r="N77" s="333"/>
      <c r="O77" s="350"/>
      <c r="P77" s="618">
        <v>10</v>
      </c>
      <c r="Q77" s="449">
        <v>1</v>
      </c>
      <c r="R77" s="449"/>
    </row>
    <row r="78" spans="1:19" ht="12.75" customHeight="1" x14ac:dyDescent="0.25">
      <c r="A78" s="604"/>
      <c r="B78" s="329">
        <v>7010</v>
      </c>
      <c r="C78" s="330" t="s">
        <v>170</v>
      </c>
      <c r="D78" s="331"/>
      <c r="E78" s="331"/>
      <c r="F78" s="333">
        <f>SUMIF(GL!$F:$F,TB!$B78,GL!$E:$E)</f>
        <v>0</v>
      </c>
      <c r="G78" s="333">
        <f>SUMIF(GL!$G:$G,TB!$B78,GL!$E:$E)</f>
        <v>0</v>
      </c>
      <c r="H78" s="334">
        <f>Table_1[[#This Row],[Column3]]+Table_1[[#This Row],[Column7]]-Table_1[[#This Row],[Column4]]-Table_1[[#This Row],[Column8]]</f>
        <v>0</v>
      </c>
      <c r="I78" s="334">
        <f t="shared" si="6"/>
        <v>0</v>
      </c>
      <c r="J78" s="334">
        <f t="shared" si="4"/>
        <v>0</v>
      </c>
      <c r="K78" s="335">
        <f>TB!$I78</f>
        <v>0</v>
      </c>
      <c r="L78" s="333">
        <f>TB!$J78</f>
        <v>0</v>
      </c>
      <c r="M78" s="333"/>
      <c r="N78" s="333"/>
      <c r="O78" s="350"/>
      <c r="P78" s="618">
        <v>10</v>
      </c>
      <c r="Q78" s="449">
        <v>9</v>
      </c>
      <c r="R78" s="449"/>
    </row>
    <row r="79" spans="1:19" ht="12.75" customHeight="1" x14ac:dyDescent="0.25">
      <c r="A79" s="604"/>
      <c r="B79" s="329">
        <v>7011</v>
      </c>
      <c r="C79" s="330" t="s">
        <v>171</v>
      </c>
      <c r="D79" s="331"/>
      <c r="E79" s="331"/>
      <c r="F79" s="333">
        <f>SUMIF(GL!$F:$F,TB!$B79,GL!$E:$E)</f>
        <v>0</v>
      </c>
      <c r="G79" s="333">
        <f>SUMIF(GL!$G:$G,TB!$B79,GL!$E:$E)</f>
        <v>0</v>
      </c>
      <c r="H79" s="334">
        <f>Table_1[[#This Row],[Column3]]+Table_1[[#This Row],[Column7]]-Table_1[[#This Row],[Column4]]-Table_1[[#This Row],[Column8]]</f>
        <v>0</v>
      </c>
      <c r="I79" s="334">
        <f t="shared" si="6"/>
        <v>0</v>
      </c>
      <c r="J79" s="334">
        <f t="shared" si="4"/>
        <v>0</v>
      </c>
      <c r="K79" s="335">
        <f>TB!$I79</f>
        <v>0</v>
      </c>
      <c r="L79" s="333">
        <f>TB!$J79</f>
        <v>0</v>
      </c>
      <c r="M79" s="333"/>
      <c r="N79" s="333"/>
      <c r="O79" s="350"/>
      <c r="P79" s="618">
        <v>10</v>
      </c>
      <c r="Q79" s="449">
        <v>8</v>
      </c>
      <c r="R79" s="449"/>
    </row>
    <row r="80" spans="1:19" ht="12.75" customHeight="1" x14ac:dyDescent="0.25">
      <c r="A80" s="604"/>
      <c r="B80" s="329">
        <v>7012</v>
      </c>
      <c r="C80" s="330" t="s">
        <v>172</v>
      </c>
      <c r="D80" s="331"/>
      <c r="E80" s="331"/>
      <c r="F80" s="333">
        <f>SUMIF(GL!$F:$F,TB!$B80,GL!$E:$E)</f>
        <v>0</v>
      </c>
      <c r="G80" s="333">
        <f>SUMIF(GL!$G:$G,TB!$B80,GL!$E:$E)</f>
        <v>0</v>
      </c>
      <c r="H80" s="334">
        <f>Table_1[[#This Row],[Column3]]+Table_1[[#This Row],[Column7]]-Table_1[[#This Row],[Column4]]-Table_1[[#This Row],[Column8]]</f>
        <v>0</v>
      </c>
      <c r="I80" s="334">
        <f t="shared" si="6"/>
        <v>0</v>
      </c>
      <c r="J80" s="334">
        <f t="shared" si="4"/>
        <v>0</v>
      </c>
      <c r="K80" s="335">
        <f>TB!$I80</f>
        <v>0</v>
      </c>
      <c r="L80" s="333">
        <f>TB!$J80</f>
        <v>0</v>
      </c>
      <c r="M80" s="333"/>
      <c r="N80" s="333"/>
      <c r="O80" s="350"/>
      <c r="P80" s="618">
        <v>10</v>
      </c>
      <c r="Q80" s="449">
        <v>9</v>
      </c>
      <c r="R80" s="449"/>
    </row>
    <row r="81" spans="1:18" ht="12.75" customHeight="1" x14ac:dyDescent="0.25">
      <c r="A81" s="604"/>
      <c r="B81" s="329">
        <v>7013</v>
      </c>
      <c r="C81" s="330" t="s">
        <v>173</v>
      </c>
      <c r="D81" s="331"/>
      <c r="E81" s="331"/>
      <c r="F81" s="333">
        <f>SUMIF(GL!$F:$F,TB!$B81,GL!$E:$E)</f>
        <v>0</v>
      </c>
      <c r="G81" s="333">
        <f>SUMIF(GL!$G:$G,TB!$B81,GL!$E:$E)</f>
        <v>0</v>
      </c>
      <c r="H81" s="334">
        <f>Table_1[[#This Row],[Column3]]+Table_1[[#This Row],[Column7]]-Table_1[[#This Row],[Column4]]-Table_1[[#This Row],[Column8]]</f>
        <v>0</v>
      </c>
      <c r="I81" s="334">
        <f t="shared" si="6"/>
        <v>0</v>
      </c>
      <c r="J81" s="334">
        <f t="shared" si="4"/>
        <v>0</v>
      </c>
      <c r="K81" s="335">
        <f>TB!$I81</f>
        <v>0</v>
      </c>
      <c r="L81" s="333">
        <f>TB!$J81</f>
        <v>0</v>
      </c>
      <c r="M81" s="333"/>
      <c r="N81" s="333"/>
      <c r="O81" s="350"/>
      <c r="P81" s="618">
        <v>10</v>
      </c>
      <c r="Q81" s="449">
        <v>24</v>
      </c>
      <c r="R81" s="449"/>
    </row>
    <row r="82" spans="1:18" ht="12.75" customHeight="1" x14ac:dyDescent="0.25">
      <c r="A82" s="604"/>
      <c r="B82" s="329">
        <v>7014</v>
      </c>
      <c r="C82" s="330" t="s">
        <v>174</v>
      </c>
      <c r="D82" s="331"/>
      <c r="E82" s="331"/>
      <c r="F82" s="333">
        <f>SUMIF(GL!$F:$F,TB!$B82,GL!$E:$E)</f>
        <v>0</v>
      </c>
      <c r="G82" s="333">
        <f>SUMIF(GL!$G:$G,TB!$B82,GL!$E:$E)</f>
        <v>0</v>
      </c>
      <c r="H82" s="334">
        <f>Table_1[[#This Row],[Column3]]+Table_1[[#This Row],[Column7]]-Table_1[[#This Row],[Column4]]-Table_1[[#This Row],[Column8]]</f>
        <v>0</v>
      </c>
      <c r="I82" s="334">
        <f t="shared" si="6"/>
        <v>0</v>
      </c>
      <c r="J82" s="334">
        <f t="shared" si="4"/>
        <v>0</v>
      </c>
      <c r="K82" s="335">
        <f>TB!$I82</f>
        <v>0</v>
      </c>
      <c r="L82" s="333">
        <f>TB!$J82</f>
        <v>0</v>
      </c>
      <c r="M82" s="333"/>
      <c r="N82" s="333"/>
      <c r="O82" s="350"/>
      <c r="P82" s="618">
        <v>10</v>
      </c>
      <c r="Q82" s="449">
        <v>5</v>
      </c>
      <c r="R82" s="449"/>
    </row>
    <row r="83" spans="1:18" ht="12.75" customHeight="1" x14ac:dyDescent="0.25">
      <c r="A83" s="604"/>
      <c r="B83" s="329">
        <v>7015</v>
      </c>
      <c r="C83" s="330" t="s">
        <v>175</v>
      </c>
      <c r="D83" s="331"/>
      <c r="E83" s="331"/>
      <c r="F83" s="333">
        <f>SUMIF(GL!$F:$F,TB!$B83,GL!$E:$E)</f>
        <v>0</v>
      </c>
      <c r="G83" s="333">
        <f>SUMIF(GL!$G:$G,TB!$B83,GL!$E:$E)</f>
        <v>0</v>
      </c>
      <c r="H83" s="334">
        <f>Table_1[[#This Row],[Column3]]+Table_1[[#This Row],[Column7]]-Table_1[[#This Row],[Column4]]-Table_1[[#This Row],[Column8]]</f>
        <v>0</v>
      </c>
      <c r="I83" s="334">
        <f t="shared" si="6"/>
        <v>0</v>
      </c>
      <c r="J83" s="334">
        <f t="shared" si="4"/>
        <v>0</v>
      </c>
      <c r="K83" s="335">
        <f>TB!$I83</f>
        <v>0</v>
      </c>
      <c r="L83" s="333">
        <f>TB!$J83</f>
        <v>0</v>
      </c>
      <c r="M83" s="333"/>
      <c r="N83" s="333"/>
      <c r="O83" s="350"/>
      <c r="P83" s="618">
        <v>10</v>
      </c>
      <c r="Q83" s="449">
        <v>24</v>
      </c>
      <c r="R83" s="449"/>
    </row>
    <row r="84" spans="1:18" ht="12.75" customHeight="1" x14ac:dyDescent="0.25">
      <c r="A84" s="604"/>
      <c r="B84" s="329">
        <v>7016</v>
      </c>
      <c r="C84" s="330" t="s">
        <v>176</v>
      </c>
      <c r="D84" s="331"/>
      <c r="E84" s="331"/>
      <c r="F84" s="333">
        <f>SUMIF(GL!$F:$F,TB!$B84,GL!$E:$E)</f>
        <v>0</v>
      </c>
      <c r="G84" s="333">
        <f>SUMIF(GL!$G:$G,TB!$B84,GL!$E:$E)</f>
        <v>0</v>
      </c>
      <c r="H84" s="334">
        <f>Table_1[[#This Row],[Column3]]+Table_1[[#This Row],[Column7]]-Table_1[[#This Row],[Column4]]-Table_1[[#This Row],[Column8]]</f>
        <v>0</v>
      </c>
      <c r="I84" s="334">
        <f t="shared" si="6"/>
        <v>0</v>
      </c>
      <c r="J84" s="334">
        <f t="shared" si="4"/>
        <v>0</v>
      </c>
      <c r="K84" s="335">
        <f>TB!$I84</f>
        <v>0</v>
      </c>
      <c r="L84" s="333">
        <f>TB!$J84</f>
        <v>0</v>
      </c>
      <c r="M84" s="333"/>
      <c r="N84" s="333"/>
      <c r="O84" s="350"/>
      <c r="P84" s="618">
        <v>10</v>
      </c>
      <c r="Q84" s="449">
        <v>5</v>
      </c>
      <c r="R84" s="449"/>
    </row>
    <row r="85" spans="1:18" ht="12.75" customHeight="1" x14ac:dyDescent="0.25">
      <c r="A85" s="604"/>
      <c r="B85" s="329">
        <v>7017</v>
      </c>
      <c r="C85" s="330" t="s">
        <v>177</v>
      </c>
      <c r="D85" s="331"/>
      <c r="E85" s="331"/>
      <c r="F85" s="333">
        <f>SUMIF(GL!$F:$F,TB!$B85,GL!$E:$E)</f>
        <v>0</v>
      </c>
      <c r="G85" s="333">
        <f>SUMIF(GL!$G:$G,TB!$B85,GL!$E:$E)</f>
        <v>0</v>
      </c>
      <c r="H85" s="334">
        <f>Table_1[[#This Row],[Column3]]+Table_1[[#This Row],[Column7]]-Table_1[[#This Row],[Column4]]-Table_1[[#This Row],[Column8]]</f>
        <v>0</v>
      </c>
      <c r="I85" s="334">
        <f t="shared" si="6"/>
        <v>0</v>
      </c>
      <c r="J85" s="334">
        <f t="shared" si="4"/>
        <v>0</v>
      </c>
      <c r="K85" s="335">
        <f>TB!$I85</f>
        <v>0</v>
      </c>
      <c r="L85" s="333">
        <f>TB!$J85</f>
        <v>0</v>
      </c>
      <c r="M85" s="333"/>
      <c r="N85" s="333"/>
      <c r="O85" s="350"/>
      <c r="P85" s="618">
        <v>10</v>
      </c>
      <c r="Q85" s="449">
        <v>1</v>
      </c>
      <c r="R85" s="449"/>
    </row>
    <row r="86" spans="1:18" ht="12.75" customHeight="1" x14ac:dyDescent="0.25">
      <c r="A86" s="604"/>
      <c r="B86" s="329">
        <v>7018</v>
      </c>
      <c r="C86" s="330" t="s">
        <v>178</v>
      </c>
      <c r="D86" s="331"/>
      <c r="E86" s="331"/>
      <c r="F86" s="333">
        <f>SUMIF(GL!$F:$F,TB!$B86,GL!$E:$E)</f>
        <v>0</v>
      </c>
      <c r="G86" s="333">
        <f>SUMIF(GL!$G:$G,TB!$B86,GL!$E:$E)</f>
        <v>0</v>
      </c>
      <c r="H86" s="334">
        <f>Table_1[[#This Row],[Column3]]+Table_1[[#This Row],[Column7]]-Table_1[[#This Row],[Column4]]-Table_1[[#This Row],[Column8]]</f>
        <v>0</v>
      </c>
      <c r="I86" s="334">
        <f t="shared" si="6"/>
        <v>0</v>
      </c>
      <c r="J86" s="334">
        <f t="shared" si="4"/>
        <v>0</v>
      </c>
      <c r="K86" s="335">
        <f>TB!$I86</f>
        <v>0</v>
      </c>
      <c r="L86" s="333">
        <f>TB!$J86</f>
        <v>0</v>
      </c>
      <c r="M86" s="333"/>
      <c r="N86" s="333"/>
      <c r="O86" s="350"/>
      <c r="P86" s="618">
        <v>10</v>
      </c>
      <c r="Q86" s="449">
        <v>19</v>
      </c>
      <c r="R86" s="449"/>
    </row>
    <row r="87" spans="1:18" ht="12.75" customHeight="1" x14ac:dyDescent="0.25">
      <c r="A87" s="604"/>
      <c r="B87" s="329">
        <v>7019</v>
      </c>
      <c r="C87" s="330" t="s">
        <v>179</v>
      </c>
      <c r="D87" s="331"/>
      <c r="E87" s="331"/>
      <c r="F87" s="333">
        <f>SUMIF(GL!$F:$F,TB!$B87,GL!$E:$E)</f>
        <v>0</v>
      </c>
      <c r="G87" s="333">
        <f>SUMIF(GL!$G:$G,TB!$B87,GL!$E:$E)</f>
        <v>0</v>
      </c>
      <c r="H87" s="334">
        <f>Table_1[[#This Row],[Column3]]+Table_1[[#This Row],[Column7]]-Table_1[[#This Row],[Column4]]-Table_1[[#This Row],[Column8]]</f>
        <v>0</v>
      </c>
      <c r="I87" s="334">
        <f t="shared" si="6"/>
        <v>0</v>
      </c>
      <c r="J87" s="334">
        <f t="shared" si="4"/>
        <v>0</v>
      </c>
      <c r="K87" s="335">
        <f>TB!$I87</f>
        <v>0</v>
      </c>
      <c r="L87" s="333">
        <f>TB!$J87</f>
        <v>0</v>
      </c>
      <c r="M87" s="333"/>
      <c r="N87" s="333"/>
      <c r="O87" s="350"/>
      <c r="P87" s="618">
        <v>10</v>
      </c>
      <c r="Q87" s="449">
        <v>38</v>
      </c>
      <c r="R87" s="449"/>
    </row>
    <row r="88" spans="1:18" ht="12.75" customHeight="1" x14ac:dyDescent="0.25">
      <c r="A88" s="604"/>
      <c r="B88" s="329">
        <v>7020</v>
      </c>
      <c r="C88" s="330" t="s">
        <v>180</v>
      </c>
      <c r="D88" s="331"/>
      <c r="E88" s="331"/>
      <c r="F88" s="333">
        <f>SUMIF(GL!$F:$F,TB!$B88,GL!$E:$E)</f>
        <v>0</v>
      </c>
      <c r="G88" s="333">
        <f>SUMIF(GL!$G:$G,TB!$B88,GL!$E:$E)</f>
        <v>0</v>
      </c>
      <c r="H88" s="334">
        <f>Table_1[[#This Row],[Column3]]+Table_1[[#This Row],[Column7]]-Table_1[[#This Row],[Column4]]-Table_1[[#This Row],[Column8]]</f>
        <v>0</v>
      </c>
      <c r="I88" s="334">
        <f t="shared" si="6"/>
        <v>0</v>
      </c>
      <c r="J88" s="334">
        <f t="shared" si="4"/>
        <v>0</v>
      </c>
      <c r="K88" s="335">
        <f>TB!$I88</f>
        <v>0</v>
      </c>
      <c r="L88" s="333">
        <f>TB!$J88</f>
        <v>0</v>
      </c>
      <c r="M88" s="333"/>
      <c r="N88" s="333"/>
      <c r="O88" s="350"/>
      <c r="P88" s="618">
        <v>10</v>
      </c>
      <c r="Q88" s="449">
        <v>39</v>
      </c>
      <c r="R88" s="449"/>
    </row>
    <row r="89" spans="1:18" ht="12.75" customHeight="1" x14ac:dyDescent="0.25">
      <c r="A89" s="604"/>
      <c r="B89" s="329">
        <v>7021</v>
      </c>
      <c r="C89" s="330" t="s">
        <v>181</v>
      </c>
      <c r="D89" s="331"/>
      <c r="E89" s="331"/>
      <c r="F89" s="333">
        <f>SUMIF(GL!$F:$F,TB!$B89,GL!$E:$E)</f>
        <v>0</v>
      </c>
      <c r="G89" s="333">
        <f>SUMIF(GL!$G:$G,TB!$B89,GL!$E:$E)</f>
        <v>0</v>
      </c>
      <c r="H89" s="334">
        <f>Table_1[[#This Row],[Column3]]+Table_1[[#This Row],[Column7]]-Table_1[[#This Row],[Column4]]-Table_1[[#This Row],[Column8]]</f>
        <v>0</v>
      </c>
      <c r="I89" s="334">
        <f t="shared" si="6"/>
        <v>0</v>
      </c>
      <c r="J89" s="334">
        <f t="shared" si="4"/>
        <v>0</v>
      </c>
      <c r="K89" s="335">
        <f>TB!$I89</f>
        <v>0</v>
      </c>
      <c r="L89" s="333">
        <f>TB!$J89</f>
        <v>0</v>
      </c>
      <c r="M89" s="333"/>
      <c r="N89" s="333"/>
      <c r="O89" s="350"/>
      <c r="P89" s="618">
        <v>10</v>
      </c>
      <c r="Q89" s="449">
        <v>40</v>
      </c>
      <c r="R89" s="449"/>
    </row>
    <row r="90" spans="1:18" ht="12.75" customHeight="1" x14ac:dyDescent="0.25">
      <c r="A90" s="604"/>
      <c r="B90" s="329">
        <v>7022</v>
      </c>
      <c r="C90" s="330" t="s">
        <v>1009</v>
      </c>
      <c r="D90" s="331"/>
      <c r="E90" s="331"/>
      <c r="F90" s="333">
        <f>SUMIF(GL!$F:$F,TB!$B90,GL!$E:$E)</f>
        <v>0</v>
      </c>
      <c r="G90" s="333">
        <f>SUMIF(GL!$G:$G,TB!$B90,GL!$E:$E)</f>
        <v>0</v>
      </c>
      <c r="H90" s="334">
        <f>Table_1[[#This Row],[Column3]]+Table_1[[#This Row],[Column7]]-Table_1[[#This Row],[Column4]]-Table_1[[#This Row],[Column8]]</f>
        <v>0</v>
      </c>
      <c r="I90" s="334">
        <f t="shared" si="6"/>
        <v>0</v>
      </c>
      <c r="J90" s="334">
        <f t="shared" si="4"/>
        <v>0</v>
      </c>
      <c r="K90" s="335">
        <f>TB!$I90</f>
        <v>0</v>
      </c>
      <c r="L90" s="333">
        <f>TB!$J90</f>
        <v>0</v>
      </c>
      <c r="M90" s="333"/>
      <c r="N90" s="333"/>
      <c r="O90" s="350"/>
      <c r="P90" s="618">
        <v>10</v>
      </c>
      <c r="Q90" s="449">
        <v>38</v>
      </c>
      <c r="R90" s="449"/>
    </row>
    <row r="91" spans="1:18" ht="12.75" customHeight="1" x14ac:dyDescent="0.25">
      <c r="A91" s="604"/>
      <c r="B91" s="329">
        <v>7023</v>
      </c>
      <c r="C91" s="330" t="s">
        <v>182</v>
      </c>
      <c r="D91" s="331"/>
      <c r="E91" s="331"/>
      <c r="F91" s="333">
        <f>SUMIF(GL!$F:$F,TB!$B91,GL!$E:$E)</f>
        <v>0</v>
      </c>
      <c r="G91" s="333">
        <f>SUMIF(GL!$G:$G,TB!$B91,GL!$E:$E)</f>
        <v>0</v>
      </c>
      <c r="H91" s="334">
        <f>Table_1[[#This Row],[Column3]]+Table_1[[#This Row],[Column7]]-Table_1[[#This Row],[Column4]]-Table_1[[#This Row],[Column8]]</f>
        <v>0</v>
      </c>
      <c r="I91" s="334">
        <f t="shared" si="6"/>
        <v>0</v>
      </c>
      <c r="J91" s="334">
        <f t="shared" si="4"/>
        <v>0</v>
      </c>
      <c r="K91" s="335">
        <f>TB!$I91</f>
        <v>0</v>
      </c>
      <c r="L91" s="333">
        <f>TB!$J91</f>
        <v>0</v>
      </c>
      <c r="M91" s="333"/>
      <c r="N91" s="333"/>
      <c r="O91" s="350"/>
      <c r="P91" s="618">
        <v>10</v>
      </c>
      <c r="Q91" s="449">
        <v>44</v>
      </c>
      <c r="R91" s="449"/>
    </row>
    <row r="92" spans="1:18" ht="12.75" customHeight="1" x14ac:dyDescent="0.25">
      <c r="A92" s="604"/>
      <c r="B92" s="329">
        <v>7024</v>
      </c>
      <c r="C92" s="330" t="s">
        <v>183</v>
      </c>
      <c r="D92" s="331"/>
      <c r="E92" s="331"/>
      <c r="F92" s="333">
        <f>SUMIF(GL!$F:$F,TB!$B92,GL!$E:$E)</f>
        <v>0</v>
      </c>
      <c r="G92" s="333">
        <f>SUMIF(GL!$G:$G,TB!$B92,GL!$E:$E)</f>
        <v>0</v>
      </c>
      <c r="H92" s="334">
        <f>Table_1[[#This Row],[Column3]]+Table_1[[#This Row],[Column7]]-Table_1[[#This Row],[Column4]]-Table_1[[#This Row],[Column8]]</f>
        <v>0</v>
      </c>
      <c r="I92" s="334">
        <f>IF(H92&gt;0,H92,0)</f>
        <v>0</v>
      </c>
      <c r="J92" s="334">
        <f>IF(H92&lt;0,-H92,0)</f>
        <v>0</v>
      </c>
      <c r="K92" s="335"/>
      <c r="L92" s="333"/>
      <c r="M92" s="333">
        <f>Table_1[[#This Row],[Column9]]-Table_1[[#This Row],[Column10]]</f>
        <v>0</v>
      </c>
      <c r="N92" s="333"/>
      <c r="O92" s="350"/>
      <c r="P92" s="618">
        <v>10</v>
      </c>
      <c r="Q92" s="449">
        <v>44</v>
      </c>
      <c r="R92" s="449"/>
    </row>
    <row r="93" spans="1:18" ht="12.75" customHeight="1" x14ac:dyDescent="0.25">
      <c r="A93" s="604"/>
      <c r="B93" s="329">
        <v>8700</v>
      </c>
      <c r="C93" s="330" t="s">
        <v>184</v>
      </c>
      <c r="D93" s="331"/>
      <c r="E93" s="331"/>
      <c r="F93" s="333">
        <f>SUMIF(GL!$F:$F,TB!$B93,GL!$E:$E)</f>
        <v>0</v>
      </c>
      <c r="G93" s="333">
        <f>SUMIF(GL!$G:$G,TB!$B93,GL!$E:$E)</f>
        <v>0</v>
      </c>
      <c r="H93" s="334">
        <f>Table_1[[#This Row],[Column3]]+Table_1[[#This Row],[Column7]]-Table_1[[#This Row],[Column4]]-Table_1[[#This Row],[Column8]]</f>
        <v>0</v>
      </c>
      <c r="I93" s="334">
        <f t="shared" si="6"/>
        <v>0</v>
      </c>
      <c r="J93" s="334">
        <f t="shared" si="4"/>
        <v>0</v>
      </c>
      <c r="K93" s="335">
        <f>TB!$I93</f>
        <v>0</v>
      </c>
      <c r="L93" s="333">
        <f>TB!$J93</f>
        <v>0</v>
      </c>
      <c r="M93" s="333"/>
      <c r="N93" s="333"/>
      <c r="O93" s="350"/>
      <c r="P93" s="618">
        <v>12</v>
      </c>
      <c r="Q93" s="449">
        <v>61</v>
      </c>
      <c r="R93" s="449"/>
    </row>
    <row r="94" spans="1:18" ht="12.75" customHeight="1" x14ac:dyDescent="0.25">
      <c r="A94" s="604"/>
      <c r="B94" s="329">
        <v>8710</v>
      </c>
      <c r="C94" s="330" t="s">
        <v>598</v>
      </c>
      <c r="D94" s="331"/>
      <c r="E94" s="331"/>
      <c r="F94" s="333">
        <f>SUMIF(GL!$F:$F,TB!$B94,GL!$E:$E)</f>
        <v>0</v>
      </c>
      <c r="G94" s="333">
        <f>SUMIF(GL!$G:$G,TB!$B94,GL!$E:$E)</f>
        <v>0</v>
      </c>
      <c r="H94" s="334">
        <f>Table_1[[#This Row],[Column3]]+Table_1[[#This Row],[Column7]]-Table_1[[#This Row],[Column4]]-Table_1[[#This Row],[Column8]]</f>
        <v>0</v>
      </c>
      <c r="I94" s="334">
        <f t="shared" si="6"/>
        <v>0</v>
      </c>
      <c r="J94" s="334">
        <f t="shared" si="4"/>
        <v>0</v>
      </c>
      <c r="K94" s="335">
        <f>TB!$I94</f>
        <v>0</v>
      </c>
      <c r="L94" s="333">
        <f>TB!$J94</f>
        <v>0</v>
      </c>
      <c r="M94" s="333"/>
      <c r="N94" s="333"/>
      <c r="O94" s="350"/>
      <c r="P94" s="618">
        <v>12</v>
      </c>
      <c r="Q94" s="449">
        <v>61</v>
      </c>
      <c r="R94" s="449"/>
    </row>
    <row r="95" spans="1:18" ht="12.75" customHeight="1" x14ac:dyDescent="0.25">
      <c r="A95" s="604"/>
      <c r="B95" s="329">
        <v>7510</v>
      </c>
      <c r="C95" s="330" t="s">
        <v>185</v>
      </c>
      <c r="D95" s="331"/>
      <c r="E95" s="331"/>
      <c r="F95" s="333">
        <f>SUMIF(GL!$F:$F,TB!$B95,GL!$E:$E)</f>
        <v>0</v>
      </c>
      <c r="G95" s="333">
        <f>SUMIF(GL!$G:$G,TB!$B95,GL!$E:$E)</f>
        <v>0</v>
      </c>
      <c r="H95" s="334">
        <f>Table_1[[#This Row],[Column3]]+Table_1[[#This Row],[Column7]]-Table_1[[#This Row],[Column4]]-Table_1[[#This Row],[Column8]]</f>
        <v>0</v>
      </c>
      <c r="I95" s="334">
        <f t="shared" si="6"/>
        <v>0</v>
      </c>
      <c r="J95" s="334">
        <f t="shared" si="4"/>
        <v>0</v>
      </c>
      <c r="K95" s="335">
        <f>IS!D27</f>
        <v>65000</v>
      </c>
      <c r="L95" s="333">
        <f>TB!$J95</f>
        <v>0</v>
      </c>
      <c r="M95" s="333"/>
      <c r="N95" s="333"/>
      <c r="O95" s="350"/>
      <c r="P95" s="618"/>
      <c r="Q95" s="449"/>
      <c r="R95" s="449"/>
    </row>
    <row r="96" spans="1:18" ht="12.75" customHeight="1" x14ac:dyDescent="0.25">
      <c r="A96" s="604"/>
      <c r="B96" s="329">
        <v>9000</v>
      </c>
      <c r="C96" s="330" t="s">
        <v>186</v>
      </c>
      <c r="D96" s="331"/>
      <c r="E96" s="331"/>
      <c r="F96" s="333">
        <f>SUMIF(GL!$F:$F,TB!$B96,GL!$E:$E)</f>
        <v>0</v>
      </c>
      <c r="G96" s="333">
        <f>SUMIF(GL!$G:$G,TB!$B96,GL!$E:$E)</f>
        <v>0</v>
      </c>
      <c r="H96" s="334">
        <f>Table_1[[#This Row],[Column3]]+Table_1[[#This Row],[Column7]]-Table_1[[#This Row],[Column4]]-Table_1[[#This Row],[Column8]]</f>
        <v>0</v>
      </c>
      <c r="I96" s="334">
        <f t="shared" si="6"/>
        <v>0</v>
      </c>
      <c r="J96" s="334">
        <f t="shared" si="4"/>
        <v>0</v>
      </c>
      <c r="K96" s="335">
        <f>+IS!D35</f>
        <v>6495000</v>
      </c>
      <c r="L96" s="333">
        <f>TB!$J96</f>
        <v>0</v>
      </c>
      <c r="M96" s="333"/>
      <c r="N96" s="333"/>
      <c r="O96" s="350"/>
      <c r="P96" s="618"/>
      <c r="Q96" s="449"/>
      <c r="R96" s="449"/>
    </row>
    <row r="97" spans="1:18" ht="12.75" customHeight="1" x14ac:dyDescent="0.25">
      <c r="A97" s="604"/>
      <c r="B97" s="329"/>
      <c r="C97" s="330"/>
      <c r="D97" s="331"/>
      <c r="E97" s="331"/>
      <c r="F97" s="333">
        <f>SUMIF(GL!$F:$F,TB!$B97,GL!$E:$E)</f>
        <v>0</v>
      </c>
      <c r="G97" s="333">
        <f>SUMIF(GL!$G:$G,TB!$B97,GL!$E:$E)</f>
        <v>0</v>
      </c>
      <c r="H97" s="334">
        <f>Table_1[[#This Row],[Column3]]+Table_1[[#This Row],[Column7]]-Table_1[[#This Row],[Column4]]-Table_1[[#This Row],[Column8]]</f>
        <v>0</v>
      </c>
      <c r="I97" s="334">
        <f t="shared" si="6"/>
        <v>0</v>
      </c>
      <c r="J97" s="334">
        <f t="shared" si="4"/>
        <v>0</v>
      </c>
      <c r="K97" s="335">
        <f>TB!$I97</f>
        <v>0</v>
      </c>
      <c r="L97" s="333">
        <f>TB!$J97</f>
        <v>0</v>
      </c>
      <c r="M97" s="333"/>
      <c r="N97" s="333"/>
      <c r="O97" s="350"/>
      <c r="P97" s="618"/>
      <c r="Q97" s="449"/>
      <c r="R97" s="449"/>
    </row>
    <row r="98" spans="1:18" ht="12.75" customHeight="1" x14ac:dyDescent="0.25">
      <c r="A98" s="624"/>
      <c r="B98" s="625"/>
      <c r="C98" s="626"/>
      <c r="D98" s="627">
        <f t="shared" ref="D98:O98" si="7">SUM(D6:D97)</f>
        <v>3850000</v>
      </c>
      <c r="E98" s="627">
        <f t="shared" si="7"/>
        <v>3850000</v>
      </c>
      <c r="F98" s="352">
        <f t="shared" si="7"/>
        <v>7060000</v>
      </c>
      <c r="G98" s="352">
        <f t="shared" si="7"/>
        <v>7060000</v>
      </c>
      <c r="H98" s="352"/>
      <c r="I98" s="352">
        <f t="shared" si="7"/>
        <v>10910000</v>
      </c>
      <c r="J98" s="352">
        <f t="shared" si="7"/>
        <v>10910000</v>
      </c>
      <c r="K98" s="352">
        <f t="shared" si="7"/>
        <v>6560000</v>
      </c>
      <c r="L98" s="352">
        <f t="shared" si="7"/>
        <v>6560000</v>
      </c>
      <c r="M98" s="352"/>
      <c r="N98" s="352">
        <f t="shared" si="7"/>
        <v>10910000</v>
      </c>
      <c r="O98" s="352">
        <f t="shared" si="7"/>
        <v>10910000</v>
      </c>
      <c r="P98" s="628"/>
      <c r="Q98" s="449"/>
      <c r="R98" s="449"/>
    </row>
    <row r="99" spans="1:18" ht="12.75" customHeight="1" x14ac:dyDescent="0.25">
      <c r="A99" s="604"/>
      <c r="B99" s="605"/>
      <c r="C99" s="629" t="s">
        <v>187</v>
      </c>
      <c r="D99" s="607"/>
      <c r="E99" s="608">
        <f>D98-E98</f>
        <v>0</v>
      </c>
      <c r="F99" s="323"/>
      <c r="G99" s="323">
        <f>F98-G98</f>
        <v>0</v>
      </c>
      <c r="H99" s="323"/>
      <c r="I99" s="323"/>
      <c r="J99" s="323">
        <f>I98-J98</f>
        <v>0</v>
      </c>
      <c r="K99" s="323"/>
      <c r="L99" s="323">
        <f>+L98-K98</f>
        <v>0</v>
      </c>
      <c r="M99" s="323"/>
      <c r="N99" s="323"/>
      <c r="O99" s="323">
        <f>N98-O98</f>
        <v>0</v>
      </c>
      <c r="P99" s="604"/>
    </row>
    <row r="100" spans="1:18" ht="12.75" customHeight="1" x14ac:dyDescent="0.25">
      <c r="A100" s="604"/>
      <c r="B100" s="605"/>
      <c r="C100" s="629"/>
      <c r="D100" s="607"/>
      <c r="E100" s="608"/>
      <c r="F100" s="323"/>
      <c r="G100" s="323"/>
      <c r="H100" s="323"/>
      <c r="I100" s="323"/>
      <c r="J100" s="323"/>
      <c r="K100" s="323"/>
      <c r="L100" s="323"/>
      <c r="M100" s="323"/>
      <c r="N100" s="323"/>
      <c r="O100" s="323"/>
      <c r="P100" s="604"/>
    </row>
    <row r="101" spans="1:18" ht="12.75" customHeight="1" x14ac:dyDescent="0.25">
      <c r="A101" s="604"/>
      <c r="B101" s="605"/>
      <c r="C101" s="607" t="s">
        <v>188</v>
      </c>
      <c r="D101" s="607"/>
      <c r="E101" s="608" t="str">
        <f>НҮҮР!S41</f>
        <v>Ерөнхий нягтлан бодогч:</v>
      </c>
      <c r="F101" s="323"/>
      <c r="G101" s="323"/>
      <c r="H101" s="323"/>
      <c r="I101" s="323" t="str">
        <f>Info!F8</f>
        <v>С.Одзаяа</v>
      </c>
      <c r="J101" s="323"/>
      <c r="K101" s="323"/>
      <c r="L101" s="323"/>
      <c r="M101" s="323"/>
      <c r="N101" s="323"/>
      <c r="O101" s="323"/>
      <c r="P101" s="604"/>
    </row>
    <row r="102" spans="1:18" ht="12.75" customHeight="1" x14ac:dyDescent="0.25">
      <c r="A102" s="604"/>
      <c r="B102" s="605"/>
      <c r="C102" s="607"/>
      <c r="D102" s="607"/>
      <c r="E102" s="607"/>
      <c r="F102" s="323"/>
      <c r="G102" s="323"/>
      <c r="H102" s="323"/>
      <c r="I102" s="323"/>
      <c r="J102" s="323"/>
      <c r="K102" s="323"/>
      <c r="L102" s="323"/>
      <c r="M102" s="323"/>
      <c r="N102" s="323"/>
      <c r="O102" s="323"/>
      <c r="P102" s="604"/>
    </row>
    <row r="103" spans="1:18" ht="12.75" customHeight="1" x14ac:dyDescent="0.25">
      <c r="A103" s="604"/>
      <c r="B103" s="605"/>
      <c r="C103" s="607"/>
      <c r="D103" s="607"/>
      <c r="E103" s="607"/>
      <c r="F103" s="323"/>
      <c r="G103" s="323"/>
      <c r="H103" s="323"/>
      <c r="I103" s="323"/>
      <c r="J103" s="323"/>
      <c r="K103" s="323"/>
      <c r="L103" s="323"/>
      <c r="M103" s="323"/>
      <c r="N103" s="323"/>
      <c r="O103" s="323"/>
      <c r="P103" s="604"/>
    </row>
  </sheetData>
  <sheetProtection algorithmName="SHA-512" hashValue="NfTeNa5nQZbeipLht+5V/tdGKbxFCatHa2z9mlDZ45W+4DknulaRpBs2m2FywhADqT8Z1h+sl8t052eEcAf7Pw==" saltValue="OZHPzkDxspavfvdKxAwNQg==" spinCount="100000" sheet="1" objects="1" scenarios="1"/>
  <mergeCells count="8">
    <mergeCell ref="K3:L3"/>
    <mergeCell ref="N3:O3"/>
    <mergeCell ref="I3:J3"/>
    <mergeCell ref="A3:A4"/>
    <mergeCell ref="B3:B4"/>
    <mergeCell ref="C3:C4"/>
    <mergeCell ref="D3:E3"/>
    <mergeCell ref="F3:G3"/>
  </mergeCells>
  <phoneticPr fontId="42" type="noConversion"/>
  <conditionalFormatting sqref="L5:O5 L6:M62">
    <cfRule type="cellIs" dxfId="1" priority="1" operator="between">
      <formula>-9999999999</formula>
      <formula>-0.000001</formula>
    </cfRule>
  </conditionalFormatting>
  <dataValidations count="2">
    <dataValidation allowBlank="1" showInputMessage="1" showErrorMessage="1" promptTitle="КТ баганад дүн оруулахгүй" sqref="E6:E43" xr:uid="{E501154F-ACFE-4795-B728-579C67AFE5C3}"/>
    <dataValidation allowBlank="1" showInputMessage="1" showErrorMessage="1" prompt="Дансны төлөвлөгөөг өөрийн байгууллагын үйл ажиллагааны онцлогт тохируулан  өөрчилж болно." sqref="B3:C4" xr:uid="{E8B676C3-AFFB-4A43-917E-C0EBFE44B1CC}"/>
  </dataValidations>
  <pageMargins left="0.25" right="0.25" top="0.75" bottom="0.75" header="0" footer="0"/>
  <pageSetup paperSize="9" scale="41" orientation="portrait" r:id="rId1"/>
  <rowBreaks count="1" manualBreakCount="1">
    <brk id="101" man="1"/>
  </rowBreaks>
  <ignoredErrors>
    <ignoredError sqref="D62:D63 D93:D97 D65:D87 D89:D91" unlockedFormula="1"/>
  </ignoredError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pageSetUpPr fitToPage="1"/>
  </sheetPr>
  <dimension ref="A1:E78"/>
  <sheetViews>
    <sheetView view="pageBreakPreview" topLeftCell="A8" zoomScaleNormal="100" zoomScaleSheetLayoutView="100" workbookViewId="0">
      <selection activeCell="D11" sqref="D11"/>
    </sheetView>
  </sheetViews>
  <sheetFormatPr defaultColWidth="12.6640625" defaultRowHeight="15" customHeight="1" x14ac:dyDescent="0.25"/>
  <cols>
    <col min="1" max="1" width="7.44140625" style="356" customWidth="1"/>
    <col min="2" max="2" width="44.33203125" style="356" customWidth="1"/>
    <col min="3" max="3" width="17.44140625" style="356" customWidth="1"/>
    <col min="4" max="4" width="18.6640625" style="356" customWidth="1"/>
    <col min="5" max="5" width="15.6640625" style="356" customWidth="1"/>
    <col min="6" max="6" width="11.109375" style="356" customWidth="1"/>
    <col min="7" max="26" width="8.6640625" style="356" customWidth="1"/>
    <col min="27" max="16384" width="12.6640625" style="356"/>
  </cols>
  <sheetData>
    <row r="1" spans="1:5" ht="13.5" customHeight="1" x14ac:dyDescent="0.25">
      <c r="A1" s="353"/>
      <c r="B1" s="354"/>
      <c r="C1" s="354"/>
      <c r="D1" s="354"/>
      <c r="E1" s="354"/>
    </row>
    <row r="2" spans="1:5" ht="13.5" customHeight="1" x14ac:dyDescent="0.25">
      <c r="A2" s="353"/>
      <c r="B2" s="724" t="s">
        <v>57</v>
      </c>
      <c r="C2" s="725"/>
      <c r="D2" s="357"/>
      <c r="E2" s="354"/>
    </row>
    <row r="3" spans="1:5" ht="13.5" customHeight="1" x14ac:dyDescent="0.25">
      <c r="A3" s="358"/>
      <c r="B3" s="724" t="s">
        <v>189</v>
      </c>
      <c r="C3" s="725"/>
      <c r="D3" s="357"/>
      <c r="E3" s="354"/>
    </row>
    <row r="4" spans="1:5" ht="13.5" customHeight="1" x14ac:dyDescent="0.25">
      <c r="A4" s="359" t="str">
        <f>Info!F6</f>
        <v>"АЗЕЙ" ХХК</v>
      </c>
      <c r="B4" s="360"/>
      <c r="C4" s="361"/>
      <c r="D4" s="362">
        <f>Info!F9</f>
        <v>44926</v>
      </c>
      <c r="E4" s="354"/>
    </row>
    <row r="5" spans="1:5" ht="13.5" customHeight="1" x14ac:dyDescent="0.25">
      <c r="A5" s="358" t="s">
        <v>190</v>
      </c>
      <c r="B5" s="354"/>
      <c r="C5" s="354"/>
      <c r="D5" s="357"/>
      <c r="E5" s="354"/>
    </row>
    <row r="6" spans="1:5" ht="13.5" customHeight="1" x14ac:dyDescent="0.25">
      <c r="A6" s="353"/>
      <c r="B6" s="354"/>
      <c r="C6" s="354"/>
      <c r="D6" s="357" t="s">
        <v>191</v>
      </c>
      <c r="E6" s="354"/>
    </row>
    <row r="7" spans="1:5" ht="13.5" customHeight="1" x14ac:dyDescent="0.25">
      <c r="A7" s="726" t="s">
        <v>192</v>
      </c>
      <c r="B7" s="728" t="s">
        <v>193</v>
      </c>
      <c r="C7" s="729" t="s">
        <v>194</v>
      </c>
      <c r="D7" s="730"/>
      <c r="E7" s="363"/>
    </row>
    <row r="8" spans="1:5" ht="13.5" customHeight="1" x14ac:dyDescent="0.25">
      <c r="A8" s="727"/>
      <c r="B8" s="727"/>
      <c r="C8" s="365" t="s">
        <v>195</v>
      </c>
      <c r="D8" s="365" t="str">
        <f>MONTH(D4)&amp;" сарын " &amp;DAY(D4)</f>
        <v>12 сарын 31</v>
      </c>
      <c r="E8" s="363"/>
    </row>
    <row r="9" spans="1:5" ht="13.5" customHeight="1" x14ac:dyDescent="0.25">
      <c r="A9" s="365">
        <v>1</v>
      </c>
      <c r="B9" s="366" t="s">
        <v>196</v>
      </c>
      <c r="C9" s="367"/>
      <c r="D9" s="367"/>
      <c r="E9" s="363"/>
    </row>
    <row r="10" spans="1:5" ht="13.5" customHeight="1" x14ac:dyDescent="0.25">
      <c r="A10" s="365">
        <v>1.1000000000000001</v>
      </c>
      <c r="B10" s="366" t="s">
        <v>197</v>
      </c>
      <c r="C10" s="367"/>
      <c r="D10" s="367"/>
      <c r="E10" s="363"/>
    </row>
    <row r="11" spans="1:5" ht="13.5" customHeight="1" x14ac:dyDescent="0.25">
      <c r="A11" s="368" t="s">
        <v>74</v>
      </c>
      <c r="B11" s="369" t="s">
        <v>198</v>
      </c>
      <c r="C11" s="370">
        <f>SUMIF(TB!$A:$A,BS!$A11,TB!$D:$E)</f>
        <v>3850000</v>
      </c>
      <c r="D11" s="370">
        <f>SUMIF(TB!$A:$A,BS!$A11,TB!$N:$O)</f>
        <v>10910000</v>
      </c>
      <c r="E11" s="354" t="str">
        <f t="shared" ref="E11:E15" si="0">IF(D11&lt;0,"Актив утгатай данс хасах байж болохгүй","")</f>
        <v/>
      </c>
    </row>
    <row r="12" spans="1:5" ht="13.5" customHeight="1" x14ac:dyDescent="0.25">
      <c r="A12" s="368" t="s">
        <v>81</v>
      </c>
      <c r="B12" s="369" t="s">
        <v>82</v>
      </c>
      <c r="C12" s="370">
        <f>SUMIF(TB!$A:$A,BS!$A12,TB!$D:$E)</f>
        <v>0</v>
      </c>
      <c r="D12" s="370">
        <f>SUMIF(TB!$A:$A,BS!$A12,TB!$N:$O)</f>
        <v>0</v>
      </c>
      <c r="E12" s="354" t="str">
        <f t="shared" si="0"/>
        <v/>
      </c>
    </row>
    <row r="13" spans="1:5" ht="13.5" customHeight="1" x14ac:dyDescent="0.25">
      <c r="A13" s="368" t="s">
        <v>83</v>
      </c>
      <c r="B13" s="369" t="s">
        <v>199</v>
      </c>
      <c r="C13" s="370">
        <f>SUMIF(TB!$A:$A,BS!$A13,TB!$D:$E)</f>
        <v>0</v>
      </c>
      <c r="D13" s="370">
        <f>SUMIF(TB!$A:$A,BS!$A13,TB!$N:$O)</f>
        <v>0</v>
      </c>
      <c r="E13" s="354" t="str">
        <f t="shared" si="0"/>
        <v/>
      </c>
    </row>
    <row r="14" spans="1:5" ht="13.5" customHeight="1" x14ac:dyDescent="0.25">
      <c r="A14" s="368" t="s">
        <v>92</v>
      </c>
      <c r="B14" s="369" t="s">
        <v>200</v>
      </c>
      <c r="C14" s="370">
        <f>SUMIF(TB!$A:$A,BS!$A14,TB!$D:$E)</f>
        <v>0</v>
      </c>
      <c r="D14" s="370">
        <f>SUMIF(TB!$A:$A,BS!$A14,TB!$N:$O)</f>
        <v>0</v>
      </c>
      <c r="E14" s="354" t="str">
        <f t="shared" si="0"/>
        <v/>
      </c>
    </row>
    <row r="15" spans="1:5" ht="13.5" customHeight="1" x14ac:dyDescent="0.25">
      <c r="A15" s="368" t="s">
        <v>94</v>
      </c>
      <c r="B15" s="369" t="s">
        <v>201</v>
      </c>
      <c r="C15" s="370">
        <f>SUMIF(TB!$A:$A,BS!$A15,TB!$D:$E)</f>
        <v>0</v>
      </c>
      <c r="D15" s="370">
        <f>SUMIF(TB!$A:$A,BS!$A15,TB!$N:$O)</f>
        <v>0</v>
      </c>
      <c r="E15" s="354" t="str">
        <f t="shared" si="0"/>
        <v/>
      </c>
    </row>
    <row r="16" spans="1:5" ht="13.5" customHeight="1" x14ac:dyDescent="0.25">
      <c r="A16" s="368" t="s">
        <v>96</v>
      </c>
      <c r="B16" s="369" t="s">
        <v>202</v>
      </c>
      <c r="C16" s="370">
        <f>SUMIF(TB!$A:$A,BS!$A16,TB!$D:$E)</f>
        <v>0</v>
      </c>
      <c r="D16" s="370">
        <f>SUMIF(TB!$A:$A,BS!$A16,TB!$N:$O)</f>
        <v>0</v>
      </c>
      <c r="E16" s="354" t="str">
        <f>IF(D16&lt;0,"Актив утгатай данс хасах байж болохгүй","")</f>
        <v/>
      </c>
    </row>
    <row r="17" spans="1:5" ht="13.5" customHeight="1" x14ac:dyDescent="0.25">
      <c r="A17" s="368" t="s">
        <v>89</v>
      </c>
      <c r="B17" s="369" t="s">
        <v>203</v>
      </c>
      <c r="C17" s="370">
        <f>SUMIF(TB!$A:$A,BS!$A17,TB!$D:$E)</f>
        <v>0</v>
      </c>
      <c r="D17" s="370">
        <f>SUMIF(TB!$A:$A,BS!$A17,TB!$N:$O)</f>
        <v>0</v>
      </c>
      <c r="E17" s="354" t="str">
        <f t="shared" ref="E17:E20" si="1">IF(D17&lt;0,"Актив утгатай данс хасах байж болохгүй","")</f>
        <v/>
      </c>
    </row>
    <row r="18" spans="1:5" ht="13.5" customHeight="1" x14ac:dyDescent="0.25">
      <c r="A18" s="368" t="s">
        <v>204</v>
      </c>
      <c r="B18" s="369" t="s">
        <v>95</v>
      </c>
      <c r="C18" s="370">
        <f>SUMIF(TB!$A:$A,BS!$A18,TB!$D:$E)</f>
        <v>0</v>
      </c>
      <c r="D18" s="370">
        <f>SUMIF(TB!$A:$A,BS!$A18,TB!$N:$O)</f>
        <v>0</v>
      </c>
      <c r="E18" s="354" t="str">
        <f t="shared" si="1"/>
        <v/>
      </c>
    </row>
    <row r="19" spans="1:5" ht="13.5" customHeight="1" x14ac:dyDescent="0.25">
      <c r="A19" s="371" t="s">
        <v>205</v>
      </c>
      <c r="B19" s="372" t="s">
        <v>206</v>
      </c>
      <c r="C19" s="370">
        <f>SUMIF(TB!$A:$A,BS!$A19,TB!$D:$E)</f>
        <v>0</v>
      </c>
      <c r="D19" s="370">
        <f>SUMIF(TB!$A:$A,BS!$A19,TB!$N:$O)</f>
        <v>0</v>
      </c>
      <c r="E19" s="354" t="str">
        <f t="shared" si="1"/>
        <v/>
      </c>
    </row>
    <row r="20" spans="1:5" ht="13.5" customHeight="1" x14ac:dyDescent="0.25">
      <c r="A20" s="371" t="s">
        <v>207</v>
      </c>
      <c r="B20" s="372"/>
      <c r="C20" s="370">
        <f>SUMIF(TB!$A:$A,BS!$A20,TB!$D:$E)</f>
        <v>0</v>
      </c>
      <c r="D20" s="370">
        <f>SUMIF(TB!$A:$A,BS!$A20,TB!$N:$O)</f>
        <v>0</v>
      </c>
      <c r="E20" s="354" t="str">
        <f t="shared" si="1"/>
        <v/>
      </c>
    </row>
    <row r="21" spans="1:5" ht="13.5" customHeight="1" x14ac:dyDescent="0.25">
      <c r="A21" s="365" t="s">
        <v>208</v>
      </c>
      <c r="B21" s="366" t="s">
        <v>209</v>
      </c>
      <c r="C21" s="373">
        <f t="shared" ref="C21:D21" si="2">SUM(C10:C20)</f>
        <v>3850000</v>
      </c>
      <c r="D21" s="373">
        <f t="shared" si="2"/>
        <v>10910000</v>
      </c>
      <c r="E21" s="363"/>
    </row>
    <row r="22" spans="1:5" ht="13.5" customHeight="1" x14ac:dyDescent="0.25">
      <c r="A22" s="365">
        <v>1.2</v>
      </c>
      <c r="B22" s="366" t="s">
        <v>210</v>
      </c>
      <c r="C22" s="374"/>
      <c r="D22" s="374"/>
      <c r="E22" s="363"/>
    </row>
    <row r="23" spans="1:5" ht="13.5" customHeight="1" x14ac:dyDescent="0.25">
      <c r="A23" s="368" t="s">
        <v>110</v>
      </c>
      <c r="B23" s="369" t="s">
        <v>211</v>
      </c>
      <c r="C23" s="370">
        <f>SUMIF(TB!$A:$A,BS!$A23,TB!$D:$E)</f>
        <v>0</v>
      </c>
      <c r="D23" s="370">
        <f>SUMIF(TB!$A:$A,BS!$A23,TB!$N:$N)-SUMIF(TB!$A:$A,BS!$A23,TB!$O:$O)</f>
        <v>0</v>
      </c>
      <c r="E23" s="354" t="str">
        <f t="shared" ref="E23:E31" si="3">IF(D23&lt;0,"Актив утгатай данс хасах байж болохгүй","")</f>
        <v/>
      </c>
    </row>
    <row r="24" spans="1:5" ht="13.5" customHeight="1" x14ac:dyDescent="0.25">
      <c r="A24" s="368" t="s">
        <v>104</v>
      </c>
      <c r="B24" s="369" t="s">
        <v>105</v>
      </c>
      <c r="C24" s="370">
        <f>SUMIF(TB!$A:$A,BS!$A24,TB!$D:$E)</f>
        <v>0</v>
      </c>
      <c r="D24" s="370">
        <f>SUMIF(TB!$A:$A,BS!$A24,TB!$N:$O)</f>
        <v>0</v>
      </c>
      <c r="E24" s="354" t="str">
        <f t="shared" si="3"/>
        <v/>
      </c>
    </row>
    <row r="25" spans="1:5" ht="13.5" customHeight="1" x14ac:dyDescent="0.25">
      <c r="A25" s="368" t="s">
        <v>102</v>
      </c>
      <c r="B25" s="369" t="s">
        <v>103</v>
      </c>
      <c r="C25" s="370">
        <f>SUMIF(TB!$A:$A,BS!$A25,TB!$D:$E)</f>
        <v>0</v>
      </c>
      <c r="D25" s="370">
        <f>SUMIF(TB!$A:$A,BS!$A25,TB!$N:$O)</f>
        <v>0</v>
      </c>
      <c r="E25" s="354" t="str">
        <f t="shared" si="3"/>
        <v/>
      </c>
    </row>
    <row r="26" spans="1:5" ht="13.5" customHeight="1" x14ac:dyDescent="0.25">
      <c r="A26" s="368" t="s">
        <v>108</v>
      </c>
      <c r="B26" s="369" t="s">
        <v>109</v>
      </c>
      <c r="C26" s="370">
        <f>SUMIF(TB!$A:$A,BS!$A26,TB!$D:$E)</f>
        <v>0</v>
      </c>
      <c r="D26" s="370">
        <f>SUMIF(TB!$A:$A,BS!$A26,TB!$N:$O)</f>
        <v>0</v>
      </c>
      <c r="E26" s="354" t="str">
        <f t="shared" si="3"/>
        <v/>
      </c>
    </row>
    <row r="27" spans="1:5" ht="13.5" customHeight="1" x14ac:dyDescent="0.25">
      <c r="A27" s="368" t="s">
        <v>106</v>
      </c>
      <c r="B27" s="372" t="s">
        <v>107</v>
      </c>
      <c r="C27" s="370">
        <f>SUMIF(TB!$A:$A,BS!$A27,TB!$D:$E)</f>
        <v>0</v>
      </c>
      <c r="D27" s="370">
        <f>SUMIF(TB!$A:$A,BS!$A27,TB!$N:$O)</f>
        <v>0</v>
      </c>
      <c r="E27" s="354" t="str">
        <f t="shared" si="3"/>
        <v/>
      </c>
    </row>
    <row r="28" spans="1:5" ht="13.5" customHeight="1" x14ac:dyDescent="0.25">
      <c r="A28" s="368" t="s">
        <v>212</v>
      </c>
      <c r="B28" s="372" t="s">
        <v>213</v>
      </c>
      <c r="C28" s="370">
        <f>SUMIF(TB!$A:$A,BS!$A28,TB!$D:$E)</f>
        <v>0</v>
      </c>
      <c r="D28" s="370">
        <f>SUMIF(TB!$A:$A,BS!$A28,TB!$N:$O)</f>
        <v>0</v>
      </c>
      <c r="E28" s="354" t="str">
        <f t="shared" si="3"/>
        <v/>
      </c>
    </row>
    <row r="29" spans="1:5" ht="13.5" customHeight="1" x14ac:dyDescent="0.25">
      <c r="A29" s="368" t="s">
        <v>214</v>
      </c>
      <c r="B29" s="372" t="s">
        <v>215</v>
      </c>
      <c r="C29" s="370">
        <f>SUMIF(TB!$A:$A,BS!$A29,TB!$D:$E)</f>
        <v>0</v>
      </c>
      <c r="D29" s="370">
        <f>SUMIF(TB!$A:$A,BS!$A29,TB!$N:$O)</f>
        <v>0</v>
      </c>
      <c r="E29" s="354" t="str">
        <f t="shared" si="3"/>
        <v/>
      </c>
    </row>
    <row r="30" spans="1:5" ht="13.5" customHeight="1" x14ac:dyDescent="0.25">
      <c r="A30" s="368" t="s">
        <v>216</v>
      </c>
      <c r="B30" s="372" t="s">
        <v>217</v>
      </c>
      <c r="C30" s="370">
        <f>SUMIF(TB!$A:$A,BS!$A30,TB!$D:$E)</f>
        <v>0</v>
      </c>
      <c r="D30" s="370">
        <f>SUMIF(TB!$A:$A,BS!$A30,TB!$N:$O)</f>
        <v>0</v>
      </c>
      <c r="E30" s="354" t="str">
        <f t="shared" si="3"/>
        <v/>
      </c>
    </row>
    <row r="31" spans="1:5" ht="13.5" customHeight="1" x14ac:dyDescent="0.25">
      <c r="A31" s="368" t="s">
        <v>218</v>
      </c>
      <c r="B31" s="372"/>
      <c r="C31" s="370">
        <f>SUMIF(TB!$A:$A,BS!$A31,TB!$D:$E)</f>
        <v>0</v>
      </c>
      <c r="D31" s="370">
        <f>SUMIF(TB!$A:$A,BS!$A31,TB!$N:$O)</f>
        <v>0</v>
      </c>
      <c r="E31" s="354" t="str">
        <f t="shared" si="3"/>
        <v/>
      </c>
    </row>
    <row r="32" spans="1:5" ht="13.5" customHeight="1" x14ac:dyDescent="0.25">
      <c r="A32" s="365" t="s">
        <v>219</v>
      </c>
      <c r="B32" s="366" t="s">
        <v>220</v>
      </c>
      <c r="C32" s="373">
        <f>SUM(C23:C31)</f>
        <v>0</v>
      </c>
      <c r="D32" s="373">
        <f t="shared" ref="D32" si="4">SUM(D23:D31)</f>
        <v>0</v>
      </c>
      <c r="E32" s="363"/>
    </row>
    <row r="33" spans="1:5" ht="13.5" customHeight="1" x14ac:dyDescent="0.25">
      <c r="A33" s="365">
        <v>1.3</v>
      </c>
      <c r="B33" s="366" t="s">
        <v>221</v>
      </c>
      <c r="C33" s="375">
        <f>C32+C21</f>
        <v>3850000</v>
      </c>
      <c r="D33" s="375">
        <f t="shared" ref="D33" si="5">D32+D21</f>
        <v>10910000</v>
      </c>
      <c r="E33" s="363"/>
    </row>
    <row r="34" spans="1:5" ht="13.5" customHeight="1" x14ac:dyDescent="0.25">
      <c r="A34" s="365">
        <v>2</v>
      </c>
      <c r="B34" s="366" t="s">
        <v>222</v>
      </c>
      <c r="C34" s="374"/>
      <c r="D34" s="374"/>
      <c r="E34" s="363"/>
    </row>
    <row r="35" spans="1:5" ht="13.5" customHeight="1" x14ac:dyDescent="0.25">
      <c r="A35" s="365">
        <v>2.1</v>
      </c>
      <c r="B35" s="366" t="s">
        <v>223</v>
      </c>
      <c r="C35" s="367"/>
      <c r="D35" s="367"/>
      <c r="E35" s="363"/>
    </row>
    <row r="36" spans="1:5" ht="13.5" customHeight="1" x14ac:dyDescent="0.25">
      <c r="A36" s="365" t="s">
        <v>224</v>
      </c>
      <c r="B36" s="366" t="s">
        <v>225</v>
      </c>
      <c r="C36" s="367"/>
      <c r="D36" s="367"/>
      <c r="E36" s="363"/>
    </row>
    <row r="37" spans="1:5" ht="13.5" customHeight="1" x14ac:dyDescent="0.25">
      <c r="A37" s="368" t="s">
        <v>123</v>
      </c>
      <c r="B37" s="369" t="s">
        <v>124</v>
      </c>
      <c r="C37" s="370">
        <f>SUMIF(TB!$A:$A,BS!$A37,TB!$E:$E)</f>
        <v>0</v>
      </c>
      <c r="D37" s="370">
        <f>SUMIF(TB!$A:$A,BS!A37,TB!$O:$O)</f>
        <v>0</v>
      </c>
      <c r="E37" s="354" t="str">
        <f>IF(D37&lt;0,"Пассив утгатай данс хасах байж болохгүй","")</f>
        <v/>
      </c>
    </row>
    <row r="38" spans="1:5" ht="13.5" customHeight="1" x14ac:dyDescent="0.25">
      <c r="A38" s="368" t="s">
        <v>127</v>
      </c>
      <c r="B38" s="369" t="s">
        <v>128</v>
      </c>
      <c r="C38" s="370">
        <f>SUMIF(TB!$A:$A,BS!$A38,TB!$E:$E)</f>
        <v>0</v>
      </c>
      <c r="D38" s="370">
        <f>SUMIF(TB!$A:$A,BS!A38,TB!$O:$O)</f>
        <v>0</v>
      </c>
      <c r="E38" s="354" t="str">
        <f t="shared" ref="E38:E56" si="6">IF(D38&lt;0,"Пассив утгатай данс хасах байж болохгүй","")</f>
        <v/>
      </c>
    </row>
    <row r="39" spans="1:5" ht="13.5" customHeight="1" x14ac:dyDescent="0.25">
      <c r="A39" s="368" t="s">
        <v>131</v>
      </c>
      <c r="B39" s="369" t="s">
        <v>226</v>
      </c>
      <c r="C39" s="370">
        <f>SUMIF(TB!$A:$A,BS!$A39,TB!$E:$E)</f>
        <v>0</v>
      </c>
      <c r="D39" s="370">
        <f>SUMIF(TB!$A:$A,BS!A39,TB!$O:$O)</f>
        <v>565000</v>
      </c>
      <c r="E39" s="354" t="str">
        <f t="shared" si="6"/>
        <v/>
      </c>
    </row>
    <row r="40" spans="1:5" ht="13.5" customHeight="1" x14ac:dyDescent="0.25">
      <c r="A40" s="371" t="s">
        <v>129</v>
      </c>
      <c r="B40" s="372" t="s">
        <v>227</v>
      </c>
      <c r="C40" s="370">
        <f>SUMIF(TB!$A:$A,BS!$A40,TB!$E:$E)</f>
        <v>0</v>
      </c>
      <c r="D40" s="370">
        <f>SUMIF(TB!$A:$A,BS!A40,TB!$O:$O)</f>
        <v>0</v>
      </c>
      <c r="E40" s="354" t="str">
        <f t="shared" si="6"/>
        <v/>
      </c>
    </row>
    <row r="41" spans="1:5" ht="13.5" customHeight="1" x14ac:dyDescent="0.25">
      <c r="A41" s="368" t="s">
        <v>137</v>
      </c>
      <c r="B41" s="369" t="s">
        <v>228</v>
      </c>
      <c r="C41" s="370">
        <f>SUMIF(TB!$A:$A,BS!$A41,TB!$E:$E)</f>
        <v>0</v>
      </c>
      <c r="D41" s="370">
        <f>SUMIF(TB!$A:$A,BS!A41,TB!$O:$O)</f>
        <v>0</v>
      </c>
      <c r="E41" s="354" t="str">
        <f t="shared" si="6"/>
        <v/>
      </c>
    </row>
    <row r="42" spans="1:5" ht="13.5" customHeight="1" x14ac:dyDescent="0.25">
      <c r="A42" s="368" t="s">
        <v>229</v>
      </c>
      <c r="B42" s="369" t="s">
        <v>230</v>
      </c>
      <c r="C42" s="370">
        <f>SUMIF(TB!$A:$A,BS!$A42,TB!$E:$E)</f>
        <v>0</v>
      </c>
      <c r="D42" s="370">
        <f>SUMIF(TB!$A:$A,BS!A42,TB!$O:$O)</f>
        <v>0</v>
      </c>
      <c r="E42" s="354" t="str">
        <f t="shared" si="6"/>
        <v/>
      </c>
    </row>
    <row r="43" spans="1:5" ht="13.5" customHeight="1" x14ac:dyDescent="0.25">
      <c r="A43" s="371" t="s">
        <v>231</v>
      </c>
      <c r="B43" s="372" t="s">
        <v>232</v>
      </c>
      <c r="C43" s="370">
        <f>SUMIF(TB!$A:$A,BS!$A43,TB!$E:$E)</f>
        <v>0</v>
      </c>
      <c r="D43" s="370">
        <f>SUMIF(TB!$A:$A,BS!A43,TB!$O:$O)</f>
        <v>0</v>
      </c>
      <c r="E43" s="354" t="str">
        <f t="shared" si="6"/>
        <v/>
      </c>
    </row>
    <row r="44" spans="1:5" ht="13.5" customHeight="1" x14ac:dyDescent="0.25">
      <c r="A44" s="368" t="s">
        <v>135</v>
      </c>
      <c r="B44" s="369" t="s">
        <v>136</v>
      </c>
      <c r="C44" s="370">
        <f>SUMIF(TB!$A:$A,BS!$A44,TB!$E:$E)</f>
        <v>0</v>
      </c>
      <c r="D44" s="370">
        <f>SUMIF(TB!$A:$A,BS!A44,TB!$O:$O)</f>
        <v>0</v>
      </c>
      <c r="E44" s="354" t="str">
        <f t="shared" si="6"/>
        <v/>
      </c>
    </row>
    <row r="45" spans="1:5" ht="13.5" customHeight="1" x14ac:dyDescent="0.25">
      <c r="A45" s="368" t="s">
        <v>233</v>
      </c>
      <c r="B45" s="369" t="s">
        <v>234</v>
      </c>
      <c r="C45" s="370">
        <f>SUMIF(TB!$A:$A,BS!$A45,TB!$E:$E)</f>
        <v>0</v>
      </c>
      <c r="D45" s="370">
        <f>SUMIF(TB!$A:$A,BS!A45,TB!$O:$O)</f>
        <v>0</v>
      </c>
      <c r="E45" s="354" t="str">
        <f t="shared" si="6"/>
        <v/>
      </c>
    </row>
    <row r="46" spans="1:5" ht="15.75" customHeight="1" x14ac:dyDescent="0.25">
      <c r="A46" s="368" t="s">
        <v>235</v>
      </c>
      <c r="B46" s="369" t="s">
        <v>236</v>
      </c>
      <c r="C46" s="370">
        <f>SUMIF(TB!$A:$A,BS!$A46,TB!$E:$E)</f>
        <v>0</v>
      </c>
      <c r="D46" s="370">
        <f>SUMIF(TB!$A:$A,BS!A46,TB!$O:$O)</f>
        <v>0</v>
      </c>
      <c r="E46" s="354" t="str">
        <f t="shared" si="6"/>
        <v/>
      </c>
    </row>
    <row r="47" spans="1:5" ht="41.4" x14ac:dyDescent="0.25">
      <c r="A47" s="371" t="s">
        <v>237</v>
      </c>
      <c r="B47" s="369" t="s">
        <v>238</v>
      </c>
      <c r="C47" s="370">
        <f>SUMIF(TB!$A:$A,BS!$A47,TB!$E:$E)</f>
        <v>0</v>
      </c>
      <c r="D47" s="370">
        <f>SUMIF(TB!$A:$A,BS!A47,TB!$O:$O)</f>
        <v>0</v>
      </c>
      <c r="E47" s="354" t="str">
        <f t="shared" si="6"/>
        <v/>
      </c>
    </row>
    <row r="48" spans="1:5" ht="15.75" customHeight="1" x14ac:dyDescent="0.25">
      <c r="A48" s="368" t="s">
        <v>239</v>
      </c>
      <c r="B48" s="369"/>
      <c r="C48" s="370">
        <f>SUMIF(TB!$A:$A,BS!$A48,TB!$E:$E)</f>
        <v>0</v>
      </c>
      <c r="D48" s="370">
        <f>SUMIF(TB!$A:$A,BS!A48,TB!$O:$O)</f>
        <v>0</v>
      </c>
      <c r="E48" s="354" t="str">
        <f t="shared" si="6"/>
        <v/>
      </c>
    </row>
    <row r="49" spans="1:5" ht="18.75" customHeight="1" x14ac:dyDescent="0.25">
      <c r="A49" s="365" t="s">
        <v>240</v>
      </c>
      <c r="B49" s="366" t="s">
        <v>241</v>
      </c>
      <c r="C49" s="373">
        <f t="shared" ref="C49:D49" si="7">SUM(C37:C48)</f>
        <v>0</v>
      </c>
      <c r="D49" s="373">
        <f t="shared" si="7"/>
        <v>565000</v>
      </c>
      <c r="E49" s="354" t="str">
        <f t="shared" si="6"/>
        <v/>
      </c>
    </row>
    <row r="50" spans="1:5" ht="13.5" customHeight="1" x14ac:dyDescent="0.25">
      <c r="A50" s="365" t="s">
        <v>242</v>
      </c>
      <c r="B50" s="366" t="s">
        <v>140</v>
      </c>
      <c r="C50" s="374"/>
      <c r="D50" s="374"/>
      <c r="E50" s="354" t="str">
        <f t="shared" si="6"/>
        <v/>
      </c>
    </row>
    <row r="51" spans="1:5" ht="13.5" customHeight="1" x14ac:dyDescent="0.25">
      <c r="A51" s="368" t="s">
        <v>139</v>
      </c>
      <c r="B51" s="369" t="s">
        <v>243</v>
      </c>
      <c r="C51" s="370">
        <f>SUMIF(TB!$A:$A,BS!$A51,TB!$E:$E)</f>
        <v>0</v>
      </c>
      <c r="D51" s="370">
        <f>SUMIF(TB!$A:$A,BS!A51,TB!$O:$O)</f>
        <v>0</v>
      </c>
      <c r="E51" s="354" t="str">
        <f t="shared" si="6"/>
        <v/>
      </c>
    </row>
    <row r="52" spans="1:5" ht="13.5" customHeight="1" x14ac:dyDescent="0.25">
      <c r="A52" s="368" t="s">
        <v>244</v>
      </c>
      <c r="B52" s="369" t="s">
        <v>234</v>
      </c>
      <c r="C52" s="370">
        <f>SUMIF(TB!$A:$A,BS!$A52,TB!$E:$E)</f>
        <v>0</v>
      </c>
      <c r="D52" s="370">
        <f>SUMIF(TB!$A:$A,BS!A52,TB!$O:$O)</f>
        <v>0</v>
      </c>
      <c r="E52" s="354" t="str">
        <f t="shared" si="6"/>
        <v/>
      </c>
    </row>
    <row r="53" spans="1:5" ht="13.5" customHeight="1" x14ac:dyDescent="0.25">
      <c r="A53" s="368" t="s">
        <v>245</v>
      </c>
      <c r="B53" s="369" t="s">
        <v>246</v>
      </c>
      <c r="C53" s="370">
        <f>SUMIF(TB!$A:$A,BS!$A53,TB!$E:$E)</f>
        <v>0</v>
      </c>
      <c r="D53" s="370">
        <f>SUMIF(TB!$A:$A,BS!A53,TB!$O:$O)</f>
        <v>0</v>
      </c>
      <c r="E53" s="354" t="str">
        <f t="shared" si="6"/>
        <v/>
      </c>
    </row>
    <row r="54" spans="1:5" ht="13.5" customHeight="1" x14ac:dyDescent="0.25">
      <c r="A54" s="368" t="s">
        <v>141</v>
      </c>
      <c r="B54" s="369" t="s">
        <v>142</v>
      </c>
      <c r="C54" s="370">
        <f>SUMIF(TB!$A:$A,BS!$A54,TB!$E:$E)</f>
        <v>0</v>
      </c>
      <c r="D54" s="370">
        <f>SUMIF(TB!$A:$A,BS!A54,TB!$O:$O)</f>
        <v>0</v>
      </c>
      <c r="E54" s="354" t="str">
        <f t="shared" si="6"/>
        <v/>
      </c>
    </row>
    <row r="55" spans="1:5" ht="13.5" customHeight="1" x14ac:dyDescent="0.25">
      <c r="A55" s="368" t="s">
        <v>247</v>
      </c>
      <c r="B55" s="369"/>
      <c r="C55" s="370">
        <f>SUMIF(TB!$A:$A,BS!$A55,TB!$E:$E)</f>
        <v>0</v>
      </c>
      <c r="D55" s="370">
        <f>SUMIF(TB!$A:$A,BS!A55,TB!$O:$O)</f>
        <v>0</v>
      </c>
      <c r="E55" s="354" t="str">
        <f t="shared" si="6"/>
        <v/>
      </c>
    </row>
    <row r="56" spans="1:5" ht="13.5" customHeight="1" x14ac:dyDescent="0.25">
      <c r="A56" s="365" t="s">
        <v>248</v>
      </c>
      <c r="B56" s="366" t="s">
        <v>249</v>
      </c>
      <c r="C56" s="370">
        <f>SUM(C51:C55)</f>
        <v>0</v>
      </c>
      <c r="D56" s="370">
        <f>SUM(D51:D55)</f>
        <v>0</v>
      </c>
      <c r="E56" s="354" t="str">
        <f t="shared" si="6"/>
        <v/>
      </c>
    </row>
    <row r="57" spans="1:5" ht="13.5" customHeight="1" x14ac:dyDescent="0.25">
      <c r="A57" s="365">
        <v>2.2000000000000002</v>
      </c>
      <c r="B57" s="366" t="s">
        <v>250</v>
      </c>
      <c r="C57" s="373">
        <f>C56+C49</f>
        <v>0</v>
      </c>
      <c r="D57" s="373">
        <f>D56+D49</f>
        <v>565000</v>
      </c>
      <c r="E57" s="363"/>
    </row>
    <row r="58" spans="1:5" ht="13.5" customHeight="1" x14ac:dyDescent="0.25">
      <c r="A58" s="376"/>
      <c r="B58" s="366" t="s">
        <v>251</v>
      </c>
      <c r="C58" s="374"/>
      <c r="D58" s="374"/>
      <c r="E58" s="363"/>
    </row>
    <row r="59" spans="1:5" ht="13.5" customHeight="1" x14ac:dyDescent="0.25">
      <c r="A59" s="365">
        <v>2.2999999999999998</v>
      </c>
      <c r="B59" s="369" t="s">
        <v>252</v>
      </c>
      <c r="C59" s="370"/>
      <c r="D59" s="370"/>
      <c r="E59" s="354"/>
    </row>
    <row r="60" spans="1:5" ht="13.5" customHeight="1" x14ac:dyDescent="0.25">
      <c r="A60" s="368" t="s">
        <v>253</v>
      </c>
      <c r="B60" s="369" t="s">
        <v>254</v>
      </c>
      <c r="C60" s="370">
        <f>SUMIF(TB!$A:$A,BS!$A60,TB!$E:$E)</f>
        <v>0</v>
      </c>
      <c r="D60" s="370">
        <f>SUMIF(TB!$A:$A,BS!A60,TB!$O:$O)</f>
        <v>0</v>
      </c>
      <c r="E60" s="354" t="str">
        <f t="shared" ref="E60:E69" si="8">IF(D60&lt;0,"Пассив утгатай данс хасах байж болохгүй","")</f>
        <v/>
      </c>
    </row>
    <row r="61" spans="1:5" ht="13.5" customHeight="1" x14ac:dyDescent="0.25">
      <c r="A61" s="368" t="s">
        <v>143</v>
      </c>
      <c r="B61" s="369" t="s">
        <v>255</v>
      </c>
      <c r="C61" s="370">
        <f>SUMIF(TB!$A:$A,BS!$A61,TB!$E:$E)</f>
        <v>1000000</v>
      </c>
      <c r="D61" s="370">
        <f>SUMIF(TB!$A:$A,BS!A61,TB!$O:$O)</f>
        <v>1000000</v>
      </c>
      <c r="E61" s="354" t="str">
        <f t="shared" si="8"/>
        <v/>
      </c>
    </row>
    <row r="62" spans="1:5" ht="13.5" customHeight="1" x14ac:dyDescent="0.25">
      <c r="A62" s="368" t="s">
        <v>256</v>
      </c>
      <c r="B62" s="369" t="s">
        <v>257</v>
      </c>
      <c r="C62" s="370">
        <f>SUMIF(TB!$A:$A,BS!$A62,TB!$E:$E)</f>
        <v>0</v>
      </c>
      <c r="D62" s="370">
        <f>SUMIF(TB!$A:$A,BS!A62,TB!$O:$O)</f>
        <v>0</v>
      </c>
      <c r="E62" s="354" t="str">
        <f t="shared" si="8"/>
        <v/>
      </c>
    </row>
    <row r="63" spans="1:5" ht="13.5" customHeight="1" x14ac:dyDescent="0.25">
      <c r="A63" s="368" t="s">
        <v>258</v>
      </c>
      <c r="B63" s="369" t="s">
        <v>259</v>
      </c>
      <c r="C63" s="370">
        <f>SUMIF(TB!$A:$A,BS!$A63,TB!$E:$E)</f>
        <v>0</v>
      </c>
      <c r="D63" s="370">
        <f>SUMIF(TB!$A:$A,BS!A63,TB!$O:$O)</f>
        <v>0</v>
      </c>
      <c r="E63" s="354" t="str">
        <f t="shared" si="8"/>
        <v/>
      </c>
    </row>
    <row r="64" spans="1:5" ht="13.5" customHeight="1" x14ac:dyDescent="0.25">
      <c r="A64" s="368" t="s">
        <v>260</v>
      </c>
      <c r="B64" s="369" t="s">
        <v>261</v>
      </c>
      <c r="C64" s="370">
        <f>SUMIF(TB!$A:$A,BS!$A64,TB!$E:$E)</f>
        <v>0</v>
      </c>
      <c r="D64" s="370">
        <f>SUMIF(TB!$A:$A,BS!A64,TB!$O:$O)</f>
        <v>0</v>
      </c>
      <c r="E64" s="354" t="str">
        <f t="shared" si="8"/>
        <v/>
      </c>
    </row>
    <row r="65" spans="1:5" ht="13.5" customHeight="1" x14ac:dyDescent="0.25">
      <c r="A65" s="368" t="s">
        <v>262</v>
      </c>
      <c r="B65" s="369" t="s">
        <v>263</v>
      </c>
      <c r="C65" s="370">
        <f>SUMIF(TB!$A:$A,BS!$A65,TB!$E:$E)</f>
        <v>0</v>
      </c>
      <c r="D65" s="370">
        <f>SUMIF(TB!$A:$A,BS!A65,TB!$O:$O)</f>
        <v>0</v>
      </c>
      <c r="E65" s="354" t="str">
        <f t="shared" si="8"/>
        <v/>
      </c>
    </row>
    <row r="66" spans="1:5" ht="13.5" customHeight="1" x14ac:dyDescent="0.25">
      <c r="A66" s="368" t="s">
        <v>264</v>
      </c>
      <c r="B66" s="369" t="s">
        <v>265</v>
      </c>
      <c r="C66" s="370">
        <f>SUMIF(TB!$A:$A,BS!$A66,TB!$E:$E)</f>
        <v>0</v>
      </c>
      <c r="D66" s="370">
        <f>SUMIF(TB!$A:$A,BS!A66,TB!$O:$O)</f>
        <v>0</v>
      </c>
      <c r="E66" s="354" t="str">
        <f t="shared" si="8"/>
        <v/>
      </c>
    </row>
    <row r="67" spans="1:5" ht="13.5" customHeight="1" x14ac:dyDescent="0.25">
      <c r="A67" s="368" t="s">
        <v>145</v>
      </c>
      <c r="B67" s="369" t="s">
        <v>266</v>
      </c>
      <c r="C67" s="370">
        <f>SUMIF(TB!$A:$A,BS!$A67,TB!$E:$E)</f>
        <v>0</v>
      </c>
      <c r="D67" s="370">
        <f>SUMIF(TB!$A:$A,BS!A67,TB!$O:$O)</f>
        <v>0</v>
      </c>
      <c r="E67" s="354" t="str">
        <f t="shared" si="8"/>
        <v/>
      </c>
    </row>
    <row r="68" spans="1:5" ht="13.5" customHeight="1" x14ac:dyDescent="0.25">
      <c r="A68" s="368" t="s">
        <v>148</v>
      </c>
      <c r="B68" s="369" t="s">
        <v>267</v>
      </c>
      <c r="C68" s="370">
        <f>SUMIF(TB!$A:$A,BS!$A68,TB!$E:$E)-SUMIF(TB!$A:$A,BS!$A68,TB!$D:$D)</f>
        <v>2850000</v>
      </c>
      <c r="D68" s="370">
        <f>SUMIF(TB!$A:$A,BS!A68,TB!$O:$O)</f>
        <v>9345000</v>
      </c>
      <c r="E68" s="354"/>
    </row>
    <row r="69" spans="1:5" ht="13.5" customHeight="1" x14ac:dyDescent="0.25">
      <c r="A69" s="368" t="s">
        <v>268</v>
      </c>
      <c r="B69" s="366"/>
      <c r="C69" s="370">
        <f>SUMIF(TB!$A:$A,BS!$A69,TB!$E:$E)</f>
        <v>0</v>
      </c>
      <c r="D69" s="370">
        <f>SUMIF(TB!$A:$A,BS!A69,TB!$O:$O)</f>
        <v>0</v>
      </c>
      <c r="E69" s="354" t="str">
        <f t="shared" si="8"/>
        <v/>
      </c>
    </row>
    <row r="70" spans="1:5" ht="13.5" customHeight="1" x14ac:dyDescent="0.25">
      <c r="A70" s="365" t="s">
        <v>269</v>
      </c>
      <c r="B70" s="366" t="s">
        <v>270</v>
      </c>
      <c r="C70" s="377">
        <f t="shared" ref="C70:D70" si="9">SUM(C59:C69)</f>
        <v>3850000</v>
      </c>
      <c r="D70" s="377">
        <f t="shared" si="9"/>
        <v>10345000</v>
      </c>
      <c r="E70" s="354"/>
    </row>
    <row r="71" spans="1:5" ht="13.5" customHeight="1" x14ac:dyDescent="0.25">
      <c r="A71" s="378">
        <v>2.4</v>
      </c>
      <c r="B71" s="379" t="s">
        <v>271</v>
      </c>
      <c r="C71" s="380">
        <f t="shared" ref="C71" si="10">C70+C57</f>
        <v>3850000</v>
      </c>
      <c r="D71" s="380">
        <f>D70+D57</f>
        <v>10910000</v>
      </c>
      <c r="E71" s="381"/>
    </row>
    <row r="72" spans="1:5" ht="13.5" customHeight="1" x14ac:dyDescent="0.25">
      <c r="A72" s="383"/>
      <c r="B72" s="384"/>
      <c r="E72" s="381"/>
    </row>
    <row r="73" spans="1:5" ht="13.5" customHeight="1" x14ac:dyDescent="0.25">
      <c r="A73" s="383"/>
      <c r="B73" s="384"/>
      <c r="C73" s="385"/>
      <c r="D73" s="385"/>
      <c r="E73" s="381"/>
    </row>
    <row r="74" spans="1:5" ht="13.5" customHeight="1" x14ac:dyDescent="0.25">
      <c r="A74" s="353"/>
      <c r="B74" s="322" t="str">
        <f>НҮҮР!S39</f>
        <v>Захирал:</v>
      </c>
      <c r="C74" s="386" t="str">
        <f>НҮҮР!W39</f>
        <v>Ш,Азура</v>
      </c>
      <c r="D74" s="354"/>
      <c r="E74" s="354"/>
    </row>
    <row r="75" spans="1:5" ht="13.5" customHeight="1" x14ac:dyDescent="0.25">
      <c r="A75" s="353"/>
      <c r="B75" s="322"/>
      <c r="C75" s="387"/>
      <c r="D75" s="354"/>
      <c r="E75" s="354"/>
    </row>
    <row r="76" spans="1:5" ht="13.5" customHeight="1" x14ac:dyDescent="0.25">
      <c r="A76" s="353"/>
      <c r="B76" s="322"/>
      <c r="C76" s="354"/>
      <c r="D76" s="354"/>
      <c r="E76" s="354"/>
    </row>
    <row r="77" spans="1:5" ht="13.5" customHeight="1" x14ac:dyDescent="0.25">
      <c r="A77" s="353"/>
      <c r="B77" s="322" t="str">
        <f>НҮҮР!S41</f>
        <v>Ерөнхий нягтлан бодогч:</v>
      </c>
      <c r="C77" s="387" t="str">
        <f>НҮҮР!W41</f>
        <v>С.Одзаяа</v>
      </c>
      <c r="D77" s="354"/>
      <c r="E77" s="354"/>
    </row>
    <row r="78" spans="1:5" ht="13.5" customHeight="1" x14ac:dyDescent="0.25">
      <c r="A78" s="388"/>
      <c r="B78" s="389" t="s">
        <v>272</v>
      </c>
      <c r="C78" s="363">
        <f>C71-C33</f>
        <v>0</v>
      </c>
      <c r="D78" s="363">
        <f>D71-D33</f>
        <v>0</v>
      </c>
      <c r="E78" s="355"/>
    </row>
  </sheetData>
  <mergeCells count="5">
    <mergeCell ref="B2:C2"/>
    <mergeCell ref="B3:C3"/>
    <mergeCell ref="A7:A8"/>
    <mergeCell ref="B7:B8"/>
    <mergeCell ref="C7:D7"/>
  </mergeCells>
  <pageMargins left="0.7" right="0.24" top="0.35" bottom="0" header="0" footer="0"/>
  <pageSetup paperSize="9" fitToHeight="0" orientation="portrait" r:id="rId1"/>
  <rowBreaks count="1" manualBreakCount="1">
    <brk id="48" max="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2:D45"/>
  <sheetViews>
    <sheetView view="pageBreakPreview" zoomScaleNormal="100" zoomScaleSheetLayoutView="100" workbookViewId="0">
      <selection activeCell="D13" sqref="D13"/>
    </sheetView>
  </sheetViews>
  <sheetFormatPr defaultColWidth="12.6640625" defaultRowHeight="15" customHeight="1" x14ac:dyDescent="0.25"/>
  <cols>
    <col min="1" max="1" width="7.88671875" style="356" customWidth="1"/>
    <col min="2" max="2" width="45.109375" style="356" customWidth="1"/>
    <col min="3" max="4" width="19.6640625" style="356" customWidth="1"/>
    <col min="5" max="5" width="13.44140625" style="356" customWidth="1"/>
    <col min="6" max="6" width="9.109375" style="356" customWidth="1"/>
    <col min="7" max="26" width="8.6640625" style="356" customWidth="1"/>
    <col min="27" max="16384" width="12.6640625" style="356"/>
  </cols>
  <sheetData>
    <row r="2" spans="1:4" ht="13.5" customHeight="1" x14ac:dyDescent="0.25">
      <c r="A2" s="731" t="s">
        <v>273</v>
      </c>
      <c r="B2" s="732"/>
      <c r="C2" s="732"/>
      <c r="D2" s="732"/>
    </row>
    <row r="3" spans="1:4" ht="13.5" customHeight="1" x14ac:dyDescent="0.25">
      <c r="A3" s="731" t="s">
        <v>274</v>
      </c>
      <c r="B3" s="732"/>
      <c r="C3" s="732"/>
      <c r="D3" s="732"/>
    </row>
    <row r="4" spans="1:4" ht="13.5" customHeight="1" x14ac:dyDescent="0.25">
      <c r="A4" s="391" t="str">
        <f>+BS!A4</f>
        <v>"АЗЕЙ" ХХК</v>
      </c>
      <c r="B4" s="392"/>
      <c r="C4" s="393"/>
      <c r="D4" s="362">
        <f>+BS!D4</f>
        <v>44926</v>
      </c>
    </row>
    <row r="5" spans="1:4" ht="13.5" customHeight="1" x14ac:dyDescent="0.25">
      <c r="A5" s="322" t="s">
        <v>275</v>
      </c>
      <c r="B5" s="322"/>
      <c r="C5" s="394"/>
      <c r="D5" s="357"/>
    </row>
    <row r="6" spans="1:4" ht="13.5" customHeight="1" x14ac:dyDescent="0.25">
      <c r="A6" s="322"/>
      <c r="B6" s="322"/>
      <c r="C6" s="394"/>
      <c r="D6" s="357" t="str">
        <f>BS!$D$6</f>
        <v>(Төгрөгөөр)</v>
      </c>
    </row>
    <row r="7" spans="1:4" ht="15" customHeight="1" x14ac:dyDescent="0.25">
      <c r="A7" s="733" t="s">
        <v>192</v>
      </c>
      <c r="B7" s="734" t="s">
        <v>276</v>
      </c>
      <c r="C7" s="735" t="str">
        <f>BS!C7</f>
        <v>Үлдэгдэл</v>
      </c>
      <c r="D7" s="736"/>
    </row>
    <row r="8" spans="1:4" ht="13.5" customHeight="1" x14ac:dyDescent="0.25">
      <c r="A8" s="720"/>
      <c r="B8" s="720"/>
      <c r="C8" s="396" t="str">
        <f>BS!C8</f>
        <v>1-р сарын 1</v>
      </c>
      <c r="D8" s="378" t="str">
        <f>BS!D8</f>
        <v>12 сарын 31</v>
      </c>
    </row>
    <row r="9" spans="1:4" ht="13.5" customHeight="1" x14ac:dyDescent="0.25">
      <c r="A9" s="397">
        <v>1</v>
      </c>
      <c r="B9" s="398" t="s">
        <v>277</v>
      </c>
      <c r="C9" s="399">
        <v>0</v>
      </c>
      <c r="D9" s="370">
        <f>SUMIF(TB!$P:$P,IS!$A9,TB!$L:$L)</f>
        <v>5000000</v>
      </c>
    </row>
    <row r="10" spans="1:4" ht="13.5" customHeight="1" x14ac:dyDescent="0.25">
      <c r="A10" s="400">
        <v>2</v>
      </c>
      <c r="B10" s="401" t="s">
        <v>278</v>
      </c>
      <c r="C10" s="399"/>
      <c r="D10" s="370">
        <f>SUMIF(TB!$P:$P,IS!$A10,TB!$K:$K)</f>
        <v>0</v>
      </c>
    </row>
    <row r="11" spans="1:4" ht="13.5" customHeight="1" x14ac:dyDescent="0.25">
      <c r="A11" s="400">
        <v>3</v>
      </c>
      <c r="B11" s="398" t="s">
        <v>279</v>
      </c>
      <c r="C11" s="367">
        <f>C9-C10</f>
        <v>0</v>
      </c>
      <c r="D11" s="367">
        <f>D9-D10</f>
        <v>5000000</v>
      </c>
    </row>
    <row r="12" spans="1:4" ht="13.5" customHeight="1" x14ac:dyDescent="0.25">
      <c r="A12" s="400">
        <v>4</v>
      </c>
      <c r="B12" s="401" t="s">
        <v>155</v>
      </c>
      <c r="C12" s="402"/>
      <c r="D12" s="370">
        <f>SUMIF(TB!$P:$P,IS!$A12,TB!$L:$L)</f>
        <v>1500000</v>
      </c>
    </row>
    <row r="13" spans="1:4" ht="13.5" customHeight="1" x14ac:dyDescent="0.25">
      <c r="A13" s="400">
        <v>5</v>
      </c>
      <c r="B13" s="401" t="s">
        <v>156</v>
      </c>
      <c r="C13" s="402"/>
      <c r="D13" s="370">
        <f>SUMIF(TB!$P:$P,IS!$A13,TB!$L:$L)</f>
        <v>60000</v>
      </c>
    </row>
    <row r="14" spans="1:4" ht="13.5" customHeight="1" x14ac:dyDescent="0.25">
      <c r="A14" s="400">
        <v>6</v>
      </c>
      <c r="B14" s="401" t="s">
        <v>280</v>
      </c>
      <c r="C14" s="402"/>
      <c r="D14" s="370">
        <f>SUMIF(TB!$P:$P,IS!$A14,TB!$L:$L)</f>
        <v>0</v>
      </c>
    </row>
    <row r="15" spans="1:4" ht="13.5" customHeight="1" x14ac:dyDescent="0.25">
      <c r="A15" s="400">
        <v>7</v>
      </c>
      <c r="B15" s="401" t="s">
        <v>281</v>
      </c>
      <c r="C15" s="402"/>
      <c r="D15" s="370">
        <f>SUMIF(TB!$P:$P,IS!$A15,TB!$L:$L)</f>
        <v>0</v>
      </c>
    </row>
    <row r="16" spans="1:4" ht="13.5" customHeight="1" x14ac:dyDescent="0.25">
      <c r="A16" s="400">
        <v>8</v>
      </c>
      <c r="B16" s="403" t="s">
        <v>157</v>
      </c>
      <c r="C16" s="402"/>
      <c r="D16" s="370">
        <f>SUMIF(TB!$P:$P,IS!$A16,TB!$L:$L)</f>
        <v>0</v>
      </c>
    </row>
    <row r="17" spans="1:4" ht="13.5" customHeight="1" x14ac:dyDescent="0.25">
      <c r="A17" s="400">
        <v>9</v>
      </c>
      <c r="B17" s="401" t="s">
        <v>282</v>
      </c>
      <c r="C17" s="402"/>
      <c r="D17" s="370">
        <f>SUMIF(TB!$P:$P,IS!$A17,TB!$K:$K)</f>
        <v>0</v>
      </c>
    </row>
    <row r="18" spans="1:4" ht="13.5" customHeight="1" x14ac:dyDescent="0.25">
      <c r="A18" s="400">
        <v>10</v>
      </c>
      <c r="B18" s="401" t="s">
        <v>283</v>
      </c>
      <c r="C18" s="402"/>
      <c r="D18" s="370">
        <f>SUMIF(TB!$P:$P,IS!$A18,TB!$K:$K)</f>
        <v>0</v>
      </c>
    </row>
    <row r="19" spans="1:4" ht="13.5" customHeight="1" x14ac:dyDescent="0.25">
      <c r="A19" s="400">
        <v>11</v>
      </c>
      <c r="B19" s="401" t="s">
        <v>284</v>
      </c>
      <c r="C19" s="402"/>
      <c r="D19" s="370">
        <f>SUMIF(TB!$P:$P,IS!$A19,TB!$K:$K)</f>
        <v>0</v>
      </c>
    </row>
    <row r="20" spans="1:4" ht="13.5" customHeight="1" x14ac:dyDescent="0.25">
      <c r="A20" s="400">
        <v>12</v>
      </c>
      <c r="B20" s="356" t="s">
        <v>183</v>
      </c>
      <c r="C20" s="402"/>
      <c r="D20" s="370">
        <f>SUMIF(TB!$P:$P,IS!$A20,TB!$K:$K)</f>
        <v>0</v>
      </c>
    </row>
    <row r="21" spans="1:4" ht="13.5" customHeight="1" x14ac:dyDescent="0.25">
      <c r="A21" s="400">
        <v>13</v>
      </c>
      <c r="B21" s="401" t="s">
        <v>285</v>
      </c>
      <c r="C21" s="402"/>
      <c r="D21" s="370">
        <f>TB!L67+TB!K83</f>
        <v>0</v>
      </c>
    </row>
    <row r="22" spans="1:4" ht="13.5" customHeight="1" x14ac:dyDescent="0.25">
      <c r="A22" s="400">
        <v>14</v>
      </c>
      <c r="B22" s="401" t="s">
        <v>286</v>
      </c>
      <c r="C22" s="402"/>
      <c r="D22" s="370">
        <f>SUMIF(TB!$P:$P,IS!$A22,TB!$K:$K)</f>
        <v>0</v>
      </c>
    </row>
    <row r="23" spans="1:4" ht="15" customHeight="1" x14ac:dyDescent="0.25">
      <c r="A23" s="400">
        <v>15</v>
      </c>
      <c r="B23" s="401" t="s">
        <v>287</v>
      </c>
      <c r="C23" s="402"/>
      <c r="D23" s="370">
        <f>SUMIF(TB!$P:$P,IS!$A23,TB!$K:$K)</f>
        <v>0</v>
      </c>
    </row>
    <row r="24" spans="1:4" ht="13.5" customHeight="1" x14ac:dyDescent="0.25">
      <c r="A24" s="400">
        <v>16</v>
      </c>
      <c r="B24" s="401" t="s">
        <v>288</v>
      </c>
      <c r="C24" s="402"/>
      <c r="D24" s="370">
        <f>SUMIF(TB!$P:$P,IS!$A24,TB!$K:$K)</f>
        <v>0</v>
      </c>
    </row>
    <row r="25" spans="1:4" ht="13.5" customHeight="1" x14ac:dyDescent="0.25">
      <c r="A25" s="400">
        <v>17</v>
      </c>
      <c r="B25" s="401" t="s">
        <v>289</v>
      </c>
      <c r="C25" s="405"/>
      <c r="D25" s="370">
        <f>SUMIF(TB!$P:$P,IS!$A25,TB!$K:$K)</f>
        <v>0</v>
      </c>
    </row>
    <row r="26" spans="1:4" ht="13.5" customHeight="1" x14ac:dyDescent="0.25">
      <c r="A26" s="397">
        <v>18</v>
      </c>
      <c r="B26" s="398" t="s">
        <v>290</v>
      </c>
      <c r="C26" s="367">
        <f>C11+SUM(C12:C16)-SUM(C17:C21)</f>
        <v>0</v>
      </c>
      <c r="D26" s="367">
        <f>D11+SUM(D12:D16)-SUM(D17:D21)</f>
        <v>6560000</v>
      </c>
    </row>
    <row r="27" spans="1:4" ht="13.5" customHeight="1" x14ac:dyDescent="0.25">
      <c r="A27" s="400">
        <v>19</v>
      </c>
      <c r="B27" s="401" t="s">
        <v>291</v>
      </c>
      <c r="C27" s="406"/>
      <c r="D27" s="367">
        <f>'Зөрүүгийн тайлан'!$D$36</f>
        <v>65000</v>
      </c>
    </row>
    <row r="28" spans="1:4" ht="13.5" customHeight="1" x14ac:dyDescent="0.25">
      <c r="A28" s="397">
        <v>20</v>
      </c>
      <c r="B28" s="398" t="s">
        <v>292</v>
      </c>
      <c r="C28" s="405">
        <f t="shared" ref="C28:D28" si="0">+C26-C27</f>
        <v>0</v>
      </c>
      <c r="D28" s="367">
        <f t="shared" si="0"/>
        <v>6495000</v>
      </c>
    </row>
    <row r="29" spans="1:4" ht="13.5" customHeight="1" x14ac:dyDescent="0.25">
      <c r="A29" s="407">
        <v>21</v>
      </c>
      <c r="B29" s="398" t="s">
        <v>293</v>
      </c>
      <c r="C29" s="408"/>
      <c r="D29" s="367"/>
    </row>
    <row r="30" spans="1:4" ht="13.5" customHeight="1" x14ac:dyDescent="0.25">
      <c r="A30" s="397">
        <v>22</v>
      </c>
      <c r="B30" s="398" t="s">
        <v>294</v>
      </c>
      <c r="C30" s="409">
        <f t="shared" ref="C30:D30" si="1">+C28</f>
        <v>0</v>
      </c>
      <c r="D30" s="373">
        <f t="shared" si="1"/>
        <v>6495000</v>
      </c>
    </row>
    <row r="31" spans="1:4" ht="13.5" customHeight="1" x14ac:dyDescent="0.25">
      <c r="A31" s="397">
        <v>23</v>
      </c>
      <c r="B31" s="398" t="s">
        <v>295</v>
      </c>
      <c r="C31" s="410"/>
      <c r="D31" s="411"/>
    </row>
    <row r="32" spans="1:4" ht="13.5" customHeight="1" x14ac:dyDescent="0.25">
      <c r="A32" s="400">
        <v>23.1</v>
      </c>
      <c r="B32" s="401" t="s">
        <v>296</v>
      </c>
      <c r="C32" s="410"/>
      <c r="D32" s="411"/>
    </row>
    <row r="33" spans="1:4" ht="13.5" customHeight="1" x14ac:dyDescent="0.25">
      <c r="A33" s="400">
        <v>23.2</v>
      </c>
      <c r="B33" s="401" t="s">
        <v>297</v>
      </c>
      <c r="C33" s="410"/>
      <c r="D33" s="411"/>
    </row>
    <row r="34" spans="1:4" ht="13.5" customHeight="1" x14ac:dyDescent="0.25">
      <c r="A34" s="400">
        <v>23.3</v>
      </c>
      <c r="B34" s="401" t="s">
        <v>298</v>
      </c>
      <c r="C34" s="412"/>
      <c r="D34" s="413"/>
    </row>
    <row r="35" spans="1:4" ht="13.5" customHeight="1" x14ac:dyDescent="0.25">
      <c r="A35" s="400">
        <v>24</v>
      </c>
      <c r="B35" s="398" t="s">
        <v>299</v>
      </c>
      <c r="C35" s="414">
        <f t="shared" ref="C35:D35" si="2">+C30</f>
        <v>0</v>
      </c>
      <c r="D35" s="413">
        <f t="shared" si="2"/>
        <v>6495000</v>
      </c>
    </row>
    <row r="36" spans="1:4" ht="16.5" customHeight="1" x14ac:dyDescent="0.25">
      <c r="A36" s="397">
        <v>25</v>
      </c>
      <c r="B36" s="398" t="s">
        <v>300</v>
      </c>
      <c r="C36" s="415"/>
      <c r="D36" s="416"/>
    </row>
    <row r="37" spans="1:4" ht="13.5" customHeight="1" x14ac:dyDescent="0.25">
      <c r="A37" s="417"/>
      <c r="B37" s="418"/>
      <c r="C37" s="419"/>
      <c r="D37" s="322"/>
    </row>
    <row r="38" spans="1:4" ht="13.5" customHeight="1" x14ac:dyDescent="0.25">
      <c r="A38" s="417"/>
      <c r="B38" s="418"/>
      <c r="C38" s="419"/>
      <c r="D38" s="322"/>
    </row>
    <row r="39" spans="1:4" ht="13.5" customHeight="1" x14ac:dyDescent="0.25">
      <c r="A39" s="417"/>
      <c r="B39" s="418"/>
      <c r="C39" s="419"/>
      <c r="D39" s="322"/>
    </row>
    <row r="40" spans="1:4" ht="13.5" customHeight="1" x14ac:dyDescent="0.25">
      <c r="A40" s="417"/>
      <c r="B40" s="418"/>
      <c r="C40" s="419"/>
      <c r="D40" s="322"/>
    </row>
    <row r="41" spans="1:4" ht="13.5" customHeight="1" x14ac:dyDescent="0.25">
      <c r="A41" s="417"/>
      <c r="B41" s="418"/>
      <c r="C41" s="419"/>
      <c r="D41" s="322"/>
    </row>
    <row r="42" spans="1:4" ht="13.5" customHeight="1" x14ac:dyDescent="0.25">
      <c r="A42" s="420"/>
      <c r="B42" s="322" t="str">
        <f>BS!$B$74</f>
        <v>Захирал:</v>
      </c>
      <c r="C42" s="394" t="str">
        <f>НҮҮР!$W$39</f>
        <v>Ш,Азура</v>
      </c>
      <c r="D42" s="322"/>
    </row>
    <row r="43" spans="1:4" ht="13.5" customHeight="1" x14ac:dyDescent="0.25">
      <c r="A43" s="421"/>
      <c r="B43" s="322"/>
      <c r="C43" s="322"/>
      <c r="D43" s="422"/>
    </row>
    <row r="44" spans="1:4" ht="13.5" customHeight="1" x14ac:dyDescent="0.25">
      <c r="A44" s="423"/>
      <c r="B44" s="322"/>
      <c r="C44" s="387"/>
      <c r="D44" s="354"/>
    </row>
    <row r="45" spans="1:4" ht="13.5" customHeight="1" x14ac:dyDescent="0.25">
      <c r="A45" s="322"/>
      <c r="B45" s="322" t="str">
        <f>BS!B77</f>
        <v>Ерөнхий нягтлан бодогч:</v>
      </c>
      <c r="C45" s="394" t="str">
        <f>BS!C77</f>
        <v>С.Одзаяа</v>
      </c>
      <c r="D45" s="322"/>
    </row>
  </sheetData>
  <mergeCells count="5">
    <mergeCell ref="A2:D2"/>
    <mergeCell ref="A3:D3"/>
    <mergeCell ref="A7:A8"/>
    <mergeCell ref="B7:B8"/>
    <mergeCell ref="C7:D7"/>
  </mergeCells>
  <pageMargins left="0.73" right="0.2" top="0.75" bottom="0.75" header="0" footer="0"/>
  <pageSetup paperSize="9" scale="9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92D050"/>
  </sheetPr>
  <dimension ref="A1:Z1000"/>
  <sheetViews>
    <sheetView view="pageBreakPreview" zoomScaleNormal="100" zoomScaleSheetLayoutView="100" workbookViewId="0">
      <selection activeCell="F11" sqref="F11"/>
    </sheetView>
  </sheetViews>
  <sheetFormatPr defaultColWidth="12.6640625" defaultRowHeight="15" customHeight="1" x14ac:dyDescent="0.25"/>
  <cols>
    <col min="1" max="1" width="5.33203125" style="356" customWidth="1"/>
    <col min="2" max="2" width="41.33203125" style="356" customWidth="1"/>
    <col min="3" max="3" width="15.109375" style="356" customWidth="1"/>
    <col min="4" max="4" width="12" style="356" customWidth="1"/>
    <col min="5" max="5" width="13.88671875" style="356" customWidth="1"/>
    <col min="6" max="6" width="15.33203125" style="356" customWidth="1"/>
    <col min="7" max="7" width="15.109375" style="356" customWidth="1"/>
    <col min="8" max="8" width="17.44140625" style="356" bestFit="1" customWidth="1"/>
    <col min="9" max="9" width="17.6640625" style="356" bestFit="1" customWidth="1"/>
    <col min="10" max="10" width="14.88671875" style="356" customWidth="1"/>
    <col min="11" max="12" width="9.109375" style="356" customWidth="1"/>
    <col min="13" max="26" width="8.6640625" style="356" customWidth="1"/>
    <col min="27" max="16384" width="12.6640625" style="356"/>
  </cols>
  <sheetData>
    <row r="1" spans="1:26" ht="13.5" customHeight="1" x14ac:dyDescent="0.25">
      <c r="A1" s="425"/>
      <c r="B1" s="340"/>
      <c r="C1" s="322"/>
      <c r="D1" s="322"/>
      <c r="E1" s="322"/>
      <c r="F1" s="322"/>
      <c r="G1" s="322"/>
      <c r="H1" s="426"/>
      <c r="I1" s="322"/>
    </row>
    <row r="2" spans="1:26" ht="13.5" customHeight="1" x14ac:dyDescent="0.25">
      <c r="A2" s="427"/>
      <c r="B2" s="737" t="s">
        <v>301</v>
      </c>
      <c r="C2" s="725"/>
      <c r="D2" s="725"/>
      <c r="E2" s="725"/>
      <c r="F2" s="725"/>
      <c r="G2" s="725"/>
      <c r="H2" s="725"/>
      <c r="I2" s="426"/>
      <c r="J2" s="395"/>
      <c r="K2" s="395"/>
      <c r="L2" s="395"/>
      <c r="M2" s="395"/>
      <c r="N2" s="395"/>
      <c r="O2" s="395"/>
      <c r="P2" s="395"/>
      <c r="Q2" s="395"/>
      <c r="R2" s="395"/>
      <c r="S2" s="395"/>
      <c r="T2" s="395"/>
      <c r="U2" s="395"/>
      <c r="V2" s="395"/>
      <c r="W2" s="395"/>
      <c r="X2" s="395"/>
      <c r="Y2" s="395"/>
      <c r="Z2" s="395"/>
    </row>
    <row r="3" spans="1:26" ht="13.5" customHeight="1" x14ac:dyDescent="0.25">
      <c r="A3" s="427"/>
      <c r="B3" s="737" t="s">
        <v>302</v>
      </c>
      <c r="C3" s="725"/>
      <c r="D3" s="725"/>
      <c r="E3" s="725"/>
      <c r="F3" s="725"/>
      <c r="G3" s="725"/>
      <c r="H3" s="725"/>
      <c r="I3" s="426"/>
      <c r="J3" s="395"/>
      <c r="K3" s="395"/>
      <c r="L3" s="395"/>
      <c r="M3" s="395"/>
      <c r="N3" s="395"/>
      <c r="O3" s="395"/>
      <c r="P3" s="395"/>
      <c r="Q3" s="395"/>
      <c r="R3" s="395"/>
      <c r="S3" s="395"/>
      <c r="T3" s="395"/>
      <c r="U3" s="395"/>
      <c r="V3" s="395"/>
      <c r="W3" s="395"/>
      <c r="X3" s="395"/>
      <c r="Y3" s="395"/>
      <c r="Z3" s="395"/>
    </row>
    <row r="4" spans="1:26" ht="13.5" customHeight="1" x14ac:dyDescent="0.25">
      <c r="A4" s="425"/>
      <c r="B4" s="391" t="str">
        <f>BS!A4</f>
        <v>"АЗЕЙ" ХХК</v>
      </c>
      <c r="C4" s="322"/>
      <c r="D4" s="322"/>
      <c r="E4" s="322"/>
      <c r="F4" s="322"/>
      <c r="G4" s="322"/>
      <c r="H4" s="426"/>
      <c r="I4" s="428">
        <f>BS!D4</f>
        <v>44926</v>
      </c>
    </row>
    <row r="5" spans="1:26" ht="13.5" customHeight="1" x14ac:dyDescent="0.25">
      <c r="A5" s="425"/>
      <c r="B5" s="340" t="s">
        <v>190</v>
      </c>
      <c r="C5" s="322"/>
      <c r="D5" s="322"/>
      <c r="E5" s="322"/>
      <c r="F5" s="322"/>
      <c r="G5" s="322"/>
      <c r="H5" s="426"/>
      <c r="I5" s="322"/>
    </row>
    <row r="6" spans="1:26" ht="13.5" customHeight="1" x14ac:dyDescent="0.25">
      <c r="A6" s="425"/>
      <c r="B6" s="340"/>
      <c r="C6" s="322"/>
      <c r="D6" s="322"/>
      <c r="E6" s="322"/>
      <c r="F6" s="322"/>
      <c r="G6" s="322"/>
      <c r="H6" s="322"/>
      <c r="I6" s="429" t="str">
        <f>BS!$D$6</f>
        <v>(Төгрөгөөр)</v>
      </c>
    </row>
    <row r="7" spans="1:26" ht="55.2" x14ac:dyDescent="0.25">
      <c r="A7" s="351" t="s">
        <v>42</v>
      </c>
      <c r="B7" s="430" t="s">
        <v>193</v>
      </c>
      <c r="C7" s="431" t="s">
        <v>303</v>
      </c>
      <c r="D7" s="431" t="s">
        <v>261</v>
      </c>
      <c r="E7" s="431" t="s">
        <v>263</v>
      </c>
      <c r="F7" s="431" t="s">
        <v>265</v>
      </c>
      <c r="G7" s="431" t="s">
        <v>266</v>
      </c>
      <c r="H7" s="431" t="s">
        <v>149</v>
      </c>
      <c r="I7" s="430" t="s">
        <v>304</v>
      </c>
      <c r="J7" s="432"/>
      <c r="K7" s="432"/>
      <c r="L7" s="432"/>
      <c r="M7" s="432"/>
      <c r="N7" s="432"/>
      <c r="O7" s="432"/>
      <c r="P7" s="432"/>
      <c r="Q7" s="432"/>
      <c r="R7" s="432"/>
      <c r="S7" s="432"/>
      <c r="T7" s="432"/>
      <c r="U7" s="432"/>
      <c r="V7" s="432"/>
      <c r="W7" s="432"/>
      <c r="X7" s="432"/>
      <c r="Y7" s="432"/>
      <c r="Z7" s="432"/>
    </row>
    <row r="8" spans="1:26" ht="13.5" customHeight="1" x14ac:dyDescent="0.25">
      <c r="A8" s="430">
        <v>1</v>
      </c>
      <c r="B8" s="433" t="str">
        <f>(YEAR(I4)-1)&amp;" оны "&amp;1&amp;"-р сарын "&amp;1&amp; "-ний үлдэгдэл"</f>
        <v>2021 оны 1-р сарын 1-ний үлдэгдэл</v>
      </c>
      <c r="C8" s="434">
        <f>BS!$C$61</f>
        <v>1000000</v>
      </c>
      <c r="D8" s="434">
        <v>0</v>
      </c>
      <c r="E8" s="434">
        <v>0</v>
      </c>
      <c r="F8" s="434">
        <v>0</v>
      </c>
      <c r="G8" s="434">
        <v>0</v>
      </c>
      <c r="H8" s="435">
        <f>BS!$C$68</f>
        <v>2850000</v>
      </c>
      <c r="I8" s="435">
        <f t="shared" ref="I8:I15" si="0">SUM(C8:H8)</f>
        <v>3850000</v>
      </c>
      <c r="J8" s="436"/>
      <c r="K8" s="436"/>
      <c r="L8" s="436"/>
      <c r="M8" s="404"/>
      <c r="N8" s="404"/>
      <c r="O8" s="404"/>
      <c r="P8" s="404"/>
      <c r="Q8" s="404"/>
      <c r="R8" s="404"/>
      <c r="S8" s="404"/>
      <c r="T8" s="404"/>
      <c r="U8" s="404"/>
      <c r="V8" s="404"/>
      <c r="W8" s="404"/>
      <c r="X8" s="404"/>
      <c r="Y8" s="404"/>
      <c r="Z8" s="404"/>
    </row>
    <row r="9" spans="1:26" ht="13.5" customHeight="1" x14ac:dyDescent="0.25">
      <c r="A9" s="437">
        <v>2</v>
      </c>
      <c r="B9" s="438" t="s">
        <v>305</v>
      </c>
      <c r="C9" s="439"/>
      <c r="D9" s="440"/>
      <c r="E9" s="440"/>
      <c r="F9" s="440"/>
      <c r="G9" s="440"/>
      <c r="H9" s="441">
        <f t="shared" ref="H9:H10" si="1">+SUM(C9:G9)</f>
        <v>0</v>
      </c>
      <c r="I9" s="441">
        <f t="shared" si="0"/>
        <v>0</v>
      </c>
      <c r="J9" s="390"/>
    </row>
    <row r="10" spans="1:26" ht="13.5" customHeight="1" x14ac:dyDescent="0.25">
      <c r="A10" s="437">
        <v>3</v>
      </c>
      <c r="B10" s="442" t="s">
        <v>306</v>
      </c>
      <c r="C10" s="440"/>
      <c r="D10" s="440"/>
      <c r="E10" s="440"/>
      <c r="F10" s="440"/>
      <c r="G10" s="440"/>
      <c r="H10" s="441">
        <f t="shared" si="1"/>
        <v>0</v>
      </c>
      <c r="I10" s="441">
        <f t="shared" si="0"/>
        <v>0</v>
      </c>
      <c r="J10" s="390"/>
    </row>
    <row r="11" spans="1:26" ht="13.5" customHeight="1" x14ac:dyDescent="0.25">
      <c r="A11" s="437">
        <v>4</v>
      </c>
      <c r="B11" s="438" t="s">
        <v>294</v>
      </c>
      <c r="C11" s="440"/>
      <c r="D11" s="440"/>
      <c r="E11" s="440"/>
      <c r="F11" s="440"/>
      <c r="G11" s="440"/>
      <c r="H11" s="441"/>
      <c r="I11" s="441">
        <f t="shared" si="0"/>
        <v>0</v>
      </c>
      <c r="J11" s="390"/>
      <c r="K11" s="443"/>
      <c r="L11" s="443"/>
    </row>
    <row r="12" spans="1:26" ht="13.5" customHeight="1" x14ac:dyDescent="0.25">
      <c r="A12" s="437">
        <v>5</v>
      </c>
      <c r="B12" s="438" t="s">
        <v>295</v>
      </c>
      <c r="C12" s="440"/>
      <c r="D12" s="440"/>
      <c r="E12" s="440"/>
      <c r="F12" s="440"/>
      <c r="G12" s="440"/>
      <c r="H12" s="441">
        <f t="shared" ref="H12:H15" si="2">+SUM(C12:G12)</f>
        <v>0</v>
      </c>
      <c r="I12" s="441">
        <f t="shared" si="0"/>
        <v>0</v>
      </c>
      <c r="J12" s="390"/>
    </row>
    <row r="13" spans="1:26" ht="13.5" customHeight="1" x14ac:dyDescent="0.25">
      <c r="A13" s="437">
        <v>6</v>
      </c>
      <c r="B13" s="438" t="s">
        <v>307</v>
      </c>
      <c r="C13" s="440"/>
      <c r="D13" s="440"/>
      <c r="E13" s="440"/>
      <c r="F13" s="440"/>
      <c r="G13" s="440"/>
      <c r="H13" s="441">
        <f t="shared" si="2"/>
        <v>0</v>
      </c>
      <c r="I13" s="441">
        <f t="shared" si="0"/>
        <v>0</v>
      </c>
      <c r="J13" s="390"/>
    </row>
    <row r="14" spans="1:26" ht="13.5" customHeight="1" x14ac:dyDescent="0.25">
      <c r="A14" s="437">
        <v>7</v>
      </c>
      <c r="B14" s="438" t="s">
        <v>308</v>
      </c>
      <c r="C14" s="440"/>
      <c r="D14" s="440"/>
      <c r="E14" s="440"/>
      <c r="F14" s="440"/>
      <c r="G14" s="440"/>
      <c r="H14" s="441">
        <f t="shared" si="2"/>
        <v>0</v>
      </c>
      <c r="I14" s="441">
        <f t="shared" si="0"/>
        <v>0</v>
      </c>
      <c r="J14" s="390"/>
    </row>
    <row r="15" spans="1:26" ht="13.5" customHeight="1" x14ac:dyDescent="0.25">
      <c r="A15" s="437">
        <v>8</v>
      </c>
      <c r="B15" s="438" t="s">
        <v>309</v>
      </c>
      <c r="C15" s="440"/>
      <c r="D15" s="440"/>
      <c r="E15" s="440"/>
      <c r="F15" s="440"/>
      <c r="G15" s="440"/>
      <c r="H15" s="441">
        <f t="shared" si="2"/>
        <v>0</v>
      </c>
      <c r="I15" s="441">
        <f t="shared" si="0"/>
        <v>0</v>
      </c>
      <c r="J15" s="390"/>
    </row>
    <row r="16" spans="1:26" ht="13.5" customHeight="1" x14ac:dyDescent="0.25">
      <c r="A16" s="437">
        <v>9</v>
      </c>
      <c r="B16" s="433" t="str">
        <f>(YEAR(I4)-1)&amp;" оны "&amp;MONTH(I4)&amp;"-р сарын "&amp;DAY(I4)&amp; "-ний үлдэгдэл"</f>
        <v>2021 оны 12-р сарын 31-ний үлдэгдэл</v>
      </c>
      <c r="C16" s="434">
        <f t="shared" ref="C16:I16" si="3">SUM(C8:C15)</f>
        <v>1000000</v>
      </c>
      <c r="D16" s="434">
        <f t="shared" si="3"/>
        <v>0</v>
      </c>
      <c r="E16" s="434">
        <f t="shared" si="3"/>
        <v>0</v>
      </c>
      <c r="F16" s="434">
        <f t="shared" si="3"/>
        <v>0</v>
      </c>
      <c r="G16" s="434">
        <f t="shared" si="3"/>
        <v>0</v>
      </c>
      <c r="H16" s="434">
        <f t="shared" si="3"/>
        <v>2850000</v>
      </c>
      <c r="I16" s="434">
        <f t="shared" si="3"/>
        <v>3850000</v>
      </c>
      <c r="J16" s="390"/>
      <c r="K16" s="443"/>
      <c r="L16" s="443"/>
    </row>
    <row r="17" spans="1:26" ht="13.5" customHeight="1" x14ac:dyDescent="0.25">
      <c r="A17" s="437">
        <v>10</v>
      </c>
      <c r="B17" s="438" t="s">
        <v>305</v>
      </c>
      <c r="C17" s="440"/>
      <c r="D17" s="440"/>
      <c r="E17" s="440"/>
      <c r="F17" s="440"/>
      <c r="G17" s="440"/>
      <c r="H17" s="441">
        <f>+SUM(C17:G17)</f>
        <v>0</v>
      </c>
      <c r="I17" s="441">
        <f t="shared" ref="I17:I24" si="4">SUM(C17:H17)</f>
        <v>0</v>
      </c>
    </row>
    <row r="18" spans="1:26" ht="13.5" customHeight="1" x14ac:dyDescent="0.25">
      <c r="A18" s="437">
        <v>11</v>
      </c>
      <c r="B18" s="438" t="s">
        <v>306</v>
      </c>
      <c r="C18" s="440"/>
      <c r="D18" s="440">
        <f t="shared" ref="D18:G18" si="5">SUM(D8:D17)</f>
        <v>0</v>
      </c>
      <c r="E18" s="440">
        <f t="shared" si="5"/>
        <v>0</v>
      </c>
      <c r="F18" s="440">
        <f t="shared" si="5"/>
        <v>0</v>
      </c>
      <c r="G18" s="440">
        <f t="shared" si="5"/>
        <v>0</v>
      </c>
      <c r="H18" s="440"/>
      <c r="I18" s="441">
        <f t="shared" si="4"/>
        <v>0</v>
      </c>
    </row>
    <row r="19" spans="1:26" ht="13.5" customHeight="1" x14ac:dyDescent="0.25">
      <c r="A19" s="437">
        <v>12</v>
      </c>
      <c r="B19" s="438" t="s">
        <v>294</v>
      </c>
      <c r="C19" s="440"/>
      <c r="D19" s="440"/>
      <c r="E19" s="440"/>
      <c r="F19" s="440"/>
      <c r="G19" s="440"/>
      <c r="H19" s="440">
        <f>IS!$D$30</f>
        <v>6495000</v>
      </c>
      <c r="I19" s="441">
        <f t="shared" si="4"/>
        <v>6495000</v>
      </c>
    </row>
    <row r="20" spans="1:26" ht="13.5" customHeight="1" x14ac:dyDescent="0.25">
      <c r="A20" s="437">
        <v>13</v>
      </c>
      <c r="B20" s="438" t="s">
        <v>295</v>
      </c>
      <c r="C20" s="440"/>
      <c r="D20" s="440"/>
      <c r="E20" s="440"/>
      <c r="F20" s="440"/>
      <c r="G20" s="440"/>
      <c r="H20" s="440"/>
      <c r="I20" s="441">
        <f t="shared" si="4"/>
        <v>0</v>
      </c>
    </row>
    <row r="21" spans="1:26" ht="13.5" customHeight="1" x14ac:dyDescent="0.25">
      <c r="A21" s="437">
        <v>14</v>
      </c>
      <c r="B21" s="438" t="s">
        <v>307</v>
      </c>
      <c r="C21" s="440"/>
      <c r="D21" s="440"/>
      <c r="E21" s="440"/>
      <c r="F21" s="440"/>
      <c r="G21" s="440">
        <f>BS!$D$67</f>
        <v>0</v>
      </c>
      <c r="H21" s="434"/>
      <c r="I21" s="441">
        <f t="shared" si="4"/>
        <v>0</v>
      </c>
    </row>
    <row r="22" spans="1:26" ht="13.5" customHeight="1" x14ac:dyDescent="0.25">
      <c r="A22" s="437">
        <v>15</v>
      </c>
      <c r="B22" s="438" t="s">
        <v>308</v>
      </c>
      <c r="C22" s="440"/>
      <c r="D22" s="440"/>
      <c r="E22" s="440"/>
      <c r="F22" s="440"/>
      <c r="G22" s="440"/>
      <c r="H22" s="434"/>
      <c r="I22" s="441">
        <f t="shared" si="4"/>
        <v>0</v>
      </c>
    </row>
    <row r="23" spans="1:26" ht="13.5" customHeight="1" x14ac:dyDescent="0.25">
      <c r="A23" s="437">
        <v>16</v>
      </c>
      <c r="B23" s="438" t="s">
        <v>309</v>
      </c>
      <c r="C23" s="440"/>
      <c r="D23" s="440"/>
      <c r="E23" s="440"/>
      <c r="F23" s="440"/>
      <c r="G23" s="440"/>
      <c r="H23" s="434"/>
      <c r="I23" s="441">
        <f t="shared" si="4"/>
        <v>0</v>
      </c>
    </row>
    <row r="24" spans="1:26" ht="13.5" customHeight="1" x14ac:dyDescent="0.25">
      <c r="A24" s="437">
        <v>17</v>
      </c>
      <c r="B24" s="433" t="str">
        <f>YEAR(I4)&amp;" оны "&amp;MONTH(I4)&amp;"-р сарын "&amp;DAY(I4)&amp;"-ний үлдэгдэл"</f>
        <v>2022 оны 12-р сарын 31-ний үлдэгдэл</v>
      </c>
      <c r="C24" s="434">
        <f t="shared" ref="C24:H24" si="6">SUM(C16:C23)</f>
        <v>1000000</v>
      </c>
      <c r="D24" s="434">
        <f t="shared" si="6"/>
        <v>0</v>
      </c>
      <c r="E24" s="434">
        <f t="shared" si="6"/>
        <v>0</v>
      </c>
      <c r="F24" s="434">
        <f t="shared" si="6"/>
        <v>0</v>
      </c>
      <c r="G24" s="434">
        <f t="shared" si="6"/>
        <v>0</v>
      </c>
      <c r="H24" s="434">
        <f t="shared" si="6"/>
        <v>9345000</v>
      </c>
      <c r="I24" s="434">
        <f t="shared" si="4"/>
        <v>10345000</v>
      </c>
    </row>
    <row r="25" spans="1:26" ht="13.5" customHeight="1" x14ac:dyDescent="0.25">
      <c r="A25" s="427"/>
      <c r="B25" s="444"/>
      <c r="C25" s="363"/>
      <c r="D25" s="363"/>
      <c r="E25" s="363"/>
      <c r="F25" s="363"/>
      <c r="G25" s="363"/>
      <c r="H25" s="363"/>
      <c r="I25" s="426"/>
      <c r="J25" s="395"/>
      <c r="K25" s="395"/>
      <c r="L25" s="395"/>
      <c r="M25" s="395"/>
      <c r="N25" s="395"/>
      <c r="O25" s="395"/>
      <c r="P25" s="395"/>
      <c r="Q25" s="395"/>
      <c r="R25" s="395"/>
      <c r="S25" s="395"/>
      <c r="T25" s="395"/>
      <c r="U25" s="395"/>
      <c r="V25" s="395"/>
      <c r="W25" s="395"/>
      <c r="X25" s="395"/>
      <c r="Y25" s="395"/>
      <c r="Z25" s="395"/>
    </row>
    <row r="26" spans="1:26" ht="13.5" customHeight="1" x14ac:dyDescent="0.25">
      <c r="A26" s="427"/>
      <c r="B26" s="444"/>
      <c r="C26" s="363"/>
      <c r="D26" s="363"/>
      <c r="E26" s="363"/>
      <c r="F26" s="363"/>
      <c r="G26" s="363"/>
      <c r="H26" s="363"/>
      <c r="I26" s="426"/>
      <c r="J26" s="395"/>
      <c r="K26" s="395"/>
      <c r="L26" s="395"/>
      <c r="M26" s="395"/>
      <c r="N26" s="395"/>
      <c r="O26" s="395"/>
      <c r="P26" s="395"/>
      <c r="Q26" s="395"/>
      <c r="R26" s="395"/>
      <c r="S26" s="395"/>
      <c r="T26" s="395"/>
      <c r="U26" s="395"/>
      <c r="V26" s="395"/>
      <c r="W26" s="395"/>
      <c r="X26" s="395"/>
      <c r="Y26" s="395"/>
      <c r="Z26" s="395"/>
    </row>
    <row r="27" spans="1:26" ht="13.5" customHeight="1" x14ac:dyDescent="0.25">
      <c r="A27" s="425"/>
      <c r="B27" s="322" t="str">
        <f>BS!B74</f>
        <v>Захирал:</v>
      </c>
      <c r="C27" s="354"/>
      <c r="D27" s="354" t="str">
        <f>Info!F7</f>
        <v>Ш,Азура</v>
      </c>
      <c r="E27" s="354"/>
      <c r="F27" s="354"/>
      <c r="G27" s="354"/>
      <c r="H27" s="363"/>
      <c r="I27" s="322"/>
    </row>
    <row r="28" spans="1:26" ht="13.5" customHeight="1" x14ac:dyDescent="0.25">
      <c r="A28" s="425"/>
      <c r="B28" s="322"/>
      <c r="C28" s="322"/>
      <c r="D28" s="322"/>
      <c r="E28" s="354"/>
      <c r="F28" s="422"/>
      <c r="G28" s="322"/>
      <c r="H28" s="445"/>
      <c r="I28" s="322"/>
    </row>
    <row r="29" spans="1:26" ht="13.5" customHeight="1" x14ac:dyDescent="0.25">
      <c r="A29" s="425"/>
      <c r="B29" s="322"/>
      <c r="C29" s="387"/>
      <c r="D29" s="322"/>
      <c r="E29" s="354"/>
      <c r="F29" s="354"/>
      <c r="G29" s="322"/>
      <c r="H29" s="446"/>
      <c r="I29" s="322"/>
    </row>
    <row r="30" spans="1:26" ht="13.5" customHeight="1" x14ac:dyDescent="0.25">
      <c r="A30" s="425"/>
      <c r="B30" s="322" t="str">
        <f>BS!B77</f>
        <v>Ерөнхий нягтлан бодогч:</v>
      </c>
      <c r="C30" s="387"/>
      <c r="D30" s="322" t="str">
        <f>Info!F8</f>
        <v>С.Одзаяа</v>
      </c>
      <c r="E30" s="354"/>
      <c r="F30" s="354"/>
      <c r="G30" s="322"/>
      <c r="H30" s="446"/>
      <c r="I30" s="322"/>
    </row>
    <row r="31" spans="1:26" ht="13.5" customHeight="1" x14ac:dyDescent="0.25">
      <c r="A31" s="425"/>
      <c r="B31" s="322"/>
      <c r="C31" s="322"/>
      <c r="D31" s="322"/>
      <c r="E31" s="354"/>
      <c r="F31" s="447"/>
      <c r="G31" s="322"/>
      <c r="H31" s="448" t="s">
        <v>54</v>
      </c>
      <c r="I31" s="394">
        <f>I24-BS!D70</f>
        <v>0</v>
      </c>
    </row>
    <row r="32" spans="1:26" ht="13.5" customHeight="1" x14ac:dyDescent="0.25">
      <c r="A32" s="432"/>
      <c r="B32" s="424"/>
      <c r="C32" s="355"/>
      <c r="D32" s="355"/>
      <c r="E32" s="355"/>
      <c r="F32" s="355"/>
      <c r="G32" s="390"/>
      <c r="H32" s="395"/>
    </row>
    <row r="33" spans="1:8" ht="13.5" customHeight="1" x14ac:dyDescent="0.25">
      <c r="A33" s="432"/>
      <c r="B33" s="449"/>
      <c r="H33" s="395"/>
    </row>
    <row r="34" spans="1:8" ht="13.5" customHeight="1" x14ac:dyDescent="0.25">
      <c r="A34" s="432"/>
      <c r="B34" s="449"/>
      <c r="H34" s="395"/>
    </row>
    <row r="35" spans="1:8" ht="13.5" customHeight="1" x14ac:dyDescent="0.25">
      <c r="A35" s="432"/>
      <c r="B35" s="449"/>
      <c r="H35" s="395"/>
    </row>
    <row r="36" spans="1:8" ht="13.5" customHeight="1" x14ac:dyDescent="0.25">
      <c r="A36" s="432"/>
      <c r="B36" s="449"/>
      <c r="H36" s="395"/>
    </row>
    <row r="37" spans="1:8" ht="13.5" customHeight="1" x14ac:dyDescent="0.25">
      <c r="A37" s="432"/>
      <c r="B37" s="449"/>
      <c r="H37" s="395"/>
    </row>
    <row r="38" spans="1:8" ht="13.5" customHeight="1" x14ac:dyDescent="0.25">
      <c r="A38" s="432"/>
      <c r="B38" s="449"/>
      <c r="H38" s="395"/>
    </row>
    <row r="39" spans="1:8" ht="13.5" customHeight="1" x14ac:dyDescent="0.25">
      <c r="A39" s="432"/>
      <c r="B39" s="449"/>
      <c r="H39" s="395"/>
    </row>
    <row r="40" spans="1:8" ht="13.5" customHeight="1" x14ac:dyDescent="0.25">
      <c r="A40" s="432"/>
      <c r="B40" s="449"/>
      <c r="H40" s="395"/>
    </row>
    <row r="41" spans="1:8" ht="13.5" customHeight="1" x14ac:dyDescent="0.25">
      <c r="A41" s="432"/>
      <c r="B41" s="449"/>
      <c r="H41" s="395"/>
    </row>
    <row r="42" spans="1:8" ht="13.5" customHeight="1" x14ac:dyDescent="0.25">
      <c r="A42" s="432"/>
      <c r="B42" s="449"/>
      <c r="H42" s="395"/>
    </row>
    <row r="43" spans="1:8" ht="13.5" customHeight="1" x14ac:dyDescent="0.25">
      <c r="A43" s="432"/>
      <c r="B43" s="449"/>
      <c r="H43" s="395"/>
    </row>
    <row r="44" spans="1:8" ht="13.5" customHeight="1" x14ac:dyDescent="0.25">
      <c r="A44" s="432"/>
      <c r="B44" s="449"/>
      <c r="H44" s="395"/>
    </row>
    <row r="45" spans="1:8" ht="13.5" customHeight="1" x14ac:dyDescent="0.25">
      <c r="A45" s="432"/>
      <c r="B45" s="449"/>
      <c r="H45" s="395"/>
    </row>
    <row r="46" spans="1:8" ht="13.5" customHeight="1" x14ac:dyDescent="0.25">
      <c r="A46" s="432"/>
      <c r="B46" s="449"/>
      <c r="H46" s="395"/>
    </row>
    <row r="47" spans="1:8" ht="13.5" customHeight="1" x14ac:dyDescent="0.25">
      <c r="A47" s="432"/>
      <c r="B47" s="449"/>
      <c r="H47" s="395"/>
    </row>
    <row r="48" spans="1:8" ht="13.5" customHeight="1" x14ac:dyDescent="0.25">
      <c r="A48" s="432"/>
      <c r="B48" s="449"/>
      <c r="H48" s="395"/>
    </row>
    <row r="49" spans="1:8" ht="13.5" customHeight="1" x14ac:dyDescent="0.25">
      <c r="A49" s="432"/>
      <c r="B49" s="449"/>
      <c r="H49" s="395"/>
    </row>
    <row r="50" spans="1:8" ht="13.5" customHeight="1" x14ac:dyDescent="0.25">
      <c r="A50" s="432"/>
      <c r="B50" s="449"/>
      <c r="H50" s="395"/>
    </row>
    <row r="51" spans="1:8" ht="13.5" customHeight="1" x14ac:dyDescent="0.25">
      <c r="A51" s="432"/>
      <c r="B51" s="449"/>
      <c r="H51" s="395"/>
    </row>
    <row r="52" spans="1:8" ht="13.5" customHeight="1" x14ac:dyDescent="0.25">
      <c r="A52" s="432"/>
      <c r="B52" s="449"/>
      <c r="H52" s="395"/>
    </row>
    <row r="53" spans="1:8" ht="13.5" customHeight="1" x14ac:dyDescent="0.25">
      <c r="A53" s="432"/>
      <c r="B53" s="449"/>
      <c r="H53" s="395"/>
    </row>
    <row r="54" spans="1:8" ht="13.5" customHeight="1" x14ac:dyDescent="0.25">
      <c r="A54" s="432"/>
      <c r="B54" s="449"/>
      <c r="H54" s="395"/>
    </row>
    <row r="55" spans="1:8" ht="13.5" customHeight="1" x14ac:dyDescent="0.25">
      <c r="A55" s="432"/>
      <c r="B55" s="449"/>
      <c r="H55" s="395"/>
    </row>
    <row r="56" spans="1:8" ht="13.5" customHeight="1" x14ac:dyDescent="0.25">
      <c r="A56" s="432"/>
      <c r="B56" s="449"/>
      <c r="H56" s="395"/>
    </row>
    <row r="57" spans="1:8" ht="13.5" customHeight="1" x14ac:dyDescent="0.25">
      <c r="A57" s="432"/>
      <c r="B57" s="449"/>
      <c r="H57" s="395"/>
    </row>
    <row r="58" spans="1:8" ht="13.5" customHeight="1" x14ac:dyDescent="0.25">
      <c r="A58" s="432"/>
      <c r="B58" s="449"/>
      <c r="H58" s="395"/>
    </row>
    <row r="59" spans="1:8" ht="13.5" customHeight="1" x14ac:dyDescent="0.25">
      <c r="A59" s="432"/>
      <c r="B59" s="449"/>
      <c r="H59" s="395"/>
    </row>
    <row r="60" spans="1:8" ht="13.5" customHeight="1" x14ac:dyDescent="0.25">
      <c r="A60" s="432"/>
      <c r="B60" s="449"/>
      <c r="H60" s="395"/>
    </row>
    <row r="61" spans="1:8" ht="13.5" customHeight="1" x14ac:dyDescent="0.25">
      <c r="A61" s="432"/>
      <c r="B61" s="449"/>
      <c r="H61" s="395"/>
    </row>
    <row r="62" spans="1:8" ht="13.5" customHeight="1" x14ac:dyDescent="0.25">
      <c r="A62" s="432"/>
      <c r="B62" s="449"/>
      <c r="H62" s="395"/>
    </row>
    <row r="63" spans="1:8" ht="13.5" customHeight="1" x14ac:dyDescent="0.25">
      <c r="A63" s="432"/>
      <c r="B63" s="449"/>
      <c r="H63" s="395"/>
    </row>
    <row r="64" spans="1:8" ht="13.5" customHeight="1" x14ac:dyDescent="0.25">
      <c r="A64" s="432"/>
      <c r="B64" s="449"/>
      <c r="H64" s="395"/>
    </row>
    <row r="65" spans="1:8" ht="13.5" customHeight="1" x14ac:dyDescent="0.25">
      <c r="A65" s="432"/>
      <c r="B65" s="449"/>
      <c r="H65" s="395"/>
    </row>
    <row r="66" spans="1:8" ht="13.5" customHeight="1" x14ac:dyDescent="0.25">
      <c r="A66" s="432"/>
      <c r="B66" s="449"/>
      <c r="H66" s="395"/>
    </row>
    <row r="67" spans="1:8" ht="13.5" customHeight="1" x14ac:dyDescent="0.25">
      <c r="A67" s="432"/>
      <c r="B67" s="449"/>
      <c r="H67" s="395"/>
    </row>
    <row r="68" spans="1:8" ht="13.5" customHeight="1" x14ac:dyDescent="0.25">
      <c r="A68" s="432"/>
      <c r="B68" s="449"/>
      <c r="H68" s="395"/>
    </row>
    <row r="69" spans="1:8" ht="13.5" customHeight="1" x14ac:dyDescent="0.25">
      <c r="A69" s="432"/>
      <c r="B69" s="449"/>
      <c r="H69" s="395"/>
    </row>
    <row r="70" spans="1:8" ht="13.5" customHeight="1" x14ac:dyDescent="0.25">
      <c r="A70" s="432"/>
      <c r="B70" s="449"/>
      <c r="H70" s="395"/>
    </row>
    <row r="71" spans="1:8" ht="13.5" customHeight="1" x14ac:dyDescent="0.25">
      <c r="A71" s="432"/>
      <c r="B71" s="449"/>
      <c r="H71" s="395"/>
    </row>
    <row r="72" spans="1:8" ht="13.5" customHeight="1" x14ac:dyDescent="0.25">
      <c r="A72" s="432"/>
      <c r="B72" s="449"/>
      <c r="H72" s="395"/>
    </row>
    <row r="73" spans="1:8" ht="13.5" customHeight="1" x14ac:dyDescent="0.25">
      <c r="A73" s="432"/>
      <c r="B73" s="449"/>
      <c r="H73" s="395"/>
    </row>
    <row r="74" spans="1:8" ht="13.5" customHeight="1" x14ac:dyDescent="0.25">
      <c r="A74" s="432"/>
      <c r="B74" s="449"/>
      <c r="H74" s="395"/>
    </row>
    <row r="75" spans="1:8" ht="13.5" customHeight="1" x14ac:dyDescent="0.25">
      <c r="A75" s="432"/>
      <c r="B75" s="449"/>
      <c r="H75" s="395"/>
    </row>
    <row r="76" spans="1:8" ht="13.5" customHeight="1" x14ac:dyDescent="0.25">
      <c r="A76" s="432"/>
      <c r="B76" s="449"/>
      <c r="H76" s="395"/>
    </row>
    <row r="77" spans="1:8" ht="13.5" customHeight="1" x14ac:dyDescent="0.25">
      <c r="A77" s="432"/>
      <c r="B77" s="449"/>
      <c r="H77" s="395"/>
    </row>
    <row r="78" spans="1:8" ht="13.5" customHeight="1" x14ac:dyDescent="0.25">
      <c r="A78" s="432"/>
      <c r="B78" s="449"/>
      <c r="H78" s="395"/>
    </row>
    <row r="79" spans="1:8" ht="13.5" customHeight="1" x14ac:dyDescent="0.25">
      <c r="A79" s="432"/>
      <c r="B79" s="449"/>
      <c r="H79" s="395"/>
    </row>
    <row r="80" spans="1:8" ht="13.5" customHeight="1" x14ac:dyDescent="0.25">
      <c r="A80" s="432"/>
      <c r="B80" s="449"/>
      <c r="H80" s="395"/>
    </row>
    <row r="81" spans="1:8" ht="13.5" customHeight="1" x14ac:dyDescent="0.25">
      <c r="A81" s="432"/>
      <c r="B81" s="449"/>
      <c r="H81" s="395"/>
    </row>
    <row r="82" spans="1:8" ht="13.5" customHeight="1" x14ac:dyDescent="0.25">
      <c r="A82" s="432"/>
      <c r="B82" s="449"/>
      <c r="H82" s="395"/>
    </row>
    <row r="83" spans="1:8" ht="13.5" customHeight="1" x14ac:dyDescent="0.25">
      <c r="A83" s="432"/>
      <c r="B83" s="449"/>
      <c r="H83" s="395"/>
    </row>
    <row r="84" spans="1:8" ht="13.5" customHeight="1" x14ac:dyDescent="0.25">
      <c r="A84" s="432"/>
      <c r="B84" s="449"/>
      <c r="H84" s="395"/>
    </row>
    <row r="85" spans="1:8" ht="13.5" customHeight="1" x14ac:dyDescent="0.25">
      <c r="A85" s="432"/>
      <c r="B85" s="449"/>
      <c r="H85" s="395"/>
    </row>
    <row r="86" spans="1:8" ht="13.5" customHeight="1" x14ac:dyDescent="0.25">
      <c r="A86" s="432"/>
      <c r="B86" s="449"/>
      <c r="H86" s="395"/>
    </row>
    <row r="87" spans="1:8" ht="13.5" customHeight="1" x14ac:dyDescent="0.25">
      <c r="A87" s="432"/>
      <c r="B87" s="449"/>
      <c r="H87" s="395"/>
    </row>
    <row r="88" spans="1:8" ht="13.5" customHeight="1" x14ac:dyDescent="0.25">
      <c r="A88" s="432"/>
      <c r="B88" s="449"/>
      <c r="H88" s="395"/>
    </row>
    <row r="89" spans="1:8" ht="13.5" customHeight="1" x14ac:dyDescent="0.25">
      <c r="A89" s="432"/>
      <c r="B89" s="449"/>
      <c r="H89" s="395"/>
    </row>
    <row r="90" spans="1:8" ht="13.5" customHeight="1" x14ac:dyDescent="0.25">
      <c r="A90" s="432"/>
      <c r="B90" s="449"/>
      <c r="H90" s="395"/>
    </row>
    <row r="91" spans="1:8" ht="13.5" customHeight="1" x14ac:dyDescent="0.25">
      <c r="A91" s="432"/>
      <c r="B91" s="449"/>
      <c r="H91" s="395"/>
    </row>
    <row r="92" spans="1:8" ht="13.5" customHeight="1" x14ac:dyDescent="0.25">
      <c r="A92" s="432"/>
      <c r="B92" s="449"/>
      <c r="H92" s="395"/>
    </row>
    <row r="93" spans="1:8" ht="13.5" customHeight="1" x14ac:dyDescent="0.25">
      <c r="A93" s="432"/>
      <c r="B93" s="449"/>
      <c r="H93" s="395"/>
    </row>
    <row r="94" spans="1:8" ht="13.5" customHeight="1" x14ac:dyDescent="0.25">
      <c r="A94" s="432"/>
      <c r="B94" s="449"/>
      <c r="H94" s="395"/>
    </row>
    <row r="95" spans="1:8" ht="13.5" customHeight="1" x14ac:dyDescent="0.25">
      <c r="A95" s="432"/>
      <c r="B95" s="449"/>
      <c r="H95" s="395"/>
    </row>
    <row r="96" spans="1:8" ht="13.5" customHeight="1" x14ac:dyDescent="0.25">
      <c r="A96" s="432"/>
      <c r="B96" s="449"/>
      <c r="H96" s="395"/>
    </row>
    <row r="97" spans="1:8" ht="13.5" customHeight="1" x14ac:dyDescent="0.25">
      <c r="A97" s="432"/>
      <c r="B97" s="449"/>
      <c r="H97" s="395"/>
    </row>
    <row r="98" spans="1:8" ht="13.5" customHeight="1" x14ac:dyDescent="0.25">
      <c r="A98" s="432"/>
      <c r="B98" s="449"/>
      <c r="H98" s="395"/>
    </row>
    <row r="99" spans="1:8" ht="13.5" customHeight="1" x14ac:dyDescent="0.25">
      <c r="A99" s="432"/>
      <c r="B99" s="449"/>
      <c r="H99" s="395"/>
    </row>
    <row r="100" spans="1:8" ht="13.5" customHeight="1" x14ac:dyDescent="0.25">
      <c r="A100" s="432"/>
      <c r="B100" s="449"/>
      <c r="H100" s="395"/>
    </row>
    <row r="101" spans="1:8" ht="13.5" customHeight="1" x14ac:dyDescent="0.25">
      <c r="A101" s="432"/>
      <c r="B101" s="449"/>
      <c r="H101" s="395"/>
    </row>
    <row r="102" spans="1:8" ht="13.5" customHeight="1" x14ac:dyDescent="0.25">
      <c r="A102" s="432"/>
      <c r="B102" s="449"/>
      <c r="H102" s="395"/>
    </row>
    <row r="103" spans="1:8" ht="13.5" customHeight="1" x14ac:dyDescent="0.25">
      <c r="A103" s="432"/>
      <c r="B103" s="449"/>
      <c r="H103" s="395"/>
    </row>
    <row r="104" spans="1:8" ht="13.5" customHeight="1" x14ac:dyDescent="0.25">
      <c r="A104" s="432"/>
      <c r="B104" s="449"/>
      <c r="H104" s="395"/>
    </row>
    <row r="105" spans="1:8" ht="13.5" customHeight="1" x14ac:dyDescent="0.25">
      <c r="A105" s="432"/>
      <c r="B105" s="449"/>
      <c r="H105" s="395"/>
    </row>
    <row r="106" spans="1:8" ht="13.5" customHeight="1" x14ac:dyDescent="0.25">
      <c r="A106" s="432"/>
      <c r="B106" s="449"/>
      <c r="H106" s="395"/>
    </row>
    <row r="107" spans="1:8" ht="13.5" customHeight="1" x14ac:dyDescent="0.25">
      <c r="A107" s="432"/>
      <c r="B107" s="449"/>
      <c r="H107" s="395"/>
    </row>
    <row r="108" spans="1:8" ht="13.5" customHeight="1" x14ac:dyDescent="0.25">
      <c r="A108" s="432"/>
      <c r="B108" s="449"/>
      <c r="H108" s="395"/>
    </row>
    <row r="109" spans="1:8" ht="13.5" customHeight="1" x14ac:dyDescent="0.25">
      <c r="A109" s="432"/>
      <c r="B109" s="449"/>
      <c r="H109" s="395"/>
    </row>
    <row r="110" spans="1:8" ht="13.5" customHeight="1" x14ac:dyDescent="0.25">
      <c r="A110" s="432"/>
      <c r="B110" s="449"/>
      <c r="H110" s="395"/>
    </row>
    <row r="111" spans="1:8" ht="13.5" customHeight="1" x14ac:dyDescent="0.25">
      <c r="A111" s="432"/>
      <c r="B111" s="449"/>
      <c r="H111" s="395"/>
    </row>
    <row r="112" spans="1:8" ht="13.5" customHeight="1" x14ac:dyDescent="0.25">
      <c r="A112" s="432"/>
      <c r="B112" s="449"/>
      <c r="H112" s="395"/>
    </row>
    <row r="113" spans="1:8" ht="13.5" customHeight="1" x14ac:dyDescent="0.25">
      <c r="A113" s="432"/>
      <c r="B113" s="449"/>
      <c r="H113" s="395"/>
    </row>
    <row r="114" spans="1:8" ht="13.5" customHeight="1" x14ac:dyDescent="0.25">
      <c r="A114" s="432"/>
      <c r="B114" s="449"/>
      <c r="H114" s="395"/>
    </row>
    <row r="115" spans="1:8" ht="13.5" customHeight="1" x14ac:dyDescent="0.25">
      <c r="A115" s="432"/>
      <c r="B115" s="449"/>
      <c r="H115" s="395"/>
    </row>
    <row r="116" spans="1:8" ht="13.5" customHeight="1" x14ac:dyDescent="0.25">
      <c r="A116" s="432"/>
      <c r="B116" s="449"/>
      <c r="H116" s="395"/>
    </row>
    <row r="117" spans="1:8" ht="13.5" customHeight="1" x14ac:dyDescent="0.25">
      <c r="A117" s="432"/>
      <c r="B117" s="449"/>
      <c r="H117" s="395"/>
    </row>
    <row r="118" spans="1:8" ht="13.5" customHeight="1" x14ac:dyDescent="0.25">
      <c r="A118" s="432"/>
      <c r="B118" s="449"/>
      <c r="H118" s="395"/>
    </row>
    <row r="119" spans="1:8" ht="13.5" customHeight="1" x14ac:dyDescent="0.25">
      <c r="A119" s="432"/>
      <c r="B119" s="449"/>
      <c r="H119" s="395"/>
    </row>
    <row r="120" spans="1:8" ht="13.5" customHeight="1" x14ac:dyDescent="0.25">
      <c r="A120" s="432"/>
      <c r="B120" s="449"/>
      <c r="H120" s="395"/>
    </row>
    <row r="121" spans="1:8" ht="13.5" customHeight="1" x14ac:dyDescent="0.25">
      <c r="A121" s="432"/>
      <c r="B121" s="449"/>
      <c r="H121" s="395"/>
    </row>
    <row r="122" spans="1:8" ht="13.5" customHeight="1" x14ac:dyDescent="0.25">
      <c r="A122" s="432"/>
      <c r="B122" s="449"/>
      <c r="H122" s="395"/>
    </row>
    <row r="123" spans="1:8" ht="13.5" customHeight="1" x14ac:dyDescent="0.25">
      <c r="A123" s="432"/>
      <c r="B123" s="449"/>
      <c r="H123" s="395"/>
    </row>
    <row r="124" spans="1:8" ht="13.5" customHeight="1" x14ac:dyDescent="0.25">
      <c r="A124" s="432"/>
      <c r="B124" s="449"/>
      <c r="H124" s="395"/>
    </row>
    <row r="125" spans="1:8" ht="13.5" customHeight="1" x14ac:dyDescent="0.25">
      <c r="A125" s="432"/>
      <c r="B125" s="449"/>
      <c r="H125" s="395"/>
    </row>
    <row r="126" spans="1:8" ht="13.5" customHeight="1" x14ac:dyDescent="0.25">
      <c r="A126" s="432"/>
      <c r="B126" s="449"/>
      <c r="H126" s="395"/>
    </row>
    <row r="127" spans="1:8" ht="13.5" customHeight="1" x14ac:dyDescent="0.25">
      <c r="A127" s="432"/>
      <c r="B127" s="449"/>
      <c r="H127" s="395"/>
    </row>
    <row r="128" spans="1:8" ht="13.5" customHeight="1" x14ac:dyDescent="0.25">
      <c r="A128" s="432"/>
      <c r="B128" s="449"/>
      <c r="H128" s="395"/>
    </row>
    <row r="129" spans="1:8" ht="13.5" customHeight="1" x14ac:dyDescent="0.25">
      <c r="A129" s="432"/>
      <c r="B129" s="449"/>
      <c r="H129" s="395"/>
    </row>
    <row r="130" spans="1:8" ht="13.5" customHeight="1" x14ac:dyDescent="0.25">
      <c r="A130" s="432"/>
      <c r="B130" s="449"/>
      <c r="H130" s="395"/>
    </row>
    <row r="131" spans="1:8" ht="13.5" customHeight="1" x14ac:dyDescent="0.25">
      <c r="A131" s="432"/>
      <c r="B131" s="449"/>
      <c r="H131" s="395"/>
    </row>
    <row r="132" spans="1:8" ht="13.5" customHeight="1" x14ac:dyDescent="0.25">
      <c r="A132" s="432"/>
      <c r="B132" s="449"/>
      <c r="H132" s="395"/>
    </row>
    <row r="133" spans="1:8" ht="13.5" customHeight="1" x14ac:dyDescent="0.25">
      <c r="A133" s="432"/>
      <c r="B133" s="449"/>
      <c r="H133" s="395"/>
    </row>
    <row r="134" spans="1:8" ht="13.5" customHeight="1" x14ac:dyDescent="0.25">
      <c r="A134" s="432"/>
      <c r="B134" s="449"/>
      <c r="H134" s="395"/>
    </row>
    <row r="135" spans="1:8" ht="13.5" customHeight="1" x14ac:dyDescent="0.25">
      <c r="A135" s="432"/>
      <c r="B135" s="449"/>
      <c r="H135" s="395"/>
    </row>
    <row r="136" spans="1:8" ht="13.5" customHeight="1" x14ac:dyDescent="0.25">
      <c r="A136" s="432"/>
      <c r="B136" s="449"/>
      <c r="H136" s="395"/>
    </row>
    <row r="137" spans="1:8" ht="13.5" customHeight="1" x14ac:dyDescent="0.25">
      <c r="A137" s="432"/>
      <c r="B137" s="449"/>
      <c r="H137" s="395"/>
    </row>
    <row r="138" spans="1:8" ht="13.5" customHeight="1" x14ac:dyDescent="0.25">
      <c r="A138" s="432"/>
      <c r="B138" s="449"/>
      <c r="H138" s="395"/>
    </row>
    <row r="139" spans="1:8" ht="13.5" customHeight="1" x14ac:dyDescent="0.25">
      <c r="A139" s="432"/>
      <c r="B139" s="449"/>
      <c r="H139" s="395"/>
    </row>
    <row r="140" spans="1:8" ht="13.5" customHeight="1" x14ac:dyDescent="0.25">
      <c r="A140" s="432"/>
      <c r="B140" s="449"/>
      <c r="H140" s="395"/>
    </row>
    <row r="141" spans="1:8" ht="13.5" customHeight="1" x14ac:dyDescent="0.25">
      <c r="A141" s="432"/>
      <c r="B141" s="449"/>
      <c r="H141" s="395"/>
    </row>
    <row r="142" spans="1:8" ht="13.5" customHeight="1" x14ac:dyDescent="0.25">
      <c r="A142" s="432"/>
      <c r="B142" s="449"/>
      <c r="H142" s="395"/>
    </row>
    <row r="143" spans="1:8" ht="13.5" customHeight="1" x14ac:dyDescent="0.25">
      <c r="A143" s="432"/>
      <c r="B143" s="449"/>
      <c r="H143" s="395"/>
    </row>
    <row r="144" spans="1:8" ht="13.5" customHeight="1" x14ac:dyDescent="0.25">
      <c r="A144" s="432"/>
      <c r="B144" s="449"/>
      <c r="H144" s="395"/>
    </row>
    <row r="145" spans="1:8" ht="13.5" customHeight="1" x14ac:dyDescent="0.25">
      <c r="A145" s="432"/>
      <c r="B145" s="449"/>
      <c r="H145" s="395"/>
    </row>
    <row r="146" spans="1:8" ht="13.5" customHeight="1" x14ac:dyDescent="0.25">
      <c r="A146" s="432"/>
      <c r="B146" s="449"/>
      <c r="H146" s="395"/>
    </row>
    <row r="147" spans="1:8" ht="13.5" customHeight="1" x14ac:dyDescent="0.25">
      <c r="A147" s="432"/>
      <c r="B147" s="449"/>
      <c r="H147" s="395"/>
    </row>
    <row r="148" spans="1:8" ht="13.5" customHeight="1" x14ac:dyDescent="0.25">
      <c r="A148" s="432"/>
      <c r="B148" s="449"/>
      <c r="H148" s="395"/>
    </row>
    <row r="149" spans="1:8" ht="13.5" customHeight="1" x14ac:dyDescent="0.25">
      <c r="A149" s="432"/>
      <c r="B149" s="449"/>
      <c r="H149" s="395"/>
    </row>
    <row r="150" spans="1:8" ht="13.5" customHeight="1" x14ac:dyDescent="0.25">
      <c r="A150" s="432"/>
      <c r="B150" s="449"/>
      <c r="H150" s="395"/>
    </row>
    <row r="151" spans="1:8" ht="13.5" customHeight="1" x14ac:dyDescent="0.25">
      <c r="A151" s="432"/>
      <c r="B151" s="449"/>
      <c r="H151" s="395"/>
    </row>
    <row r="152" spans="1:8" ht="13.5" customHeight="1" x14ac:dyDescent="0.25">
      <c r="A152" s="432"/>
      <c r="B152" s="449"/>
      <c r="H152" s="395"/>
    </row>
    <row r="153" spans="1:8" ht="13.5" customHeight="1" x14ac:dyDescent="0.25">
      <c r="A153" s="432"/>
      <c r="B153" s="449"/>
      <c r="H153" s="395"/>
    </row>
    <row r="154" spans="1:8" ht="13.5" customHeight="1" x14ac:dyDescent="0.25">
      <c r="A154" s="432"/>
      <c r="B154" s="449"/>
      <c r="H154" s="395"/>
    </row>
    <row r="155" spans="1:8" ht="13.5" customHeight="1" x14ac:dyDescent="0.25">
      <c r="A155" s="432"/>
      <c r="B155" s="449"/>
      <c r="H155" s="395"/>
    </row>
    <row r="156" spans="1:8" ht="13.5" customHeight="1" x14ac:dyDescent="0.25">
      <c r="A156" s="432"/>
      <c r="B156" s="449"/>
      <c r="H156" s="395"/>
    </row>
    <row r="157" spans="1:8" ht="13.5" customHeight="1" x14ac:dyDescent="0.25">
      <c r="A157" s="432"/>
      <c r="B157" s="449"/>
      <c r="H157" s="395"/>
    </row>
    <row r="158" spans="1:8" ht="13.5" customHeight="1" x14ac:dyDescent="0.25">
      <c r="A158" s="432"/>
      <c r="B158" s="449"/>
      <c r="H158" s="395"/>
    </row>
    <row r="159" spans="1:8" ht="13.5" customHeight="1" x14ac:dyDescent="0.25">
      <c r="A159" s="432"/>
      <c r="B159" s="449"/>
      <c r="H159" s="395"/>
    </row>
    <row r="160" spans="1:8" ht="13.5" customHeight="1" x14ac:dyDescent="0.25">
      <c r="A160" s="432"/>
      <c r="B160" s="449"/>
      <c r="H160" s="395"/>
    </row>
    <row r="161" spans="1:8" ht="13.5" customHeight="1" x14ac:dyDescent="0.25">
      <c r="A161" s="432"/>
      <c r="B161" s="449"/>
      <c r="H161" s="395"/>
    </row>
    <row r="162" spans="1:8" ht="13.5" customHeight="1" x14ac:dyDescent="0.25">
      <c r="A162" s="432"/>
      <c r="B162" s="449"/>
      <c r="H162" s="395"/>
    </row>
    <row r="163" spans="1:8" ht="13.5" customHeight="1" x14ac:dyDescent="0.25">
      <c r="A163" s="432"/>
      <c r="B163" s="449"/>
      <c r="H163" s="395"/>
    </row>
    <row r="164" spans="1:8" ht="13.5" customHeight="1" x14ac:dyDescent="0.25">
      <c r="A164" s="432"/>
      <c r="B164" s="449"/>
      <c r="H164" s="395"/>
    </row>
    <row r="165" spans="1:8" ht="13.5" customHeight="1" x14ac:dyDescent="0.25">
      <c r="A165" s="432"/>
      <c r="B165" s="449"/>
      <c r="H165" s="395"/>
    </row>
    <row r="166" spans="1:8" ht="13.5" customHeight="1" x14ac:dyDescent="0.25">
      <c r="A166" s="432"/>
      <c r="B166" s="449"/>
      <c r="H166" s="395"/>
    </row>
    <row r="167" spans="1:8" ht="13.5" customHeight="1" x14ac:dyDescent="0.25">
      <c r="A167" s="432"/>
      <c r="B167" s="449"/>
      <c r="H167" s="395"/>
    </row>
    <row r="168" spans="1:8" ht="13.5" customHeight="1" x14ac:dyDescent="0.25">
      <c r="A168" s="432"/>
      <c r="B168" s="449"/>
      <c r="H168" s="395"/>
    </row>
    <row r="169" spans="1:8" ht="13.5" customHeight="1" x14ac:dyDescent="0.25">
      <c r="A169" s="432"/>
      <c r="B169" s="449"/>
      <c r="H169" s="395"/>
    </row>
    <row r="170" spans="1:8" ht="13.5" customHeight="1" x14ac:dyDescent="0.25">
      <c r="A170" s="432"/>
      <c r="B170" s="449"/>
      <c r="H170" s="395"/>
    </row>
    <row r="171" spans="1:8" ht="13.5" customHeight="1" x14ac:dyDescent="0.25">
      <c r="A171" s="432"/>
      <c r="B171" s="449"/>
      <c r="H171" s="395"/>
    </row>
    <row r="172" spans="1:8" ht="13.5" customHeight="1" x14ac:dyDescent="0.25">
      <c r="A172" s="432"/>
      <c r="B172" s="449"/>
      <c r="H172" s="395"/>
    </row>
    <row r="173" spans="1:8" ht="13.5" customHeight="1" x14ac:dyDescent="0.25">
      <c r="A173" s="432"/>
      <c r="B173" s="449"/>
      <c r="H173" s="395"/>
    </row>
    <row r="174" spans="1:8" ht="13.5" customHeight="1" x14ac:dyDescent="0.25">
      <c r="A174" s="432"/>
      <c r="B174" s="449"/>
      <c r="H174" s="395"/>
    </row>
    <row r="175" spans="1:8" ht="13.5" customHeight="1" x14ac:dyDescent="0.25">
      <c r="A175" s="432"/>
      <c r="B175" s="449"/>
      <c r="H175" s="395"/>
    </row>
    <row r="176" spans="1:8" ht="13.5" customHeight="1" x14ac:dyDescent="0.25">
      <c r="A176" s="432"/>
      <c r="B176" s="449"/>
      <c r="H176" s="395"/>
    </row>
    <row r="177" spans="1:8" ht="13.5" customHeight="1" x14ac:dyDescent="0.25">
      <c r="A177" s="432"/>
      <c r="B177" s="449"/>
      <c r="H177" s="395"/>
    </row>
    <row r="178" spans="1:8" ht="13.5" customHeight="1" x14ac:dyDescent="0.25">
      <c r="A178" s="432"/>
      <c r="B178" s="449"/>
      <c r="H178" s="395"/>
    </row>
    <row r="179" spans="1:8" ht="13.5" customHeight="1" x14ac:dyDescent="0.25">
      <c r="A179" s="432"/>
      <c r="B179" s="449"/>
      <c r="H179" s="395"/>
    </row>
    <row r="180" spans="1:8" ht="13.5" customHeight="1" x14ac:dyDescent="0.25">
      <c r="A180" s="432"/>
      <c r="B180" s="449"/>
      <c r="H180" s="395"/>
    </row>
    <row r="181" spans="1:8" ht="13.5" customHeight="1" x14ac:dyDescent="0.25">
      <c r="A181" s="432"/>
      <c r="B181" s="449"/>
      <c r="H181" s="395"/>
    </row>
    <row r="182" spans="1:8" ht="13.5" customHeight="1" x14ac:dyDescent="0.25">
      <c r="A182" s="432"/>
      <c r="B182" s="449"/>
      <c r="H182" s="395"/>
    </row>
    <row r="183" spans="1:8" ht="13.5" customHeight="1" x14ac:dyDescent="0.25">
      <c r="A183" s="432"/>
      <c r="B183" s="449"/>
      <c r="H183" s="395"/>
    </row>
    <row r="184" spans="1:8" ht="13.5" customHeight="1" x14ac:dyDescent="0.25">
      <c r="A184" s="432"/>
      <c r="B184" s="449"/>
      <c r="H184" s="395"/>
    </row>
    <row r="185" spans="1:8" ht="13.5" customHeight="1" x14ac:dyDescent="0.25">
      <c r="A185" s="432"/>
      <c r="B185" s="449"/>
      <c r="H185" s="395"/>
    </row>
    <row r="186" spans="1:8" ht="13.5" customHeight="1" x14ac:dyDescent="0.25">
      <c r="A186" s="432"/>
      <c r="B186" s="449"/>
      <c r="H186" s="395"/>
    </row>
    <row r="187" spans="1:8" ht="13.5" customHeight="1" x14ac:dyDescent="0.25">
      <c r="A187" s="432"/>
      <c r="B187" s="449"/>
      <c r="H187" s="395"/>
    </row>
    <row r="188" spans="1:8" ht="13.5" customHeight="1" x14ac:dyDescent="0.25">
      <c r="A188" s="432"/>
      <c r="B188" s="449"/>
      <c r="H188" s="395"/>
    </row>
    <row r="189" spans="1:8" ht="13.5" customHeight="1" x14ac:dyDescent="0.25">
      <c r="A189" s="432"/>
      <c r="B189" s="449"/>
      <c r="H189" s="395"/>
    </row>
    <row r="190" spans="1:8" ht="13.5" customHeight="1" x14ac:dyDescent="0.25">
      <c r="A190" s="432"/>
      <c r="B190" s="449"/>
      <c r="H190" s="395"/>
    </row>
    <row r="191" spans="1:8" ht="13.5" customHeight="1" x14ac:dyDescent="0.25">
      <c r="A191" s="432"/>
      <c r="B191" s="449"/>
      <c r="H191" s="395"/>
    </row>
    <row r="192" spans="1:8" ht="13.5" customHeight="1" x14ac:dyDescent="0.25">
      <c r="A192" s="432"/>
      <c r="B192" s="449"/>
      <c r="H192" s="395"/>
    </row>
    <row r="193" spans="1:8" ht="13.5" customHeight="1" x14ac:dyDescent="0.25">
      <c r="A193" s="432"/>
      <c r="B193" s="449"/>
      <c r="H193" s="395"/>
    </row>
    <row r="194" spans="1:8" ht="13.5" customHeight="1" x14ac:dyDescent="0.25">
      <c r="A194" s="432"/>
      <c r="B194" s="449"/>
      <c r="H194" s="395"/>
    </row>
    <row r="195" spans="1:8" ht="13.5" customHeight="1" x14ac:dyDescent="0.25">
      <c r="A195" s="432"/>
      <c r="B195" s="449"/>
      <c r="H195" s="395"/>
    </row>
    <row r="196" spans="1:8" ht="13.5" customHeight="1" x14ac:dyDescent="0.25">
      <c r="A196" s="432"/>
      <c r="B196" s="449"/>
      <c r="H196" s="395"/>
    </row>
    <row r="197" spans="1:8" ht="13.5" customHeight="1" x14ac:dyDescent="0.25">
      <c r="A197" s="432"/>
      <c r="B197" s="449"/>
      <c r="H197" s="395"/>
    </row>
    <row r="198" spans="1:8" ht="13.5" customHeight="1" x14ac:dyDescent="0.25">
      <c r="A198" s="432"/>
      <c r="B198" s="449"/>
      <c r="H198" s="395"/>
    </row>
    <row r="199" spans="1:8" ht="13.5" customHeight="1" x14ac:dyDescent="0.25">
      <c r="A199" s="432"/>
      <c r="B199" s="449"/>
      <c r="H199" s="395"/>
    </row>
    <row r="200" spans="1:8" ht="13.5" customHeight="1" x14ac:dyDescent="0.25">
      <c r="A200" s="432"/>
      <c r="B200" s="449"/>
      <c r="H200" s="395"/>
    </row>
    <row r="201" spans="1:8" ht="13.5" customHeight="1" x14ac:dyDescent="0.25">
      <c r="A201" s="432"/>
      <c r="B201" s="449"/>
      <c r="H201" s="395"/>
    </row>
    <row r="202" spans="1:8" ht="13.5" customHeight="1" x14ac:dyDescent="0.25">
      <c r="A202" s="432"/>
      <c r="B202" s="449"/>
      <c r="H202" s="395"/>
    </row>
    <row r="203" spans="1:8" ht="13.5" customHeight="1" x14ac:dyDescent="0.25">
      <c r="A203" s="432"/>
      <c r="B203" s="449"/>
      <c r="H203" s="395"/>
    </row>
    <row r="204" spans="1:8" ht="13.5" customHeight="1" x14ac:dyDescent="0.25">
      <c r="A204" s="432"/>
      <c r="B204" s="449"/>
      <c r="H204" s="395"/>
    </row>
    <row r="205" spans="1:8" ht="13.5" customHeight="1" x14ac:dyDescent="0.25">
      <c r="A205" s="432"/>
      <c r="B205" s="449"/>
      <c r="H205" s="395"/>
    </row>
    <row r="206" spans="1:8" ht="13.5" customHeight="1" x14ac:dyDescent="0.25">
      <c r="A206" s="432"/>
      <c r="B206" s="449"/>
      <c r="H206" s="395"/>
    </row>
    <row r="207" spans="1:8" ht="13.5" customHeight="1" x14ac:dyDescent="0.25">
      <c r="A207" s="432"/>
      <c r="B207" s="449"/>
      <c r="H207" s="395"/>
    </row>
    <row r="208" spans="1:8" ht="13.5" customHeight="1" x14ac:dyDescent="0.25">
      <c r="A208" s="432"/>
      <c r="B208" s="449"/>
      <c r="H208" s="395"/>
    </row>
    <row r="209" spans="1:8" ht="13.5" customHeight="1" x14ac:dyDescent="0.25">
      <c r="A209" s="432"/>
      <c r="B209" s="449"/>
      <c r="H209" s="395"/>
    </row>
    <row r="210" spans="1:8" ht="13.5" customHeight="1" x14ac:dyDescent="0.25">
      <c r="A210" s="432"/>
      <c r="B210" s="449"/>
      <c r="H210" s="395"/>
    </row>
    <row r="211" spans="1:8" ht="13.5" customHeight="1" x14ac:dyDescent="0.25">
      <c r="A211" s="432"/>
      <c r="B211" s="449"/>
      <c r="H211" s="395"/>
    </row>
    <row r="212" spans="1:8" ht="13.5" customHeight="1" x14ac:dyDescent="0.25">
      <c r="A212" s="432"/>
      <c r="B212" s="449"/>
      <c r="H212" s="395"/>
    </row>
    <row r="213" spans="1:8" ht="13.5" customHeight="1" x14ac:dyDescent="0.25">
      <c r="A213" s="432"/>
      <c r="B213" s="449"/>
      <c r="H213" s="395"/>
    </row>
    <row r="214" spans="1:8" ht="13.5" customHeight="1" x14ac:dyDescent="0.25">
      <c r="A214" s="432"/>
      <c r="B214" s="449"/>
      <c r="H214" s="395"/>
    </row>
    <row r="215" spans="1:8" ht="13.5" customHeight="1" x14ac:dyDescent="0.25">
      <c r="A215" s="432"/>
      <c r="B215" s="449"/>
      <c r="H215" s="395"/>
    </row>
    <row r="216" spans="1:8" ht="13.5" customHeight="1" x14ac:dyDescent="0.25">
      <c r="A216" s="432"/>
      <c r="B216" s="449"/>
      <c r="H216" s="395"/>
    </row>
    <row r="217" spans="1:8" ht="13.5" customHeight="1" x14ac:dyDescent="0.25">
      <c r="A217" s="432"/>
      <c r="B217" s="449"/>
      <c r="H217" s="395"/>
    </row>
    <row r="218" spans="1:8" ht="13.5" customHeight="1" x14ac:dyDescent="0.25">
      <c r="A218" s="432"/>
      <c r="B218" s="449"/>
      <c r="H218" s="395"/>
    </row>
    <row r="219" spans="1:8" ht="13.5" customHeight="1" x14ac:dyDescent="0.25">
      <c r="A219" s="432"/>
      <c r="B219" s="449"/>
      <c r="H219" s="395"/>
    </row>
    <row r="220" spans="1:8" ht="13.5" customHeight="1" x14ac:dyDescent="0.25">
      <c r="A220" s="432"/>
      <c r="B220" s="449"/>
      <c r="H220" s="395"/>
    </row>
    <row r="221" spans="1:8" ht="13.5" customHeight="1" x14ac:dyDescent="0.25">
      <c r="A221" s="432"/>
      <c r="B221" s="449"/>
      <c r="H221" s="395"/>
    </row>
    <row r="222" spans="1:8" ht="13.5" customHeight="1" x14ac:dyDescent="0.25">
      <c r="A222" s="432"/>
      <c r="B222" s="449"/>
      <c r="H222" s="395"/>
    </row>
    <row r="223" spans="1:8" ht="13.5" customHeight="1" x14ac:dyDescent="0.25">
      <c r="A223" s="432"/>
      <c r="B223" s="449"/>
      <c r="H223" s="395"/>
    </row>
    <row r="224" spans="1:8" ht="13.5" customHeight="1" x14ac:dyDescent="0.25">
      <c r="A224" s="432"/>
      <c r="B224" s="449"/>
      <c r="H224" s="395"/>
    </row>
    <row r="225" spans="1:8" ht="13.5" customHeight="1" x14ac:dyDescent="0.25">
      <c r="A225" s="432"/>
      <c r="B225" s="449"/>
      <c r="H225" s="395"/>
    </row>
    <row r="226" spans="1:8" ht="13.5" customHeight="1" x14ac:dyDescent="0.25">
      <c r="A226" s="432"/>
      <c r="B226" s="449"/>
      <c r="H226" s="395"/>
    </row>
    <row r="227" spans="1:8" ht="13.5" customHeight="1" x14ac:dyDescent="0.25">
      <c r="A227" s="432"/>
      <c r="B227" s="449"/>
      <c r="H227" s="395"/>
    </row>
    <row r="228" spans="1:8" ht="13.5" customHeight="1" x14ac:dyDescent="0.25">
      <c r="A228" s="432"/>
      <c r="B228" s="449"/>
      <c r="H228" s="395"/>
    </row>
    <row r="229" spans="1:8" ht="13.5" customHeight="1" x14ac:dyDescent="0.25">
      <c r="A229" s="432"/>
      <c r="B229" s="449"/>
      <c r="H229" s="395"/>
    </row>
    <row r="230" spans="1:8" ht="13.5" customHeight="1" x14ac:dyDescent="0.25">
      <c r="A230" s="432"/>
      <c r="B230" s="449"/>
      <c r="H230" s="395"/>
    </row>
    <row r="231" spans="1:8" ht="13.5" customHeight="1" x14ac:dyDescent="0.25">
      <c r="A231" s="432"/>
      <c r="B231" s="449"/>
      <c r="H231" s="395"/>
    </row>
    <row r="232" spans="1:8" ht="13.5" customHeight="1" x14ac:dyDescent="0.25">
      <c r="A232" s="432"/>
      <c r="B232" s="449"/>
      <c r="H232" s="395"/>
    </row>
    <row r="233" spans="1:8" ht="13.5" customHeight="1" x14ac:dyDescent="0.25">
      <c r="A233" s="432"/>
      <c r="B233" s="449"/>
      <c r="H233" s="395"/>
    </row>
    <row r="234" spans="1:8" ht="13.5" customHeight="1" x14ac:dyDescent="0.25">
      <c r="A234" s="432"/>
      <c r="B234" s="449"/>
      <c r="H234" s="395"/>
    </row>
    <row r="235" spans="1:8" ht="13.5" customHeight="1" x14ac:dyDescent="0.25">
      <c r="A235" s="432"/>
      <c r="B235" s="449"/>
      <c r="H235" s="395"/>
    </row>
    <row r="236" spans="1:8" ht="13.5" customHeight="1" x14ac:dyDescent="0.25">
      <c r="A236" s="432"/>
      <c r="B236" s="449"/>
      <c r="H236" s="395"/>
    </row>
    <row r="237" spans="1:8" ht="13.5" customHeight="1" x14ac:dyDescent="0.25">
      <c r="A237" s="432"/>
      <c r="B237" s="449"/>
      <c r="H237" s="395"/>
    </row>
    <row r="238" spans="1:8" ht="13.5" customHeight="1" x14ac:dyDescent="0.25">
      <c r="A238" s="432"/>
      <c r="B238" s="449"/>
      <c r="H238" s="395"/>
    </row>
    <row r="239" spans="1:8" ht="13.5" customHeight="1" x14ac:dyDescent="0.25">
      <c r="A239" s="432"/>
      <c r="B239" s="449"/>
      <c r="H239" s="395"/>
    </row>
    <row r="240" spans="1:8" ht="13.5" customHeight="1" x14ac:dyDescent="0.25">
      <c r="A240" s="432"/>
      <c r="B240" s="449"/>
      <c r="H240" s="395"/>
    </row>
    <row r="241" spans="1:8" ht="13.5" customHeight="1" x14ac:dyDescent="0.25">
      <c r="A241" s="432"/>
      <c r="B241" s="449"/>
      <c r="H241" s="395"/>
    </row>
    <row r="242" spans="1:8" ht="13.5" customHeight="1" x14ac:dyDescent="0.25">
      <c r="A242" s="432"/>
      <c r="B242" s="449"/>
      <c r="H242" s="395"/>
    </row>
    <row r="243" spans="1:8" ht="13.5" customHeight="1" x14ac:dyDescent="0.25">
      <c r="A243" s="432"/>
      <c r="B243" s="449"/>
      <c r="H243" s="395"/>
    </row>
    <row r="244" spans="1:8" ht="13.5" customHeight="1" x14ac:dyDescent="0.25">
      <c r="A244" s="432"/>
      <c r="B244" s="449"/>
      <c r="H244" s="395"/>
    </row>
    <row r="245" spans="1:8" ht="13.5" customHeight="1" x14ac:dyDescent="0.25">
      <c r="A245" s="432"/>
      <c r="B245" s="449"/>
      <c r="H245" s="395"/>
    </row>
    <row r="246" spans="1:8" ht="13.5" customHeight="1" x14ac:dyDescent="0.25">
      <c r="A246" s="432"/>
      <c r="B246" s="449"/>
      <c r="H246" s="395"/>
    </row>
    <row r="247" spans="1:8" ht="13.5" customHeight="1" x14ac:dyDescent="0.25">
      <c r="A247" s="432"/>
      <c r="B247" s="449"/>
      <c r="H247" s="395"/>
    </row>
    <row r="248" spans="1:8" ht="13.5" customHeight="1" x14ac:dyDescent="0.25">
      <c r="A248" s="432"/>
      <c r="B248" s="449"/>
      <c r="H248" s="395"/>
    </row>
    <row r="249" spans="1:8" ht="13.5" customHeight="1" x14ac:dyDescent="0.25">
      <c r="A249" s="432"/>
      <c r="B249" s="449"/>
      <c r="H249" s="395"/>
    </row>
    <row r="250" spans="1:8" ht="13.5" customHeight="1" x14ac:dyDescent="0.25">
      <c r="A250" s="432"/>
      <c r="B250" s="449"/>
      <c r="H250" s="395"/>
    </row>
    <row r="251" spans="1:8" ht="13.5" customHeight="1" x14ac:dyDescent="0.25">
      <c r="A251" s="432"/>
      <c r="B251" s="449"/>
      <c r="H251" s="395"/>
    </row>
    <row r="252" spans="1:8" ht="13.5" customHeight="1" x14ac:dyDescent="0.25">
      <c r="A252" s="432"/>
      <c r="B252" s="449"/>
      <c r="H252" s="395"/>
    </row>
    <row r="253" spans="1:8" ht="13.5" customHeight="1" x14ac:dyDescent="0.25">
      <c r="A253" s="432"/>
      <c r="B253" s="449"/>
      <c r="H253" s="395"/>
    </row>
    <row r="254" spans="1:8" ht="13.5" customHeight="1" x14ac:dyDescent="0.25">
      <c r="A254" s="432"/>
      <c r="B254" s="449"/>
      <c r="H254" s="395"/>
    </row>
    <row r="255" spans="1:8" ht="13.5" customHeight="1" x14ac:dyDescent="0.25">
      <c r="A255" s="432"/>
      <c r="B255" s="449"/>
      <c r="H255" s="395"/>
    </row>
    <row r="256" spans="1:8" ht="13.5" customHeight="1" x14ac:dyDescent="0.25">
      <c r="A256" s="432"/>
      <c r="B256" s="449"/>
      <c r="H256" s="395"/>
    </row>
    <row r="257" spans="1:8" ht="13.5" customHeight="1" x14ac:dyDescent="0.25">
      <c r="A257" s="432"/>
      <c r="B257" s="449"/>
      <c r="H257" s="395"/>
    </row>
    <row r="258" spans="1:8" ht="13.5" customHeight="1" x14ac:dyDescent="0.25">
      <c r="A258" s="432"/>
      <c r="B258" s="449"/>
      <c r="H258" s="395"/>
    </row>
    <row r="259" spans="1:8" ht="13.5" customHeight="1" x14ac:dyDescent="0.25">
      <c r="A259" s="432"/>
      <c r="B259" s="449"/>
      <c r="H259" s="395"/>
    </row>
    <row r="260" spans="1:8" ht="13.5" customHeight="1" x14ac:dyDescent="0.25">
      <c r="A260" s="432"/>
      <c r="B260" s="449"/>
      <c r="H260" s="395"/>
    </row>
    <row r="261" spans="1:8" ht="13.5" customHeight="1" x14ac:dyDescent="0.25">
      <c r="A261" s="432"/>
      <c r="B261" s="449"/>
      <c r="H261" s="395"/>
    </row>
    <row r="262" spans="1:8" ht="13.5" customHeight="1" x14ac:dyDescent="0.25">
      <c r="A262" s="432"/>
      <c r="B262" s="449"/>
      <c r="H262" s="395"/>
    </row>
    <row r="263" spans="1:8" ht="13.5" customHeight="1" x14ac:dyDescent="0.25">
      <c r="A263" s="432"/>
      <c r="B263" s="449"/>
      <c r="H263" s="395"/>
    </row>
    <row r="264" spans="1:8" ht="13.5" customHeight="1" x14ac:dyDescent="0.25">
      <c r="A264" s="432"/>
      <c r="B264" s="449"/>
      <c r="H264" s="395"/>
    </row>
    <row r="265" spans="1:8" ht="13.5" customHeight="1" x14ac:dyDescent="0.25">
      <c r="A265" s="432"/>
      <c r="B265" s="449"/>
      <c r="H265" s="395"/>
    </row>
    <row r="266" spans="1:8" ht="13.5" customHeight="1" x14ac:dyDescent="0.25">
      <c r="A266" s="432"/>
      <c r="B266" s="449"/>
      <c r="H266" s="395"/>
    </row>
    <row r="267" spans="1:8" ht="13.5" customHeight="1" x14ac:dyDescent="0.25">
      <c r="A267" s="432"/>
      <c r="B267" s="449"/>
      <c r="H267" s="395"/>
    </row>
    <row r="268" spans="1:8" ht="13.5" customHeight="1" x14ac:dyDescent="0.25">
      <c r="A268" s="432"/>
      <c r="B268" s="449"/>
      <c r="H268" s="395"/>
    </row>
    <row r="269" spans="1:8" ht="13.5" customHeight="1" x14ac:dyDescent="0.25">
      <c r="A269" s="432"/>
      <c r="B269" s="449"/>
      <c r="H269" s="395"/>
    </row>
    <row r="270" spans="1:8" ht="13.5" customHeight="1" x14ac:dyDescent="0.25">
      <c r="A270" s="432"/>
      <c r="B270" s="449"/>
      <c r="H270" s="395"/>
    </row>
    <row r="271" spans="1:8" ht="13.5" customHeight="1" x14ac:dyDescent="0.25">
      <c r="A271" s="432"/>
      <c r="B271" s="449"/>
      <c r="H271" s="395"/>
    </row>
    <row r="272" spans="1:8" ht="13.5" customHeight="1" x14ac:dyDescent="0.25">
      <c r="A272" s="432"/>
      <c r="B272" s="449"/>
      <c r="H272" s="395"/>
    </row>
    <row r="273" spans="1:8" ht="13.5" customHeight="1" x14ac:dyDescent="0.25">
      <c r="A273" s="432"/>
      <c r="B273" s="449"/>
      <c r="H273" s="395"/>
    </row>
    <row r="274" spans="1:8" ht="13.5" customHeight="1" x14ac:dyDescent="0.25">
      <c r="A274" s="432"/>
      <c r="B274" s="449"/>
      <c r="H274" s="395"/>
    </row>
    <row r="275" spans="1:8" ht="13.5" customHeight="1" x14ac:dyDescent="0.25">
      <c r="A275" s="432"/>
      <c r="B275" s="449"/>
      <c r="H275" s="395"/>
    </row>
    <row r="276" spans="1:8" ht="13.5" customHeight="1" x14ac:dyDescent="0.25">
      <c r="A276" s="432"/>
      <c r="B276" s="449"/>
      <c r="H276" s="395"/>
    </row>
    <row r="277" spans="1:8" ht="13.5" customHeight="1" x14ac:dyDescent="0.25">
      <c r="A277" s="432"/>
      <c r="B277" s="449"/>
      <c r="H277" s="395"/>
    </row>
    <row r="278" spans="1:8" ht="13.5" customHeight="1" x14ac:dyDescent="0.25">
      <c r="A278" s="432"/>
      <c r="B278" s="449"/>
      <c r="H278" s="395"/>
    </row>
    <row r="279" spans="1:8" ht="13.5" customHeight="1" x14ac:dyDescent="0.25">
      <c r="A279" s="432"/>
      <c r="B279" s="449"/>
      <c r="H279" s="395"/>
    </row>
    <row r="280" spans="1:8" ht="13.5" customHeight="1" x14ac:dyDescent="0.25">
      <c r="A280" s="432"/>
      <c r="B280" s="449"/>
      <c r="H280" s="395"/>
    </row>
    <row r="281" spans="1:8" ht="13.5" customHeight="1" x14ac:dyDescent="0.25">
      <c r="A281" s="432"/>
      <c r="B281" s="449"/>
      <c r="H281" s="395"/>
    </row>
    <row r="282" spans="1:8" ht="13.5" customHeight="1" x14ac:dyDescent="0.25">
      <c r="A282" s="432"/>
      <c r="B282" s="449"/>
      <c r="H282" s="395"/>
    </row>
    <row r="283" spans="1:8" ht="13.5" customHeight="1" x14ac:dyDescent="0.25">
      <c r="A283" s="432"/>
      <c r="B283" s="449"/>
      <c r="H283" s="395"/>
    </row>
    <row r="284" spans="1:8" ht="13.5" customHeight="1" x14ac:dyDescent="0.25">
      <c r="A284" s="432"/>
      <c r="B284" s="449"/>
      <c r="H284" s="395"/>
    </row>
    <row r="285" spans="1:8" ht="13.5" customHeight="1" x14ac:dyDescent="0.25">
      <c r="A285" s="432"/>
      <c r="B285" s="449"/>
      <c r="H285" s="395"/>
    </row>
    <row r="286" spans="1:8" ht="13.5" customHeight="1" x14ac:dyDescent="0.25">
      <c r="A286" s="432"/>
      <c r="B286" s="449"/>
      <c r="H286" s="395"/>
    </row>
    <row r="287" spans="1:8" ht="13.5" customHeight="1" x14ac:dyDescent="0.25">
      <c r="A287" s="432"/>
      <c r="B287" s="449"/>
      <c r="H287" s="395"/>
    </row>
    <row r="288" spans="1:8" ht="13.5" customHeight="1" x14ac:dyDescent="0.25">
      <c r="A288" s="432"/>
      <c r="B288" s="449"/>
      <c r="H288" s="395"/>
    </row>
    <row r="289" spans="1:8" ht="13.5" customHeight="1" x14ac:dyDescent="0.25">
      <c r="A289" s="432"/>
      <c r="B289" s="449"/>
      <c r="H289" s="395"/>
    </row>
    <row r="290" spans="1:8" ht="13.5" customHeight="1" x14ac:dyDescent="0.25">
      <c r="A290" s="432"/>
      <c r="B290" s="449"/>
      <c r="H290" s="395"/>
    </row>
    <row r="291" spans="1:8" ht="13.5" customHeight="1" x14ac:dyDescent="0.25">
      <c r="A291" s="432"/>
      <c r="B291" s="449"/>
      <c r="H291" s="395"/>
    </row>
    <row r="292" spans="1:8" ht="13.5" customHeight="1" x14ac:dyDescent="0.25">
      <c r="A292" s="432"/>
      <c r="B292" s="449"/>
      <c r="H292" s="395"/>
    </row>
    <row r="293" spans="1:8" ht="13.5" customHeight="1" x14ac:dyDescent="0.25">
      <c r="A293" s="432"/>
      <c r="B293" s="449"/>
      <c r="H293" s="395"/>
    </row>
    <row r="294" spans="1:8" ht="13.5" customHeight="1" x14ac:dyDescent="0.25">
      <c r="A294" s="432"/>
      <c r="B294" s="449"/>
      <c r="H294" s="395"/>
    </row>
    <row r="295" spans="1:8" ht="13.5" customHeight="1" x14ac:dyDescent="0.25">
      <c r="A295" s="432"/>
      <c r="B295" s="449"/>
      <c r="H295" s="395"/>
    </row>
    <row r="296" spans="1:8" ht="13.5" customHeight="1" x14ac:dyDescent="0.25">
      <c r="A296" s="432"/>
      <c r="B296" s="449"/>
      <c r="H296" s="395"/>
    </row>
    <row r="297" spans="1:8" ht="13.5" customHeight="1" x14ac:dyDescent="0.25">
      <c r="A297" s="432"/>
      <c r="B297" s="449"/>
      <c r="H297" s="395"/>
    </row>
    <row r="298" spans="1:8" ht="13.5" customHeight="1" x14ac:dyDescent="0.25">
      <c r="A298" s="432"/>
      <c r="B298" s="449"/>
      <c r="H298" s="395"/>
    </row>
    <row r="299" spans="1:8" ht="13.5" customHeight="1" x14ac:dyDescent="0.25">
      <c r="A299" s="432"/>
      <c r="B299" s="449"/>
      <c r="H299" s="395"/>
    </row>
    <row r="300" spans="1:8" ht="13.5" customHeight="1" x14ac:dyDescent="0.25">
      <c r="A300" s="432"/>
      <c r="B300" s="449"/>
      <c r="H300" s="395"/>
    </row>
    <row r="301" spans="1:8" ht="13.5" customHeight="1" x14ac:dyDescent="0.25">
      <c r="A301" s="432"/>
      <c r="B301" s="449"/>
      <c r="H301" s="395"/>
    </row>
    <row r="302" spans="1:8" ht="13.5" customHeight="1" x14ac:dyDescent="0.25">
      <c r="A302" s="432"/>
      <c r="B302" s="449"/>
      <c r="H302" s="395"/>
    </row>
    <row r="303" spans="1:8" ht="13.5" customHeight="1" x14ac:dyDescent="0.25">
      <c r="A303" s="432"/>
      <c r="B303" s="449"/>
      <c r="H303" s="395"/>
    </row>
    <row r="304" spans="1:8" ht="13.5" customHeight="1" x14ac:dyDescent="0.25">
      <c r="A304" s="432"/>
      <c r="B304" s="449"/>
      <c r="H304" s="395"/>
    </row>
    <row r="305" spans="1:8" ht="13.5" customHeight="1" x14ac:dyDescent="0.25">
      <c r="A305" s="432"/>
      <c r="B305" s="449"/>
      <c r="H305" s="395"/>
    </row>
    <row r="306" spans="1:8" ht="13.5" customHeight="1" x14ac:dyDescent="0.25">
      <c r="A306" s="432"/>
      <c r="B306" s="449"/>
      <c r="H306" s="395"/>
    </row>
    <row r="307" spans="1:8" ht="13.5" customHeight="1" x14ac:dyDescent="0.25">
      <c r="A307" s="432"/>
      <c r="B307" s="449"/>
      <c r="H307" s="395"/>
    </row>
    <row r="308" spans="1:8" ht="13.5" customHeight="1" x14ac:dyDescent="0.25">
      <c r="A308" s="432"/>
      <c r="B308" s="449"/>
      <c r="H308" s="395"/>
    </row>
    <row r="309" spans="1:8" ht="13.5" customHeight="1" x14ac:dyDescent="0.25">
      <c r="A309" s="432"/>
      <c r="B309" s="449"/>
      <c r="H309" s="395"/>
    </row>
    <row r="310" spans="1:8" ht="13.5" customHeight="1" x14ac:dyDescent="0.25">
      <c r="A310" s="432"/>
      <c r="B310" s="449"/>
      <c r="H310" s="395"/>
    </row>
    <row r="311" spans="1:8" ht="13.5" customHeight="1" x14ac:dyDescent="0.25">
      <c r="A311" s="432"/>
      <c r="B311" s="449"/>
      <c r="H311" s="395"/>
    </row>
    <row r="312" spans="1:8" ht="13.5" customHeight="1" x14ac:dyDescent="0.25">
      <c r="A312" s="432"/>
      <c r="B312" s="449"/>
      <c r="H312" s="395"/>
    </row>
    <row r="313" spans="1:8" ht="13.5" customHeight="1" x14ac:dyDescent="0.25">
      <c r="A313" s="432"/>
      <c r="B313" s="449"/>
      <c r="H313" s="395"/>
    </row>
    <row r="314" spans="1:8" ht="13.5" customHeight="1" x14ac:dyDescent="0.25">
      <c r="A314" s="432"/>
      <c r="B314" s="449"/>
      <c r="H314" s="395"/>
    </row>
    <row r="315" spans="1:8" ht="13.5" customHeight="1" x14ac:dyDescent="0.25">
      <c r="A315" s="432"/>
      <c r="B315" s="449"/>
      <c r="H315" s="395"/>
    </row>
    <row r="316" spans="1:8" ht="13.5" customHeight="1" x14ac:dyDescent="0.25">
      <c r="A316" s="432"/>
      <c r="B316" s="449"/>
      <c r="H316" s="395"/>
    </row>
    <row r="317" spans="1:8" ht="13.5" customHeight="1" x14ac:dyDescent="0.25">
      <c r="A317" s="432"/>
      <c r="B317" s="449"/>
      <c r="H317" s="395"/>
    </row>
    <row r="318" spans="1:8" ht="13.5" customHeight="1" x14ac:dyDescent="0.25">
      <c r="A318" s="432"/>
      <c r="B318" s="449"/>
      <c r="H318" s="395"/>
    </row>
    <row r="319" spans="1:8" ht="13.5" customHeight="1" x14ac:dyDescent="0.25">
      <c r="A319" s="432"/>
      <c r="B319" s="449"/>
      <c r="H319" s="395"/>
    </row>
    <row r="320" spans="1:8" ht="13.5" customHeight="1" x14ac:dyDescent="0.25">
      <c r="A320" s="432"/>
      <c r="B320" s="449"/>
      <c r="H320" s="395"/>
    </row>
    <row r="321" spans="1:8" ht="13.5" customHeight="1" x14ac:dyDescent="0.25">
      <c r="A321" s="432"/>
      <c r="B321" s="449"/>
      <c r="H321" s="395"/>
    </row>
    <row r="322" spans="1:8" ht="13.5" customHeight="1" x14ac:dyDescent="0.25">
      <c r="A322" s="432"/>
      <c r="B322" s="449"/>
      <c r="H322" s="395"/>
    </row>
    <row r="323" spans="1:8" ht="13.5" customHeight="1" x14ac:dyDescent="0.25">
      <c r="A323" s="432"/>
      <c r="B323" s="449"/>
      <c r="H323" s="395"/>
    </row>
    <row r="324" spans="1:8" ht="13.5" customHeight="1" x14ac:dyDescent="0.25">
      <c r="A324" s="432"/>
      <c r="B324" s="449"/>
      <c r="H324" s="395"/>
    </row>
    <row r="325" spans="1:8" ht="13.5" customHeight="1" x14ac:dyDescent="0.25">
      <c r="A325" s="432"/>
      <c r="B325" s="449"/>
      <c r="H325" s="395"/>
    </row>
    <row r="326" spans="1:8" ht="13.5" customHeight="1" x14ac:dyDescent="0.25">
      <c r="A326" s="432"/>
      <c r="B326" s="449"/>
      <c r="H326" s="395"/>
    </row>
    <row r="327" spans="1:8" ht="13.5" customHeight="1" x14ac:dyDescent="0.25">
      <c r="A327" s="432"/>
      <c r="B327" s="449"/>
      <c r="H327" s="395"/>
    </row>
    <row r="328" spans="1:8" ht="13.5" customHeight="1" x14ac:dyDescent="0.25">
      <c r="A328" s="432"/>
      <c r="B328" s="449"/>
      <c r="H328" s="395"/>
    </row>
    <row r="329" spans="1:8" ht="13.5" customHeight="1" x14ac:dyDescent="0.25">
      <c r="A329" s="432"/>
      <c r="B329" s="449"/>
      <c r="H329" s="395"/>
    </row>
    <row r="330" spans="1:8" ht="13.5" customHeight="1" x14ac:dyDescent="0.25">
      <c r="A330" s="432"/>
      <c r="B330" s="449"/>
      <c r="H330" s="395"/>
    </row>
    <row r="331" spans="1:8" ht="13.5" customHeight="1" x14ac:dyDescent="0.25">
      <c r="A331" s="432"/>
      <c r="B331" s="449"/>
      <c r="H331" s="395"/>
    </row>
    <row r="332" spans="1:8" ht="13.5" customHeight="1" x14ac:dyDescent="0.25">
      <c r="A332" s="432"/>
      <c r="B332" s="449"/>
      <c r="H332" s="395"/>
    </row>
    <row r="333" spans="1:8" ht="13.5" customHeight="1" x14ac:dyDescent="0.25">
      <c r="A333" s="432"/>
      <c r="B333" s="449"/>
      <c r="H333" s="395"/>
    </row>
    <row r="334" spans="1:8" ht="13.5" customHeight="1" x14ac:dyDescent="0.25">
      <c r="A334" s="432"/>
      <c r="B334" s="449"/>
      <c r="H334" s="395"/>
    </row>
    <row r="335" spans="1:8" ht="13.5" customHeight="1" x14ac:dyDescent="0.25">
      <c r="A335" s="432"/>
      <c r="B335" s="449"/>
      <c r="H335" s="395"/>
    </row>
    <row r="336" spans="1:8" ht="13.5" customHeight="1" x14ac:dyDescent="0.25">
      <c r="A336" s="432"/>
      <c r="B336" s="449"/>
      <c r="H336" s="395"/>
    </row>
    <row r="337" spans="1:8" ht="13.5" customHeight="1" x14ac:dyDescent="0.25">
      <c r="A337" s="432"/>
      <c r="B337" s="449"/>
      <c r="H337" s="395"/>
    </row>
    <row r="338" spans="1:8" ht="13.5" customHeight="1" x14ac:dyDescent="0.25">
      <c r="A338" s="432"/>
      <c r="B338" s="449"/>
      <c r="H338" s="395"/>
    </row>
    <row r="339" spans="1:8" ht="13.5" customHeight="1" x14ac:dyDescent="0.25">
      <c r="A339" s="432"/>
      <c r="B339" s="449"/>
      <c r="H339" s="395"/>
    </row>
    <row r="340" spans="1:8" ht="13.5" customHeight="1" x14ac:dyDescent="0.25">
      <c r="A340" s="432"/>
      <c r="B340" s="449"/>
      <c r="H340" s="395"/>
    </row>
    <row r="341" spans="1:8" ht="13.5" customHeight="1" x14ac:dyDescent="0.25">
      <c r="A341" s="432"/>
      <c r="B341" s="449"/>
      <c r="H341" s="395"/>
    </row>
    <row r="342" spans="1:8" ht="13.5" customHeight="1" x14ac:dyDescent="0.25">
      <c r="A342" s="432"/>
      <c r="B342" s="449"/>
      <c r="H342" s="395"/>
    </row>
    <row r="343" spans="1:8" ht="13.5" customHeight="1" x14ac:dyDescent="0.25">
      <c r="A343" s="432"/>
      <c r="B343" s="449"/>
      <c r="H343" s="395"/>
    </row>
    <row r="344" spans="1:8" ht="13.5" customHeight="1" x14ac:dyDescent="0.25">
      <c r="A344" s="432"/>
      <c r="B344" s="449"/>
      <c r="H344" s="395"/>
    </row>
    <row r="345" spans="1:8" ht="13.5" customHeight="1" x14ac:dyDescent="0.25">
      <c r="A345" s="432"/>
      <c r="B345" s="449"/>
      <c r="H345" s="395"/>
    </row>
    <row r="346" spans="1:8" ht="13.5" customHeight="1" x14ac:dyDescent="0.25">
      <c r="A346" s="432"/>
      <c r="B346" s="449"/>
      <c r="H346" s="395"/>
    </row>
    <row r="347" spans="1:8" ht="13.5" customHeight="1" x14ac:dyDescent="0.25">
      <c r="A347" s="432"/>
      <c r="B347" s="449"/>
      <c r="H347" s="395"/>
    </row>
    <row r="348" spans="1:8" ht="13.5" customHeight="1" x14ac:dyDescent="0.25">
      <c r="A348" s="432"/>
      <c r="B348" s="449"/>
      <c r="H348" s="395"/>
    </row>
    <row r="349" spans="1:8" ht="13.5" customHeight="1" x14ac:dyDescent="0.25">
      <c r="A349" s="432"/>
      <c r="B349" s="449"/>
      <c r="H349" s="395"/>
    </row>
    <row r="350" spans="1:8" ht="13.5" customHeight="1" x14ac:dyDescent="0.25">
      <c r="A350" s="432"/>
      <c r="B350" s="449"/>
      <c r="H350" s="395"/>
    </row>
    <row r="351" spans="1:8" ht="13.5" customHeight="1" x14ac:dyDescent="0.25">
      <c r="A351" s="432"/>
      <c r="B351" s="449"/>
      <c r="H351" s="395"/>
    </row>
    <row r="352" spans="1:8" ht="13.5" customHeight="1" x14ac:dyDescent="0.25">
      <c r="A352" s="432"/>
      <c r="B352" s="449"/>
      <c r="H352" s="395"/>
    </row>
    <row r="353" spans="1:8" ht="13.5" customHeight="1" x14ac:dyDescent="0.25">
      <c r="A353" s="432"/>
      <c r="B353" s="449"/>
      <c r="H353" s="395"/>
    </row>
    <row r="354" spans="1:8" ht="13.5" customHeight="1" x14ac:dyDescent="0.25">
      <c r="A354" s="432"/>
      <c r="B354" s="449"/>
      <c r="H354" s="395"/>
    </row>
    <row r="355" spans="1:8" ht="13.5" customHeight="1" x14ac:dyDescent="0.25">
      <c r="A355" s="432"/>
      <c r="B355" s="449"/>
      <c r="H355" s="395"/>
    </row>
    <row r="356" spans="1:8" ht="13.5" customHeight="1" x14ac:dyDescent="0.25">
      <c r="A356" s="432"/>
      <c r="B356" s="449"/>
      <c r="H356" s="395"/>
    </row>
    <row r="357" spans="1:8" ht="13.5" customHeight="1" x14ac:dyDescent="0.25">
      <c r="A357" s="432"/>
      <c r="B357" s="449"/>
      <c r="H357" s="395"/>
    </row>
    <row r="358" spans="1:8" ht="13.5" customHeight="1" x14ac:dyDescent="0.25">
      <c r="A358" s="432"/>
      <c r="B358" s="449"/>
      <c r="H358" s="395"/>
    </row>
    <row r="359" spans="1:8" ht="13.5" customHeight="1" x14ac:dyDescent="0.25">
      <c r="A359" s="432"/>
      <c r="B359" s="449"/>
      <c r="H359" s="395"/>
    </row>
    <row r="360" spans="1:8" ht="13.5" customHeight="1" x14ac:dyDescent="0.25">
      <c r="A360" s="432"/>
      <c r="B360" s="449"/>
      <c r="H360" s="395"/>
    </row>
    <row r="361" spans="1:8" ht="13.5" customHeight="1" x14ac:dyDescent="0.25">
      <c r="A361" s="432"/>
      <c r="B361" s="449"/>
      <c r="H361" s="395"/>
    </row>
    <row r="362" spans="1:8" ht="13.5" customHeight="1" x14ac:dyDescent="0.25">
      <c r="A362" s="432"/>
      <c r="B362" s="449"/>
      <c r="H362" s="395"/>
    </row>
    <row r="363" spans="1:8" ht="13.5" customHeight="1" x14ac:dyDescent="0.25">
      <c r="A363" s="432"/>
      <c r="B363" s="449"/>
      <c r="H363" s="395"/>
    </row>
    <row r="364" spans="1:8" ht="13.5" customHeight="1" x14ac:dyDescent="0.25">
      <c r="A364" s="432"/>
      <c r="B364" s="449"/>
      <c r="H364" s="395"/>
    </row>
    <row r="365" spans="1:8" ht="13.5" customHeight="1" x14ac:dyDescent="0.25">
      <c r="A365" s="432"/>
      <c r="B365" s="449"/>
      <c r="H365" s="395"/>
    </row>
    <row r="366" spans="1:8" ht="13.5" customHeight="1" x14ac:dyDescent="0.25">
      <c r="A366" s="432"/>
      <c r="B366" s="449"/>
      <c r="H366" s="395"/>
    </row>
    <row r="367" spans="1:8" ht="13.5" customHeight="1" x14ac:dyDescent="0.25">
      <c r="A367" s="432"/>
      <c r="B367" s="449"/>
      <c r="H367" s="395"/>
    </row>
    <row r="368" spans="1:8" ht="13.5" customHeight="1" x14ac:dyDescent="0.25">
      <c r="A368" s="432"/>
      <c r="B368" s="449"/>
      <c r="H368" s="395"/>
    </row>
    <row r="369" spans="1:8" ht="13.5" customHeight="1" x14ac:dyDescent="0.25">
      <c r="A369" s="432"/>
      <c r="B369" s="449"/>
      <c r="H369" s="395"/>
    </row>
    <row r="370" spans="1:8" ht="13.5" customHeight="1" x14ac:dyDescent="0.25">
      <c r="A370" s="432"/>
      <c r="B370" s="449"/>
      <c r="H370" s="395"/>
    </row>
    <row r="371" spans="1:8" ht="13.5" customHeight="1" x14ac:dyDescent="0.25">
      <c r="A371" s="432"/>
      <c r="B371" s="449"/>
      <c r="H371" s="395"/>
    </row>
    <row r="372" spans="1:8" ht="13.5" customHeight="1" x14ac:dyDescent="0.25">
      <c r="A372" s="432"/>
      <c r="B372" s="449"/>
      <c r="H372" s="395"/>
    </row>
    <row r="373" spans="1:8" ht="13.5" customHeight="1" x14ac:dyDescent="0.25">
      <c r="A373" s="432"/>
      <c r="B373" s="449"/>
      <c r="H373" s="395"/>
    </row>
    <row r="374" spans="1:8" ht="13.5" customHeight="1" x14ac:dyDescent="0.25">
      <c r="A374" s="432"/>
      <c r="B374" s="449"/>
      <c r="H374" s="395"/>
    </row>
    <row r="375" spans="1:8" ht="13.5" customHeight="1" x14ac:dyDescent="0.25">
      <c r="A375" s="432"/>
      <c r="B375" s="449"/>
      <c r="H375" s="395"/>
    </row>
    <row r="376" spans="1:8" ht="13.5" customHeight="1" x14ac:dyDescent="0.25">
      <c r="A376" s="432"/>
      <c r="B376" s="449"/>
      <c r="H376" s="395"/>
    </row>
    <row r="377" spans="1:8" ht="13.5" customHeight="1" x14ac:dyDescent="0.25">
      <c r="A377" s="432"/>
      <c r="B377" s="449"/>
      <c r="H377" s="395"/>
    </row>
    <row r="378" spans="1:8" ht="13.5" customHeight="1" x14ac:dyDescent="0.25">
      <c r="A378" s="432"/>
      <c r="B378" s="449"/>
      <c r="H378" s="395"/>
    </row>
    <row r="379" spans="1:8" ht="13.5" customHeight="1" x14ac:dyDescent="0.25">
      <c r="A379" s="432"/>
      <c r="B379" s="449"/>
      <c r="H379" s="395"/>
    </row>
    <row r="380" spans="1:8" ht="13.5" customHeight="1" x14ac:dyDescent="0.25">
      <c r="A380" s="432"/>
      <c r="B380" s="449"/>
      <c r="H380" s="395"/>
    </row>
    <row r="381" spans="1:8" ht="13.5" customHeight="1" x14ac:dyDescent="0.25">
      <c r="A381" s="432"/>
      <c r="B381" s="449"/>
      <c r="H381" s="395"/>
    </row>
    <row r="382" spans="1:8" ht="13.5" customHeight="1" x14ac:dyDescent="0.25">
      <c r="A382" s="432"/>
      <c r="B382" s="449"/>
      <c r="H382" s="395"/>
    </row>
    <row r="383" spans="1:8" ht="13.5" customHeight="1" x14ac:dyDescent="0.25">
      <c r="A383" s="432"/>
      <c r="B383" s="449"/>
      <c r="H383" s="395"/>
    </row>
    <row r="384" spans="1:8" ht="13.5" customHeight="1" x14ac:dyDescent="0.25">
      <c r="A384" s="432"/>
      <c r="B384" s="449"/>
      <c r="H384" s="395"/>
    </row>
    <row r="385" spans="1:8" ht="13.5" customHeight="1" x14ac:dyDescent="0.25">
      <c r="A385" s="432"/>
      <c r="B385" s="449"/>
      <c r="H385" s="395"/>
    </row>
    <row r="386" spans="1:8" ht="13.5" customHeight="1" x14ac:dyDescent="0.25">
      <c r="A386" s="432"/>
      <c r="B386" s="449"/>
      <c r="H386" s="395"/>
    </row>
    <row r="387" spans="1:8" ht="13.5" customHeight="1" x14ac:dyDescent="0.25">
      <c r="A387" s="432"/>
      <c r="B387" s="449"/>
      <c r="H387" s="395"/>
    </row>
    <row r="388" spans="1:8" ht="13.5" customHeight="1" x14ac:dyDescent="0.25">
      <c r="A388" s="432"/>
      <c r="B388" s="449"/>
      <c r="H388" s="395"/>
    </row>
    <row r="389" spans="1:8" ht="13.5" customHeight="1" x14ac:dyDescent="0.25">
      <c r="A389" s="432"/>
      <c r="B389" s="449"/>
      <c r="H389" s="395"/>
    </row>
    <row r="390" spans="1:8" ht="13.5" customHeight="1" x14ac:dyDescent="0.25">
      <c r="A390" s="432"/>
      <c r="B390" s="449"/>
      <c r="H390" s="395"/>
    </row>
    <row r="391" spans="1:8" ht="13.5" customHeight="1" x14ac:dyDescent="0.25">
      <c r="A391" s="432"/>
      <c r="B391" s="449"/>
      <c r="H391" s="395"/>
    </row>
    <row r="392" spans="1:8" ht="13.5" customHeight="1" x14ac:dyDescent="0.25">
      <c r="A392" s="432"/>
      <c r="B392" s="449"/>
      <c r="H392" s="395"/>
    </row>
    <row r="393" spans="1:8" ht="13.5" customHeight="1" x14ac:dyDescent="0.25">
      <c r="A393" s="432"/>
      <c r="B393" s="449"/>
      <c r="H393" s="395"/>
    </row>
    <row r="394" spans="1:8" ht="13.5" customHeight="1" x14ac:dyDescent="0.25">
      <c r="A394" s="432"/>
      <c r="B394" s="449"/>
      <c r="H394" s="395"/>
    </row>
    <row r="395" spans="1:8" ht="13.5" customHeight="1" x14ac:dyDescent="0.25">
      <c r="A395" s="432"/>
      <c r="B395" s="449"/>
      <c r="H395" s="395"/>
    </row>
    <row r="396" spans="1:8" ht="13.5" customHeight="1" x14ac:dyDescent="0.25">
      <c r="A396" s="432"/>
      <c r="B396" s="449"/>
      <c r="H396" s="395"/>
    </row>
    <row r="397" spans="1:8" ht="13.5" customHeight="1" x14ac:dyDescent="0.25">
      <c r="A397" s="432"/>
      <c r="B397" s="449"/>
      <c r="H397" s="395"/>
    </row>
    <row r="398" spans="1:8" ht="13.5" customHeight="1" x14ac:dyDescent="0.25">
      <c r="A398" s="432"/>
      <c r="B398" s="449"/>
      <c r="H398" s="395"/>
    </row>
    <row r="399" spans="1:8" ht="13.5" customHeight="1" x14ac:dyDescent="0.25">
      <c r="A399" s="432"/>
      <c r="B399" s="449"/>
      <c r="H399" s="395"/>
    </row>
    <row r="400" spans="1:8" ht="13.5" customHeight="1" x14ac:dyDescent="0.25">
      <c r="A400" s="432"/>
      <c r="B400" s="449"/>
      <c r="H400" s="395"/>
    </row>
    <row r="401" spans="1:8" ht="13.5" customHeight="1" x14ac:dyDescent="0.25">
      <c r="A401" s="432"/>
      <c r="B401" s="449"/>
      <c r="H401" s="395"/>
    </row>
    <row r="402" spans="1:8" ht="13.5" customHeight="1" x14ac:dyDescent="0.25">
      <c r="A402" s="432"/>
      <c r="B402" s="449"/>
      <c r="H402" s="395"/>
    </row>
    <row r="403" spans="1:8" ht="13.5" customHeight="1" x14ac:dyDescent="0.25">
      <c r="A403" s="432"/>
      <c r="B403" s="449"/>
      <c r="H403" s="395"/>
    </row>
    <row r="404" spans="1:8" ht="13.5" customHeight="1" x14ac:dyDescent="0.25">
      <c r="A404" s="432"/>
      <c r="B404" s="449"/>
      <c r="H404" s="395"/>
    </row>
    <row r="405" spans="1:8" ht="13.5" customHeight="1" x14ac:dyDescent="0.25">
      <c r="A405" s="432"/>
      <c r="B405" s="449"/>
      <c r="H405" s="395"/>
    </row>
    <row r="406" spans="1:8" ht="13.5" customHeight="1" x14ac:dyDescent="0.25">
      <c r="A406" s="432"/>
      <c r="B406" s="449"/>
      <c r="H406" s="395"/>
    </row>
    <row r="407" spans="1:8" ht="13.5" customHeight="1" x14ac:dyDescent="0.25">
      <c r="A407" s="432"/>
      <c r="B407" s="449"/>
      <c r="H407" s="395"/>
    </row>
    <row r="408" spans="1:8" ht="13.5" customHeight="1" x14ac:dyDescent="0.25">
      <c r="A408" s="432"/>
      <c r="B408" s="449"/>
      <c r="H408" s="395"/>
    </row>
    <row r="409" spans="1:8" ht="13.5" customHeight="1" x14ac:dyDescent="0.25">
      <c r="A409" s="432"/>
      <c r="B409" s="449"/>
      <c r="H409" s="395"/>
    </row>
    <row r="410" spans="1:8" ht="13.5" customHeight="1" x14ac:dyDescent="0.25">
      <c r="A410" s="432"/>
      <c r="B410" s="449"/>
      <c r="H410" s="395"/>
    </row>
    <row r="411" spans="1:8" ht="13.5" customHeight="1" x14ac:dyDescent="0.25">
      <c r="A411" s="432"/>
      <c r="B411" s="449"/>
      <c r="H411" s="395"/>
    </row>
    <row r="412" spans="1:8" ht="13.5" customHeight="1" x14ac:dyDescent="0.25">
      <c r="A412" s="432"/>
      <c r="B412" s="449"/>
      <c r="H412" s="395"/>
    </row>
    <row r="413" spans="1:8" ht="13.5" customHeight="1" x14ac:dyDescent="0.25">
      <c r="A413" s="432"/>
      <c r="B413" s="449"/>
      <c r="H413" s="395"/>
    </row>
    <row r="414" spans="1:8" ht="13.5" customHeight="1" x14ac:dyDescent="0.25">
      <c r="A414" s="432"/>
      <c r="B414" s="449"/>
      <c r="H414" s="395"/>
    </row>
    <row r="415" spans="1:8" ht="13.5" customHeight="1" x14ac:dyDescent="0.25">
      <c r="A415" s="432"/>
      <c r="B415" s="449"/>
      <c r="H415" s="395"/>
    </row>
    <row r="416" spans="1:8" ht="13.5" customHeight="1" x14ac:dyDescent="0.25">
      <c r="A416" s="432"/>
      <c r="B416" s="449"/>
      <c r="H416" s="395"/>
    </row>
    <row r="417" spans="1:8" ht="13.5" customHeight="1" x14ac:dyDescent="0.25">
      <c r="A417" s="432"/>
      <c r="B417" s="449"/>
      <c r="H417" s="395"/>
    </row>
    <row r="418" spans="1:8" ht="13.5" customHeight="1" x14ac:dyDescent="0.25">
      <c r="A418" s="432"/>
      <c r="B418" s="449"/>
      <c r="H418" s="395"/>
    </row>
    <row r="419" spans="1:8" ht="13.5" customHeight="1" x14ac:dyDescent="0.25">
      <c r="A419" s="432"/>
      <c r="B419" s="449"/>
      <c r="H419" s="395"/>
    </row>
    <row r="420" spans="1:8" ht="13.5" customHeight="1" x14ac:dyDescent="0.25">
      <c r="A420" s="432"/>
      <c r="B420" s="449"/>
      <c r="H420" s="395"/>
    </row>
    <row r="421" spans="1:8" ht="13.5" customHeight="1" x14ac:dyDescent="0.25">
      <c r="A421" s="432"/>
      <c r="B421" s="449"/>
      <c r="H421" s="395"/>
    </row>
    <row r="422" spans="1:8" ht="13.5" customHeight="1" x14ac:dyDescent="0.25">
      <c r="A422" s="432"/>
      <c r="B422" s="449"/>
      <c r="H422" s="395"/>
    </row>
    <row r="423" spans="1:8" ht="13.5" customHeight="1" x14ac:dyDescent="0.25">
      <c r="A423" s="432"/>
      <c r="B423" s="449"/>
      <c r="H423" s="395"/>
    </row>
    <row r="424" spans="1:8" ht="13.5" customHeight="1" x14ac:dyDescent="0.25">
      <c r="A424" s="432"/>
      <c r="B424" s="449"/>
      <c r="H424" s="395"/>
    </row>
    <row r="425" spans="1:8" ht="13.5" customHeight="1" x14ac:dyDescent="0.25">
      <c r="A425" s="432"/>
      <c r="B425" s="449"/>
      <c r="H425" s="395"/>
    </row>
    <row r="426" spans="1:8" ht="13.5" customHeight="1" x14ac:dyDescent="0.25">
      <c r="A426" s="432"/>
      <c r="B426" s="449"/>
      <c r="H426" s="395"/>
    </row>
    <row r="427" spans="1:8" ht="13.5" customHeight="1" x14ac:dyDescent="0.25">
      <c r="A427" s="432"/>
      <c r="B427" s="449"/>
      <c r="H427" s="395"/>
    </row>
    <row r="428" spans="1:8" ht="13.5" customHeight="1" x14ac:dyDescent="0.25">
      <c r="A428" s="432"/>
      <c r="B428" s="449"/>
      <c r="H428" s="395"/>
    </row>
    <row r="429" spans="1:8" ht="13.5" customHeight="1" x14ac:dyDescent="0.25">
      <c r="A429" s="432"/>
      <c r="B429" s="449"/>
      <c r="H429" s="395"/>
    </row>
    <row r="430" spans="1:8" ht="13.5" customHeight="1" x14ac:dyDescent="0.25">
      <c r="A430" s="432"/>
      <c r="B430" s="449"/>
      <c r="H430" s="395"/>
    </row>
    <row r="431" spans="1:8" ht="13.5" customHeight="1" x14ac:dyDescent="0.25">
      <c r="A431" s="432"/>
      <c r="B431" s="449"/>
      <c r="H431" s="395"/>
    </row>
    <row r="432" spans="1:8" ht="13.5" customHeight="1" x14ac:dyDescent="0.25">
      <c r="A432" s="432"/>
      <c r="B432" s="449"/>
      <c r="H432" s="395"/>
    </row>
    <row r="433" spans="1:8" ht="13.5" customHeight="1" x14ac:dyDescent="0.25">
      <c r="A433" s="432"/>
      <c r="B433" s="449"/>
      <c r="H433" s="395"/>
    </row>
    <row r="434" spans="1:8" ht="13.5" customHeight="1" x14ac:dyDescent="0.25">
      <c r="A434" s="432"/>
      <c r="B434" s="449"/>
      <c r="H434" s="395"/>
    </row>
    <row r="435" spans="1:8" ht="13.5" customHeight="1" x14ac:dyDescent="0.25">
      <c r="A435" s="432"/>
      <c r="B435" s="449"/>
      <c r="H435" s="395"/>
    </row>
    <row r="436" spans="1:8" ht="13.5" customHeight="1" x14ac:dyDescent="0.25">
      <c r="A436" s="432"/>
      <c r="B436" s="449"/>
      <c r="H436" s="395"/>
    </row>
    <row r="437" spans="1:8" ht="13.5" customHeight="1" x14ac:dyDescent="0.25">
      <c r="A437" s="432"/>
      <c r="B437" s="449"/>
      <c r="H437" s="395"/>
    </row>
    <row r="438" spans="1:8" ht="13.5" customHeight="1" x14ac:dyDescent="0.25">
      <c r="A438" s="432"/>
      <c r="B438" s="449"/>
      <c r="H438" s="395"/>
    </row>
    <row r="439" spans="1:8" ht="13.5" customHeight="1" x14ac:dyDescent="0.25">
      <c r="A439" s="432"/>
      <c r="B439" s="449"/>
      <c r="H439" s="395"/>
    </row>
    <row r="440" spans="1:8" ht="13.5" customHeight="1" x14ac:dyDescent="0.25">
      <c r="A440" s="432"/>
      <c r="B440" s="449"/>
      <c r="H440" s="395"/>
    </row>
    <row r="441" spans="1:8" ht="13.5" customHeight="1" x14ac:dyDescent="0.25">
      <c r="A441" s="432"/>
      <c r="B441" s="449"/>
      <c r="H441" s="395"/>
    </row>
    <row r="442" spans="1:8" ht="13.5" customHeight="1" x14ac:dyDescent="0.25">
      <c r="A442" s="432"/>
      <c r="B442" s="449"/>
      <c r="H442" s="395"/>
    </row>
    <row r="443" spans="1:8" ht="13.5" customHeight="1" x14ac:dyDescent="0.25">
      <c r="A443" s="432"/>
      <c r="B443" s="449"/>
      <c r="H443" s="395"/>
    </row>
    <row r="444" spans="1:8" ht="13.5" customHeight="1" x14ac:dyDescent="0.25">
      <c r="A444" s="432"/>
      <c r="B444" s="449"/>
      <c r="H444" s="395"/>
    </row>
    <row r="445" spans="1:8" ht="13.5" customHeight="1" x14ac:dyDescent="0.25">
      <c r="A445" s="432"/>
      <c r="B445" s="449"/>
      <c r="H445" s="395"/>
    </row>
    <row r="446" spans="1:8" ht="13.5" customHeight="1" x14ac:dyDescent="0.25">
      <c r="A446" s="432"/>
      <c r="B446" s="449"/>
      <c r="H446" s="395"/>
    </row>
    <row r="447" spans="1:8" ht="13.5" customHeight="1" x14ac:dyDescent="0.25">
      <c r="A447" s="432"/>
      <c r="B447" s="449"/>
      <c r="H447" s="395"/>
    </row>
    <row r="448" spans="1:8" ht="13.5" customHeight="1" x14ac:dyDescent="0.25">
      <c r="A448" s="432"/>
      <c r="B448" s="449"/>
      <c r="H448" s="395"/>
    </row>
    <row r="449" spans="1:8" ht="13.5" customHeight="1" x14ac:dyDescent="0.25">
      <c r="A449" s="432"/>
      <c r="B449" s="449"/>
      <c r="H449" s="395"/>
    </row>
    <row r="450" spans="1:8" ht="13.5" customHeight="1" x14ac:dyDescent="0.25">
      <c r="A450" s="432"/>
      <c r="B450" s="449"/>
      <c r="H450" s="395"/>
    </row>
    <row r="451" spans="1:8" ht="13.5" customHeight="1" x14ac:dyDescent="0.25">
      <c r="A451" s="432"/>
      <c r="B451" s="449"/>
      <c r="H451" s="395"/>
    </row>
    <row r="452" spans="1:8" ht="13.5" customHeight="1" x14ac:dyDescent="0.25">
      <c r="A452" s="432"/>
      <c r="B452" s="449"/>
      <c r="H452" s="395"/>
    </row>
    <row r="453" spans="1:8" ht="13.5" customHeight="1" x14ac:dyDescent="0.25">
      <c r="A453" s="432"/>
      <c r="B453" s="449"/>
      <c r="H453" s="395"/>
    </row>
    <row r="454" spans="1:8" ht="13.5" customHeight="1" x14ac:dyDescent="0.25">
      <c r="A454" s="432"/>
      <c r="B454" s="449"/>
      <c r="H454" s="395"/>
    </row>
    <row r="455" spans="1:8" ht="13.5" customHeight="1" x14ac:dyDescent="0.25">
      <c r="A455" s="432"/>
      <c r="B455" s="449"/>
      <c r="H455" s="395"/>
    </row>
    <row r="456" spans="1:8" ht="13.5" customHeight="1" x14ac:dyDescent="0.25">
      <c r="A456" s="432"/>
      <c r="B456" s="449"/>
      <c r="H456" s="395"/>
    </row>
    <row r="457" spans="1:8" ht="13.5" customHeight="1" x14ac:dyDescent="0.25">
      <c r="A457" s="432"/>
      <c r="B457" s="449"/>
      <c r="H457" s="395"/>
    </row>
    <row r="458" spans="1:8" ht="13.5" customHeight="1" x14ac:dyDescent="0.25">
      <c r="A458" s="432"/>
      <c r="B458" s="449"/>
      <c r="H458" s="395"/>
    </row>
    <row r="459" spans="1:8" ht="13.5" customHeight="1" x14ac:dyDescent="0.25">
      <c r="A459" s="432"/>
      <c r="B459" s="449"/>
      <c r="H459" s="395"/>
    </row>
    <row r="460" spans="1:8" ht="13.5" customHeight="1" x14ac:dyDescent="0.25">
      <c r="A460" s="432"/>
      <c r="B460" s="449"/>
      <c r="H460" s="395"/>
    </row>
    <row r="461" spans="1:8" ht="13.5" customHeight="1" x14ac:dyDescent="0.25">
      <c r="A461" s="432"/>
      <c r="B461" s="449"/>
      <c r="H461" s="395"/>
    </row>
    <row r="462" spans="1:8" ht="13.5" customHeight="1" x14ac:dyDescent="0.25">
      <c r="A462" s="432"/>
      <c r="B462" s="449"/>
      <c r="H462" s="395"/>
    </row>
    <row r="463" spans="1:8" ht="13.5" customHeight="1" x14ac:dyDescent="0.25">
      <c r="A463" s="432"/>
      <c r="B463" s="449"/>
      <c r="H463" s="395"/>
    </row>
    <row r="464" spans="1:8" ht="13.5" customHeight="1" x14ac:dyDescent="0.25">
      <c r="A464" s="432"/>
      <c r="B464" s="449"/>
      <c r="H464" s="395"/>
    </row>
    <row r="465" spans="1:8" ht="13.5" customHeight="1" x14ac:dyDescent="0.25">
      <c r="A465" s="432"/>
      <c r="B465" s="449"/>
      <c r="H465" s="395"/>
    </row>
    <row r="466" spans="1:8" ht="13.5" customHeight="1" x14ac:dyDescent="0.25">
      <c r="A466" s="432"/>
      <c r="B466" s="449"/>
      <c r="H466" s="395"/>
    </row>
    <row r="467" spans="1:8" ht="13.5" customHeight="1" x14ac:dyDescent="0.25">
      <c r="A467" s="432"/>
      <c r="B467" s="449"/>
      <c r="H467" s="395"/>
    </row>
    <row r="468" spans="1:8" ht="13.5" customHeight="1" x14ac:dyDescent="0.25">
      <c r="A468" s="432"/>
      <c r="B468" s="449"/>
      <c r="H468" s="395"/>
    </row>
    <row r="469" spans="1:8" ht="13.5" customHeight="1" x14ac:dyDescent="0.25">
      <c r="A469" s="432"/>
      <c r="B469" s="449"/>
      <c r="H469" s="395"/>
    </row>
    <row r="470" spans="1:8" ht="13.5" customHeight="1" x14ac:dyDescent="0.25">
      <c r="A470" s="432"/>
      <c r="B470" s="449"/>
      <c r="H470" s="395"/>
    </row>
    <row r="471" spans="1:8" ht="13.5" customHeight="1" x14ac:dyDescent="0.25">
      <c r="A471" s="432"/>
      <c r="B471" s="449"/>
      <c r="H471" s="395"/>
    </row>
    <row r="472" spans="1:8" ht="13.5" customHeight="1" x14ac:dyDescent="0.25">
      <c r="A472" s="432"/>
      <c r="B472" s="449"/>
      <c r="H472" s="395"/>
    </row>
    <row r="473" spans="1:8" ht="13.5" customHeight="1" x14ac:dyDescent="0.25">
      <c r="A473" s="432"/>
      <c r="B473" s="449"/>
      <c r="H473" s="395"/>
    </row>
    <row r="474" spans="1:8" ht="13.5" customHeight="1" x14ac:dyDescent="0.25">
      <c r="A474" s="432"/>
      <c r="B474" s="449"/>
      <c r="H474" s="395"/>
    </row>
    <row r="475" spans="1:8" ht="13.5" customHeight="1" x14ac:dyDescent="0.25">
      <c r="A475" s="432"/>
      <c r="B475" s="449"/>
      <c r="H475" s="395"/>
    </row>
    <row r="476" spans="1:8" ht="13.5" customHeight="1" x14ac:dyDescent="0.25">
      <c r="A476" s="432"/>
      <c r="B476" s="449"/>
      <c r="H476" s="395"/>
    </row>
    <row r="477" spans="1:8" ht="13.5" customHeight="1" x14ac:dyDescent="0.25">
      <c r="A477" s="432"/>
      <c r="B477" s="449"/>
      <c r="H477" s="395"/>
    </row>
    <row r="478" spans="1:8" ht="13.5" customHeight="1" x14ac:dyDescent="0.25">
      <c r="A478" s="432"/>
      <c r="B478" s="449"/>
      <c r="H478" s="395"/>
    </row>
    <row r="479" spans="1:8" ht="13.5" customHeight="1" x14ac:dyDescent="0.25">
      <c r="A479" s="432"/>
      <c r="B479" s="449"/>
      <c r="H479" s="395"/>
    </row>
    <row r="480" spans="1:8" ht="13.5" customHeight="1" x14ac:dyDescent="0.25">
      <c r="A480" s="432"/>
      <c r="B480" s="449"/>
      <c r="H480" s="395"/>
    </row>
    <row r="481" spans="1:8" ht="13.5" customHeight="1" x14ac:dyDescent="0.25">
      <c r="A481" s="432"/>
      <c r="B481" s="449"/>
      <c r="H481" s="395"/>
    </row>
    <row r="482" spans="1:8" ht="13.5" customHeight="1" x14ac:dyDescent="0.25">
      <c r="A482" s="432"/>
      <c r="B482" s="449"/>
      <c r="H482" s="395"/>
    </row>
    <row r="483" spans="1:8" ht="13.5" customHeight="1" x14ac:dyDescent="0.25">
      <c r="A483" s="432"/>
      <c r="B483" s="449"/>
      <c r="H483" s="395"/>
    </row>
    <row r="484" spans="1:8" ht="13.5" customHeight="1" x14ac:dyDescent="0.25">
      <c r="A484" s="432"/>
      <c r="B484" s="449"/>
      <c r="H484" s="395"/>
    </row>
    <row r="485" spans="1:8" ht="13.5" customHeight="1" x14ac:dyDescent="0.25">
      <c r="A485" s="432"/>
      <c r="B485" s="449"/>
      <c r="H485" s="395"/>
    </row>
    <row r="486" spans="1:8" ht="13.5" customHeight="1" x14ac:dyDescent="0.25">
      <c r="A486" s="432"/>
      <c r="B486" s="449"/>
      <c r="H486" s="395"/>
    </row>
    <row r="487" spans="1:8" ht="13.5" customHeight="1" x14ac:dyDescent="0.25">
      <c r="A487" s="432"/>
      <c r="B487" s="449"/>
      <c r="H487" s="395"/>
    </row>
    <row r="488" spans="1:8" ht="13.5" customHeight="1" x14ac:dyDescent="0.25">
      <c r="A488" s="432"/>
      <c r="B488" s="449"/>
      <c r="H488" s="395"/>
    </row>
    <row r="489" spans="1:8" ht="13.5" customHeight="1" x14ac:dyDescent="0.25">
      <c r="A489" s="432"/>
      <c r="B489" s="449"/>
      <c r="H489" s="395"/>
    </row>
    <row r="490" spans="1:8" ht="13.5" customHeight="1" x14ac:dyDescent="0.25">
      <c r="A490" s="432"/>
      <c r="B490" s="449"/>
      <c r="H490" s="395"/>
    </row>
    <row r="491" spans="1:8" ht="13.5" customHeight="1" x14ac:dyDescent="0.25">
      <c r="A491" s="432"/>
      <c r="B491" s="449"/>
      <c r="H491" s="395"/>
    </row>
    <row r="492" spans="1:8" ht="13.5" customHeight="1" x14ac:dyDescent="0.25">
      <c r="A492" s="432"/>
      <c r="B492" s="449"/>
      <c r="H492" s="395"/>
    </row>
    <row r="493" spans="1:8" ht="13.5" customHeight="1" x14ac:dyDescent="0.25">
      <c r="A493" s="432"/>
      <c r="B493" s="449"/>
      <c r="H493" s="395"/>
    </row>
    <row r="494" spans="1:8" ht="13.5" customHeight="1" x14ac:dyDescent="0.25">
      <c r="A494" s="432"/>
      <c r="B494" s="449"/>
      <c r="H494" s="395"/>
    </row>
    <row r="495" spans="1:8" ht="13.5" customHeight="1" x14ac:dyDescent="0.25">
      <c r="A495" s="432"/>
      <c r="B495" s="449"/>
      <c r="H495" s="395"/>
    </row>
    <row r="496" spans="1:8" ht="13.5" customHeight="1" x14ac:dyDescent="0.25">
      <c r="A496" s="432"/>
      <c r="B496" s="449"/>
      <c r="H496" s="395"/>
    </row>
    <row r="497" spans="1:8" ht="13.5" customHeight="1" x14ac:dyDescent="0.25">
      <c r="A497" s="432"/>
      <c r="B497" s="449"/>
      <c r="H497" s="395"/>
    </row>
    <row r="498" spans="1:8" ht="13.5" customHeight="1" x14ac:dyDescent="0.25">
      <c r="A498" s="432"/>
      <c r="B498" s="449"/>
      <c r="H498" s="395"/>
    </row>
    <row r="499" spans="1:8" ht="13.5" customHeight="1" x14ac:dyDescent="0.25">
      <c r="A499" s="432"/>
      <c r="B499" s="449"/>
      <c r="H499" s="395"/>
    </row>
    <row r="500" spans="1:8" ht="13.5" customHeight="1" x14ac:dyDescent="0.25">
      <c r="A500" s="432"/>
      <c r="B500" s="449"/>
      <c r="H500" s="395"/>
    </row>
    <row r="501" spans="1:8" ht="13.5" customHeight="1" x14ac:dyDescent="0.25">
      <c r="A501" s="432"/>
      <c r="B501" s="449"/>
      <c r="H501" s="395"/>
    </row>
    <row r="502" spans="1:8" ht="13.5" customHeight="1" x14ac:dyDescent="0.25">
      <c r="A502" s="432"/>
      <c r="B502" s="449"/>
      <c r="H502" s="395"/>
    </row>
    <row r="503" spans="1:8" ht="13.5" customHeight="1" x14ac:dyDescent="0.25">
      <c r="A503" s="432"/>
      <c r="B503" s="449"/>
      <c r="H503" s="395"/>
    </row>
    <row r="504" spans="1:8" ht="13.5" customHeight="1" x14ac:dyDescent="0.25">
      <c r="A504" s="432"/>
      <c r="B504" s="449"/>
      <c r="H504" s="395"/>
    </row>
    <row r="505" spans="1:8" ht="13.5" customHeight="1" x14ac:dyDescent="0.25">
      <c r="A505" s="432"/>
      <c r="B505" s="449"/>
      <c r="H505" s="395"/>
    </row>
    <row r="506" spans="1:8" ht="13.5" customHeight="1" x14ac:dyDescent="0.25">
      <c r="A506" s="432"/>
      <c r="B506" s="449"/>
      <c r="H506" s="395"/>
    </row>
    <row r="507" spans="1:8" ht="13.5" customHeight="1" x14ac:dyDescent="0.25">
      <c r="A507" s="432"/>
      <c r="B507" s="449"/>
      <c r="H507" s="395"/>
    </row>
    <row r="508" spans="1:8" ht="13.5" customHeight="1" x14ac:dyDescent="0.25">
      <c r="A508" s="432"/>
      <c r="B508" s="449"/>
      <c r="H508" s="395"/>
    </row>
    <row r="509" spans="1:8" ht="13.5" customHeight="1" x14ac:dyDescent="0.25">
      <c r="A509" s="432"/>
      <c r="B509" s="449"/>
      <c r="H509" s="395"/>
    </row>
    <row r="510" spans="1:8" ht="13.5" customHeight="1" x14ac:dyDescent="0.25">
      <c r="A510" s="432"/>
      <c r="B510" s="449"/>
      <c r="H510" s="395"/>
    </row>
    <row r="511" spans="1:8" ht="13.5" customHeight="1" x14ac:dyDescent="0.25">
      <c r="A511" s="432"/>
      <c r="B511" s="449"/>
      <c r="H511" s="395"/>
    </row>
    <row r="512" spans="1:8" ht="13.5" customHeight="1" x14ac:dyDescent="0.25">
      <c r="A512" s="432"/>
      <c r="B512" s="449"/>
      <c r="H512" s="395"/>
    </row>
    <row r="513" spans="1:8" ht="13.5" customHeight="1" x14ac:dyDescent="0.25">
      <c r="A513" s="432"/>
      <c r="B513" s="449"/>
      <c r="H513" s="395"/>
    </row>
    <row r="514" spans="1:8" ht="13.5" customHeight="1" x14ac:dyDescent="0.25">
      <c r="A514" s="432"/>
      <c r="B514" s="449"/>
      <c r="H514" s="395"/>
    </row>
    <row r="515" spans="1:8" ht="13.5" customHeight="1" x14ac:dyDescent="0.25">
      <c r="A515" s="432"/>
      <c r="B515" s="449"/>
      <c r="H515" s="395"/>
    </row>
    <row r="516" spans="1:8" ht="13.5" customHeight="1" x14ac:dyDescent="0.25">
      <c r="A516" s="432"/>
      <c r="B516" s="449"/>
      <c r="H516" s="395"/>
    </row>
    <row r="517" spans="1:8" ht="13.5" customHeight="1" x14ac:dyDescent="0.25">
      <c r="A517" s="432"/>
      <c r="B517" s="449"/>
      <c r="H517" s="395"/>
    </row>
    <row r="518" spans="1:8" ht="13.5" customHeight="1" x14ac:dyDescent="0.25">
      <c r="A518" s="432"/>
      <c r="B518" s="449"/>
      <c r="H518" s="395"/>
    </row>
    <row r="519" spans="1:8" ht="13.5" customHeight="1" x14ac:dyDescent="0.25">
      <c r="A519" s="432"/>
      <c r="B519" s="449"/>
      <c r="H519" s="395"/>
    </row>
    <row r="520" spans="1:8" ht="13.5" customHeight="1" x14ac:dyDescent="0.25">
      <c r="A520" s="432"/>
      <c r="B520" s="449"/>
      <c r="H520" s="395"/>
    </row>
    <row r="521" spans="1:8" ht="13.5" customHeight="1" x14ac:dyDescent="0.25">
      <c r="A521" s="432"/>
      <c r="B521" s="449"/>
      <c r="H521" s="395"/>
    </row>
    <row r="522" spans="1:8" ht="13.5" customHeight="1" x14ac:dyDescent="0.25">
      <c r="A522" s="432"/>
      <c r="B522" s="449"/>
      <c r="H522" s="395"/>
    </row>
    <row r="523" spans="1:8" ht="13.5" customHeight="1" x14ac:dyDescent="0.25">
      <c r="A523" s="432"/>
      <c r="B523" s="449"/>
      <c r="H523" s="395"/>
    </row>
    <row r="524" spans="1:8" ht="13.5" customHeight="1" x14ac:dyDescent="0.25">
      <c r="A524" s="432"/>
      <c r="B524" s="449"/>
      <c r="H524" s="395"/>
    </row>
    <row r="525" spans="1:8" ht="13.5" customHeight="1" x14ac:dyDescent="0.25">
      <c r="A525" s="432"/>
      <c r="B525" s="449"/>
      <c r="H525" s="395"/>
    </row>
    <row r="526" spans="1:8" ht="13.5" customHeight="1" x14ac:dyDescent="0.25">
      <c r="A526" s="432"/>
      <c r="B526" s="449"/>
      <c r="H526" s="395"/>
    </row>
    <row r="527" spans="1:8" ht="13.5" customHeight="1" x14ac:dyDescent="0.25">
      <c r="A527" s="432"/>
      <c r="B527" s="449"/>
      <c r="H527" s="395"/>
    </row>
    <row r="528" spans="1:8" ht="13.5" customHeight="1" x14ac:dyDescent="0.25">
      <c r="A528" s="432"/>
      <c r="B528" s="449"/>
      <c r="H528" s="395"/>
    </row>
    <row r="529" spans="1:8" ht="13.5" customHeight="1" x14ac:dyDescent="0.25">
      <c r="A529" s="432"/>
      <c r="B529" s="449"/>
      <c r="H529" s="395"/>
    </row>
    <row r="530" spans="1:8" ht="13.5" customHeight="1" x14ac:dyDescent="0.25">
      <c r="A530" s="432"/>
      <c r="B530" s="449"/>
      <c r="H530" s="395"/>
    </row>
    <row r="531" spans="1:8" ht="13.5" customHeight="1" x14ac:dyDescent="0.25">
      <c r="A531" s="432"/>
      <c r="B531" s="449"/>
      <c r="H531" s="395"/>
    </row>
    <row r="532" spans="1:8" ht="13.5" customHeight="1" x14ac:dyDescent="0.25">
      <c r="A532" s="432"/>
      <c r="B532" s="449"/>
      <c r="H532" s="395"/>
    </row>
    <row r="533" spans="1:8" ht="13.5" customHeight="1" x14ac:dyDescent="0.25">
      <c r="A533" s="432"/>
      <c r="B533" s="449"/>
      <c r="H533" s="395"/>
    </row>
    <row r="534" spans="1:8" ht="13.5" customHeight="1" x14ac:dyDescent="0.25">
      <c r="A534" s="432"/>
      <c r="B534" s="449"/>
      <c r="H534" s="395"/>
    </row>
    <row r="535" spans="1:8" ht="13.5" customHeight="1" x14ac:dyDescent="0.25">
      <c r="A535" s="432"/>
      <c r="B535" s="449"/>
      <c r="H535" s="395"/>
    </row>
    <row r="536" spans="1:8" ht="13.5" customHeight="1" x14ac:dyDescent="0.25">
      <c r="A536" s="432"/>
      <c r="B536" s="449"/>
      <c r="H536" s="395"/>
    </row>
    <row r="537" spans="1:8" ht="13.5" customHeight="1" x14ac:dyDescent="0.25">
      <c r="A537" s="432"/>
      <c r="B537" s="449"/>
      <c r="H537" s="395"/>
    </row>
    <row r="538" spans="1:8" ht="13.5" customHeight="1" x14ac:dyDescent="0.25">
      <c r="A538" s="432"/>
      <c r="B538" s="449"/>
      <c r="H538" s="395"/>
    </row>
    <row r="539" spans="1:8" ht="13.5" customHeight="1" x14ac:dyDescent="0.25">
      <c r="A539" s="432"/>
      <c r="B539" s="449"/>
      <c r="H539" s="395"/>
    </row>
    <row r="540" spans="1:8" ht="13.5" customHeight="1" x14ac:dyDescent="0.25">
      <c r="A540" s="432"/>
      <c r="B540" s="449"/>
      <c r="H540" s="395"/>
    </row>
    <row r="541" spans="1:8" ht="13.5" customHeight="1" x14ac:dyDescent="0.25">
      <c r="A541" s="432"/>
      <c r="B541" s="449"/>
      <c r="H541" s="395"/>
    </row>
    <row r="542" spans="1:8" ht="13.5" customHeight="1" x14ac:dyDescent="0.25">
      <c r="A542" s="432"/>
      <c r="B542" s="449"/>
      <c r="H542" s="395"/>
    </row>
    <row r="543" spans="1:8" ht="13.5" customHeight="1" x14ac:dyDescent="0.25">
      <c r="A543" s="432"/>
      <c r="B543" s="449"/>
      <c r="H543" s="395"/>
    </row>
    <row r="544" spans="1:8" ht="13.5" customHeight="1" x14ac:dyDescent="0.25">
      <c r="A544" s="432"/>
      <c r="B544" s="449"/>
      <c r="H544" s="395"/>
    </row>
    <row r="545" spans="1:8" ht="13.5" customHeight="1" x14ac:dyDescent="0.25">
      <c r="A545" s="432"/>
      <c r="B545" s="449"/>
      <c r="H545" s="395"/>
    </row>
    <row r="546" spans="1:8" ht="13.5" customHeight="1" x14ac:dyDescent="0.25">
      <c r="A546" s="432"/>
      <c r="B546" s="449"/>
      <c r="H546" s="395"/>
    </row>
    <row r="547" spans="1:8" ht="13.5" customHeight="1" x14ac:dyDescent="0.25">
      <c r="A547" s="432"/>
      <c r="B547" s="449"/>
      <c r="H547" s="395"/>
    </row>
    <row r="548" spans="1:8" ht="13.5" customHeight="1" x14ac:dyDescent="0.25">
      <c r="A548" s="432"/>
      <c r="B548" s="449"/>
      <c r="H548" s="395"/>
    </row>
    <row r="549" spans="1:8" ht="13.5" customHeight="1" x14ac:dyDescent="0.25">
      <c r="A549" s="432"/>
      <c r="B549" s="449"/>
      <c r="H549" s="395"/>
    </row>
    <row r="550" spans="1:8" ht="13.5" customHeight="1" x14ac:dyDescent="0.25">
      <c r="A550" s="432"/>
      <c r="B550" s="449"/>
      <c r="H550" s="395"/>
    </row>
    <row r="551" spans="1:8" ht="13.5" customHeight="1" x14ac:dyDescent="0.25">
      <c r="A551" s="432"/>
      <c r="B551" s="449"/>
      <c r="H551" s="395"/>
    </row>
    <row r="552" spans="1:8" ht="13.5" customHeight="1" x14ac:dyDescent="0.25">
      <c r="A552" s="432"/>
      <c r="B552" s="449"/>
      <c r="H552" s="395"/>
    </row>
    <row r="553" spans="1:8" ht="13.5" customHeight="1" x14ac:dyDescent="0.25">
      <c r="A553" s="432"/>
      <c r="B553" s="449"/>
      <c r="H553" s="395"/>
    </row>
    <row r="554" spans="1:8" ht="13.5" customHeight="1" x14ac:dyDescent="0.25">
      <c r="A554" s="432"/>
      <c r="B554" s="449"/>
      <c r="H554" s="395"/>
    </row>
    <row r="555" spans="1:8" ht="13.5" customHeight="1" x14ac:dyDescent="0.25">
      <c r="A555" s="432"/>
      <c r="B555" s="449"/>
      <c r="H555" s="395"/>
    </row>
    <row r="556" spans="1:8" ht="13.5" customHeight="1" x14ac:dyDescent="0.25">
      <c r="A556" s="432"/>
      <c r="B556" s="449"/>
      <c r="H556" s="395"/>
    </row>
    <row r="557" spans="1:8" ht="13.5" customHeight="1" x14ac:dyDescent="0.25">
      <c r="A557" s="432"/>
      <c r="B557" s="449"/>
      <c r="H557" s="395"/>
    </row>
    <row r="558" spans="1:8" ht="13.5" customHeight="1" x14ac:dyDescent="0.25">
      <c r="A558" s="432"/>
      <c r="B558" s="449"/>
      <c r="H558" s="395"/>
    </row>
    <row r="559" spans="1:8" ht="13.5" customHeight="1" x14ac:dyDescent="0.25">
      <c r="A559" s="432"/>
      <c r="B559" s="449"/>
      <c r="H559" s="395"/>
    </row>
    <row r="560" spans="1:8" ht="13.5" customHeight="1" x14ac:dyDescent="0.25">
      <c r="A560" s="432"/>
      <c r="B560" s="449"/>
      <c r="H560" s="395"/>
    </row>
    <row r="561" spans="1:8" ht="13.5" customHeight="1" x14ac:dyDescent="0.25">
      <c r="A561" s="432"/>
      <c r="B561" s="449"/>
      <c r="H561" s="395"/>
    </row>
    <row r="562" spans="1:8" ht="13.5" customHeight="1" x14ac:dyDescent="0.25">
      <c r="A562" s="432"/>
      <c r="B562" s="449"/>
      <c r="H562" s="395"/>
    </row>
    <row r="563" spans="1:8" ht="13.5" customHeight="1" x14ac:dyDescent="0.25">
      <c r="A563" s="432"/>
      <c r="B563" s="449"/>
      <c r="H563" s="395"/>
    </row>
    <row r="564" spans="1:8" ht="13.5" customHeight="1" x14ac:dyDescent="0.25">
      <c r="A564" s="432"/>
      <c r="B564" s="449"/>
      <c r="H564" s="395"/>
    </row>
    <row r="565" spans="1:8" ht="13.5" customHeight="1" x14ac:dyDescent="0.25">
      <c r="A565" s="432"/>
      <c r="B565" s="449"/>
      <c r="H565" s="395"/>
    </row>
    <row r="566" spans="1:8" ht="13.5" customHeight="1" x14ac:dyDescent="0.25">
      <c r="A566" s="432"/>
      <c r="B566" s="449"/>
      <c r="H566" s="395"/>
    </row>
    <row r="567" spans="1:8" ht="13.5" customHeight="1" x14ac:dyDescent="0.25">
      <c r="A567" s="432"/>
      <c r="B567" s="449"/>
      <c r="H567" s="395"/>
    </row>
    <row r="568" spans="1:8" ht="13.5" customHeight="1" x14ac:dyDescent="0.25">
      <c r="A568" s="432"/>
      <c r="B568" s="449"/>
      <c r="H568" s="395"/>
    </row>
    <row r="569" spans="1:8" ht="13.5" customHeight="1" x14ac:dyDescent="0.25">
      <c r="A569" s="432"/>
      <c r="B569" s="449"/>
      <c r="H569" s="395"/>
    </row>
    <row r="570" spans="1:8" ht="13.5" customHeight="1" x14ac:dyDescent="0.25">
      <c r="A570" s="432"/>
      <c r="B570" s="449"/>
      <c r="H570" s="395"/>
    </row>
    <row r="571" spans="1:8" ht="13.5" customHeight="1" x14ac:dyDescent="0.25">
      <c r="A571" s="432"/>
      <c r="B571" s="449"/>
      <c r="H571" s="395"/>
    </row>
    <row r="572" spans="1:8" ht="13.5" customHeight="1" x14ac:dyDescent="0.25">
      <c r="A572" s="432"/>
      <c r="B572" s="449"/>
      <c r="H572" s="395"/>
    </row>
    <row r="573" spans="1:8" ht="13.5" customHeight="1" x14ac:dyDescent="0.25">
      <c r="A573" s="432"/>
      <c r="B573" s="449"/>
      <c r="H573" s="395"/>
    </row>
    <row r="574" spans="1:8" ht="13.5" customHeight="1" x14ac:dyDescent="0.25">
      <c r="A574" s="432"/>
      <c r="B574" s="449"/>
      <c r="H574" s="395"/>
    </row>
    <row r="575" spans="1:8" ht="13.5" customHeight="1" x14ac:dyDescent="0.25">
      <c r="A575" s="432"/>
      <c r="B575" s="449"/>
      <c r="H575" s="395"/>
    </row>
    <row r="576" spans="1:8" ht="13.5" customHeight="1" x14ac:dyDescent="0.25">
      <c r="A576" s="432"/>
      <c r="B576" s="449"/>
      <c r="H576" s="395"/>
    </row>
    <row r="577" spans="1:8" ht="13.5" customHeight="1" x14ac:dyDescent="0.25">
      <c r="A577" s="432"/>
      <c r="B577" s="449"/>
      <c r="H577" s="395"/>
    </row>
    <row r="578" spans="1:8" ht="13.5" customHeight="1" x14ac:dyDescent="0.25">
      <c r="A578" s="432"/>
      <c r="B578" s="449"/>
      <c r="H578" s="395"/>
    </row>
    <row r="579" spans="1:8" ht="13.5" customHeight="1" x14ac:dyDescent="0.25">
      <c r="A579" s="432"/>
      <c r="B579" s="449"/>
      <c r="H579" s="395"/>
    </row>
    <row r="580" spans="1:8" ht="13.5" customHeight="1" x14ac:dyDescent="0.25">
      <c r="A580" s="432"/>
      <c r="B580" s="449"/>
      <c r="H580" s="395"/>
    </row>
    <row r="581" spans="1:8" ht="13.5" customHeight="1" x14ac:dyDescent="0.25">
      <c r="A581" s="432"/>
      <c r="B581" s="449"/>
      <c r="H581" s="395"/>
    </row>
    <row r="582" spans="1:8" ht="13.5" customHeight="1" x14ac:dyDescent="0.25">
      <c r="A582" s="432"/>
      <c r="B582" s="449"/>
      <c r="H582" s="395"/>
    </row>
    <row r="583" spans="1:8" ht="13.5" customHeight="1" x14ac:dyDescent="0.25">
      <c r="A583" s="432"/>
      <c r="B583" s="449"/>
      <c r="H583" s="395"/>
    </row>
    <row r="584" spans="1:8" ht="13.5" customHeight="1" x14ac:dyDescent="0.25">
      <c r="A584" s="432"/>
      <c r="B584" s="449"/>
      <c r="H584" s="395"/>
    </row>
    <row r="585" spans="1:8" ht="13.5" customHeight="1" x14ac:dyDescent="0.25">
      <c r="A585" s="432"/>
      <c r="B585" s="449"/>
      <c r="H585" s="395"/>
    </row>
    <row r="586" spans="1:8" ht="13.5" customHeight="1" x14ac:dyDescent="0.25">
      <c r="A586" s="432"/>
      <c r="B586" s="449"/>
      <c r="H586" s="395"/>
    </row>
    <row r="587" spans="1:8" ht="13.5" customHeight="1" x14ac:dyDescent="0.25">
      <c r="A587" s="432"/>
      <c r="B587" s="449"/>
      <c r="H587" s="395"/>
    </row>
    <row r="588" spans="1:8" ht="13.5" customHeight="1" x14ac:dyDescent="0.25">
      <c r="A588" s="432"/>
      <c r="B588" s="449"/>
      <c r="H588" s="395"/>
    </row>
    <row r="589" spans="1:8" ht="13.5" customHeight="1" x14ac:dyDescent="0.25">
      <c r="A589" s="432"/>
      <c r="B589" s="449"/>
      <c r="H589" s="395"/>
    </row>
    <row r="590" spans="1:8" ht="13.5" customHeight="1" x14ac:dyDescent="0.25">
      <c r="A590" s="432"/>
      <c r="B590" s="449"/>
      <c r="H590" s="395"/>
    </row>
    <row r="591" spans="1:8" ht="13.5" customHeight="1" x14ac:dyDescent="0.25">
      <c r="A591" s="432"/>
      <c r="B591" s="449"/>
      <c r="H591" s="395"/>
    </row>
    <row r="592" spans="1:8" ht="13.5" customHeight="1" x14ac:dyDescent="0.25">
      <c r="A592" s="432"/>
      <c r="B592" s="449"/>
      <c r="H592" s="395"/>
    </row>
    <row r="593" spans="1:8" ht="13.5" customHeight="1" x14ac:dyDescent="0.25">
      <c r="A593" s="432"/>
      <c r="B593" s="449"/>
      <c r="H593" s="395"/>
    </row>
    <row r="594" spans="1:8" ht="13.5" customHeight="1" x14ac:dyDescent="0.25">
      <c r="A594" s="432"/>
      <c r="B594" s="449"/>
      <c r="H594" s="395"/>
    </row>
    <row r="595" spans="1:8" ht="13.5" customHeight="1" x14ac:dyDescent="0.25">
      <c r="A595" s="432"/>
      <c r="B595" s="449"/>
      <c r="H595" s="395"/>
    </row>
    <row r="596" spans="1:8" ht="13.5" customHeight="1" x14ac:dyDescent="0.25">
      <c r="A596" s="432"/>
      <c r="B596" s="449"/>
      <c r="H596" s="395"/>
    </row>
    <row r="597" spans="1:8" ht="13.5" customHeight="1" x14ac:dyDescent="0.25">
      <c r="A597" s="432"/>
      <c r="B597" s="449"/>
      <c r="H597" s="395"/>
    </row>
    <row r="598" spans="1:8" ht="13.5" customHeight="1" x14ac:dyDescent="0.25">
      <c r="A598" s="432"/>
      <c r="B598" s="449"/>
      <c r="H598" s="395"/>
    </row>
    <row r="599" spans="1:8" ht="13.5" customHeight="1" x14ac:dyDescent="0.25">
      <c r="A599" s="432"/>
      <c r="B599" s="449"/>
      <c r="H599" s="395"/>
    </row>
    <row r="600" spans="1:8" ht="13.5" customHeight="1" x14ac:dyDescent="0.25">
      <c r="A600" s="432"/>
      <c r="B600" s="449"/>
      <c r="H600" s="395"/>
    </row>
    <row r="601" spans="1:8" ht="13.5" customHeight="1" x14ac:dyDescent="0.25">
      <c r="A601" s="432"/>
      <c r="B601" s="449"/>
      <c r="H601" s="395"/>
    </row>
    <row r="602" spans="1:8" ht="13.5" customHeight="1" x14ac:dyDescent="0.25">
      <c r="A602" s="432"/>
      <c r="B602" s="449"/>
      <c r="H602" s="395"/>
    </row>
    <row r="603" spans="1:8" ht="13.5" customHeight="1" x14ac:dyDescent="0.25">
      <c r="A603" s="432"/>
      <c r="B603" s="449"/>
      <c r="H603" s="395"/>
    </row>
    <row r="604" spans="1:8" ht="13.5" customHeight="1" x14ac:dyDescent="0.25">
      <c r="A604" s="432"/>
      <c r="B604" s="449"/>
      <c r="H604" s="395"/>
    </row>
    <row r="605" spans="1:8" ht="13.5" customHeight="1" x14ac:dyDescent="0.25">
      <c r="A605" s="432"/>
      <c r="B605" s="449"/>
      <c r="H605" s="395"/>
    </row>
    <row r="606" spans="1:8" ht="13.5" customHeight="1" x14ac:dyDescent="0.25">
      <c r="A606" s="432"/>
      <c r="B606" s="449"/>
      <c r="H606" s="395"/>
    </row>
    <row r="607" spans="1:8" ht="13.5" customHeight="1" x14ac:dyDescent="0.25">
      <c r="A607" s="432"/>
      <c r="B607" s="449"/>
      <c r="H607" s="395"/>
    </row>
    <row r="608" spans="1:8" ht="13.5" customHeight="1" x14ac:dyDescent="0.25">
      <c r="A608" s="432"/>
      <c r="B608" s="449"/>
      <c r="H608" s="395"/>
    </row>
    <row r="609" spans="1:8" ht="13.5" customHeight="1" x14ac:dyDescent="0.25">
      <c r="A609" s="432"/>
      <c r="B609" s="449"/>
      <c r="H609" s="395"/>
    </row>
    <row r="610" spans="1:8" ht="13.5" customHeight="1" x14ac:dyDescent="0.25">
      <c r="A610" s="432"/>
      <c r="B610" s="449"/>
      <c r="H610" s="395"/>
    </row>
    <row r="611" spans="1:8" ht="13.5" customHeight="1" x14ac:dyDescent="0.25">
      <c r="A611" s="432"/>
      <c r="B611" s="449"/>
      <c r="H611" s="395"/>
    </row>
    <row r="612" spans="1:8" ht="13.5" customHeight="1" x14ac:dyDescent="0.25">
      <c r="A612" s="432"/>
      <c r="B612" s="449"/>
      <c r="H612" s="395"/>
    </row>
    <row r="613" spans="1:8" ht="13.5" customHeight="1" x14ac:dyDescent="0.25">
      <c r="A613" s="432"/>
      <c r="B613" s="449"/>
      <c r="H613" s="395"/>
    </row>
    <row r="614" spans="1:8" ht="13.5" customHeight="1" x14ac:dyDescent="0.25">
      <c r="A614" s="432"/>
      <c r="B614" s="449"/>
      <c r="H614" s="395"/>
    </row>
    <row r="615" spans="1:8" ht="13.5" customHeight="1" x14ac:dyDescent="0.25">
      <c r="A615" s="432"/>
      <c r="B615" s="449"/>
      <c r="H615" s="395"/>
    </row>
    <row r="616" spans="1:8" ht="13.5" customHeight="1" x14ac:dyDescent="0.25">
      <c r="A616" s="432"/>
      <c r="B616" s="449"/>
      <c r="H616" s="395"/>
    </row>
    <row r="617" spans="1:8" ht="13.5" customHeight="1" x14ac:dyDescent="0.25">
      <c r="A617" s="432"/>
      <c r="B617" s="449"/>
      <c r="H617" s="395"/>
    </row>
    <row r="618" spans="1:8" ht="13.5" customHeight="1" x14ac:dyDescent="0.25">
      <c r="A618" s="432"/>
      <c r="B618" s="449"/>
      <c r="H618" s="395"/>
    </row>
    <row r="619" spans="1:8" ht="13.5" customHeight="1" x14ac:dyDescent="0.25">
      <c r="A619" s="432"/>
      <c r="B619" s="449"/>
      <c r="H619" s="395"/>
    </row>
    <row r="620" spans="1:8" ht="13.5" customHeight="1" x14ac:dyDescent="0.25">
      <c r="A620" s="432"/>
      <c r="B620" s="449"/>
      <c r="H620" s="395"/>
    </row>
    <row r="621" spans="1:8" ht="13.5" customHeight="1" x14ac:dyDescent="0.25">
      <c r="A621" s="432"/>
      <c r="B621" s="449"/>
      <c r="H621" s="395"/>
    </row>
    <row r="622" spans="1:8" ht="13.5" customHeight="1" x14ac:dyDescent="0.25">
      <c r="A622" s="432"/>
      <c r="B622" s="449"/>
      <c r="H622" s="395"/>
    </row>
    <row r="623" spans="1:8" ht="13.5" customHeight="1" x14ac:dyDescent="0.25">
      <c r="A623" s="432"/>
      <c r="B623" s="449"/>
      <c r="H623" s="395"/>
    </row>
    <row r="624" spans="1:8" ht="13.5" customHeight="1" x14ac:dyDescent="0.25">
      <c r="A624" s="432"/>
      <c r="B624" s="449"/>
      <c r="H624" s="395"/>
    </row>
    <row r="625" spans="1:8" ht="13.5" customHeight="1" x14ac:dyDescent="0.25">
      <c r="A625" s="432"/>
      <c r="B625" s="449"/>
      <c r="H625" s="395"/>
    </row>
    <row r="626" spans="1:8" ht="13.5" customHeight="1" x14ac:dyDescent="0.25">
      <c r="A626" s="432"/>
      <c r="B626" s="449"/>
      <c r="H626" s="395"/>
    </row>
    <row r="627" spans="1:8" ht="13.5" customHeight="1" x14ac:dyDescent="0.25">
      <c r="A627" s="432"/>
      <c r="B627" s="449"/>
      <c r="H627" s="395"/>
    </row>
    <row r="628" spans="1:8" ht="13.5" customHeight="1" x14ac:dyDescent="0.25">
      <c r="A628" s="432"/>
      <c r="B628" s="449"/>
      <c r="H628" s="395"/>
    </row>
    <row r="629" spans="1:8" ht="13.5" customHeight="1" x14ac:dyDescent="0.25">
      <c r="A629" s="432"/>
      <c r="B629" s="449"/>
      <c r="H629" s="395"/>
    </row>
    <row r="630" spans="1:8" ht="13.5" customHeight="1" x14ac:dyDescent="0.25">
      <c r="A630" s="432"/>
      <c r="B630" s="449"/>
      <c r="H630" s="395"/>
    </row>
    <row r="631" spans="1:8" ht="13.5" customHeight="1" x14ac:dyDescent="0.25">
      <c r="A631" s="432"/>
      <c r="B631" s="449"/>
      <c r="H631" s="395"/>
    </row>
    <row r="632" spans="1:8" ht="13.5" customHeight="1" x14ac:dyDescent="0.25">
      <c r="A632" s="432"/>
      <c r="B632" s="449"/>
      <c r="H632" s="395"/>
    </row>
    <row r="633" spans="1:8" ht="13.5" customHeight="1" x14ac:dyDescent="0.25">
      <c r="A633" s="432"/>
      <c r="B633" s="449"/>
      <c r="H633" s="395"/>
    </row>
    <row r="634" spans="1:8" ht="13.5" customHeight="1" x14ac:dyDescent="0.25">
      <c r="A634" s="432"/>
      <c r="B634" s="449"/>
      <c r="H634" s="395"/>
    </row>
    <row r="635" spans="1:8" ht="13.5" customHeight="1" x14ac:dyDescent="0.25">
      <c r="A635" s="432"/>
      <c r="B635" s="449"/>
      <c r="H635" s="395"/>
    </row>
    <row r="636" spans="1:8" ht="13.5" customHeight="1" x14ac:dyDescent="0.25">
      <c r="A636" s="432"/>
      <c r="B636" s="449"/>
      <c r="H636" s="395"/>
    </row>
    <row r="637" spans="1:8" ht="13.5" customHeight="1" x14ac:dyDescent="0.25">
      <c r="A637" s="432"/>
      <c r="B637" s="449"/>
      <c r="H637" s="395"/>
    </row>
    <row r="638" spans="1:8" ht="13.5" customHeight="1" x14ac:dyDescent="0.25">
      <c r="A638" s="432"/>
      <c r="B638" s="449"/>
      <c r="H638" s="395"/>
    </row>
    <row r="639" spans="1:8" ht="13.5" customHeight="1" x14ac:dyDescent="0.25">
      <c r="A639" s="432"/>
      <c r="B639" s="449"/>
      <c r="H639" s="395"/>
    </row>
    <row r="640" spans="1:8" ht="13.5" customHeight="1" x14ac:dyDescent="0.25">
      <c r="A640" s="432"/>
      <c r="B640" s="449"/>
      <c r="H640" s="395"/>
    </row>
    <row r="641" spans="1:8" ht="13.5" customHeight="1" x14ac:dyDescent="0.25">
      <c r="A641" s="432"/>
      <c r="B641" s="449"/>
      <c r="H641" s="395"/>
    </row>
    <row r="642" spans="1:8" ht="13.5" customHeight="1" x14ac:dyDescent="0.25">
      <c r="A642" s="432"/>
      <c r="B642" s="449"/>
      <c r="H642" s="395"/>
    </row>
    <row r="643" spans="1:8" ht="13.5" customHeight="1" x14ac:dyDescent="0.25">
      <c r="A643" s="432"/>
      <c r="B643" s="449"/>
      <c r="H643" s="395"/>
    </row>
    <row r="644" spans="1:8" ht="13.5" customHeight="1" x14ac:dyDescent="0.25">
      <c r="A644" s="432"/>
      <c r="B644" s="449"/>
      <c r="H644" s="395"/>
    </row>
    <row r="645" spans="1:8" ht="13.5" customHeight="1" x14ac:dyDescent="0.25">
      <c r="A645" s="432"/>
      <c r="B645" s="449"/>
      <c r="H645" s="395"/>
    </row>
    <row r="646" spans="1:8" ht="13.5" customHeight="1" x14ac:dyDescent="0.25">
      <c r="A646" s="432"/>
      <c r="B646" s="449"/>
      <c r="H646" s="395"/>
    </row>
    <row r="647" spans="1:8" ht="13.5" customHeight="1" x14ac:dyDescent="0.25">
      <c r="A647" s="432"/>
      <c r="B647" s="449"/>
      <c r="H647" s="395"/>
    </row>
    <row r="648" spans="1:8" ht="13.5" customHeight="1" x14ac:dyDescent="0.25">
      <c r="A648" s="432"/>
      <c r="B648" s="449"/>
      <c r="H648" s="395"/>
    </row>
    <row r="649" spans="1:8" ht="13.5" customHeight="1" x14ac:dyDescent="0.25">
      <c r="A649" s="432"/>
      <c r="B649" s="449"/>
      <c r="H649" s="395"/>
    </row>
    <row r="650" spans="1:8" ht="13.5" customHeight="1" x14ac:dyDescent="0.25">
      <c r="A650" s="432"/>
      <c r="B650" s="449"/>
      <c r="H650" s="395"/>
    </row>
    <row r="651" spans="1:8" ht="13.5" customHeight="1" x14ac:dyDescent="0.25">
      <c r="A651" s="432"/>
      <c r="B651" s="449"/>
      <c r="H651" s="395"/>
    </row>
    <row r="652" spans="1:8" ht="13.5" customHeight="1" x14ac:dyDescent="0.25">
      <c r="A652" s="432"/>
      <c r="B652" s="449"/>
      <c r="H652" s="395"/>
    </row>
    <row r="653" spans="1:8" ht="13.5" customHeight="1" x14ac:dyDescent="0.25">
      <c r="A653" s="432"/>
      <c r="B653" s="449"/>
      <c r="H653" s="395"/>
    </row>
    <row r="654" spans="1:8" ht="13.5" customHeight="1" x14ac:dyDescent="0.25">
      <c r="A654" s="432"/>
      <c r="B654" s="449"/>
      <c r="H654" s="395"/>
    </row>
    <row r="655" spans="1:8" ht="13.5" customHeight="1" x14ac:dyDescent="0.25">
      <c r="A655" s="432"/>
      <c r="B655" s="449"/>
      <c r="H655" s="395"/>
    </row>
    <row r="656" spans="1:8" ht="13.5" customHeight="1" x14ac:dyDescent="0.25">
      <c r="A656" s="432"/>
      <c r="B656" s="449"/>
      <c r="H656" s="395"/>
    </row>
    <row r="657" spans="1:8" ht="13.5" customHeight="1" x14ac:dyDescent="0.25">
      <c r="A657" s="432"/>
      <c r="B657" s="449"/>
      <c r="H657" s="395"/>
    </row>
    <row r="658" spans="1:8" ht="13.5" customHeight="1" x14ac:dyDescent="0.25">
      <c r="A658" s="432"/>
      <c r="B658" s="449"/>
      <c r="H658" s="395"/>
    </row>
    <row r="659" spans="1:8" ht="13.5" customHeight="1" x14ac:dyDescent="0.25">
      <c r="A659" s="432"/>
      <c r="B659" s="449"/>
      <c r="H659" s="395"/>
    </row>
    <row r="660" spans="1:8" ht="13.5" customHeight="1" x14ac:dyDescent="0.25">
      <c r="A660" s="432"/>
      <c r="B660" s="449"/>
      <c r="H660" s="395"/>
    </row>
    <row r="661" spans="1:8" ht="13.5" customHeight="1" x14ac:dyDescent="0.25">
      <c r="A661" s="432"/>
      <c r="B661" s="449"/>
      <c r="H661" s="395"/>
    </row>
    <row r="662" spans="1:8" ht="13.5" customHeight="1" x14ac:dyDescent="0.25">
      <c r="A662" s="432"/>
      <c r="B662" s="449"/>
      <c r="H662" s="395"/>
    </row>
    <row r="663" spans="1:8" ht="13.5" customHeight="1" x14ac:dyDescent="0.25">
      <c r="A663" s="432"/>
      <c r="B663" s="449"/>
      <c r="H663" s="395"/>
    </row>
    <row r="664" spans="1:8" ht="13.5" customHeight="1" x14ac:dyDescent="0.25">
      <c r="A664" s="432"/>
      <c r="B664" s="449"/>
      <c r="H664" s="395"/>
    </row>
    <row r="665" spans="1:8" ht="13.5" customHeight="1" x14ac:dyDescent="0.25">
      <c r="A665" s="432"/>
      <c r="B665" s="449"/>
      <c r="H665" s="395"/>
    </row>
    <row r="666" spans="1:8" ht="13.5" customHeight="1" x14ac:dyDescent="0.25">
      <c r="A666" s="432"/>
      <c r="B666" s="449"/>
      <c r="H666" s="395"/>
    </row>
    <row r="667" spans="1:8" ht="13.5" customHeight="1" x14ac:dyDescent="0.25">
      <c r="A667" s="432"/>
      <c r="B667" s="449"/>
      <c r="H667" s="395"/>
    </row>
    <row r="668" spans="1:8" ht="13.5" customHeight="1" x14ac:dyDescent="0.25">
      <c r="A668" s="432"/>
      <c r="B668" s="449"/>
      <c r="H668" s="395"/>
    </row>
    <row r="669" spans="1:8" ht="13.5" customHeight="1" x14ac:dyDescent="0.25">
      <c r="A669" s="432"/>
      <c r="B669" s="449"/>
      <c r="H669" s="395"/>
    </row>
    <row r="670" spans="1:8" ht="13.5" customHeight="1" x14ac:dyDescent="0.25">
      <c r="A670" s="432"/>
      <c r="B670" s="449"/>
      <c r="H670" s="395"/>
    </row>
    <row r="671" spans="1:8" ht="13.5" customHeight="1" x14ac:dyDescent="0.25">
      <c r="A671" s="432"/>
      <c r="B671" s="449"/>
      <c r="H671" s="395"/>
    </row>
    <row r="672" spans="1:8" ht="13.5" customHeight="1" x14ac:dyDescent="0.25">
      <c r="A672" s="432"/>
      <c r="B672" s="449"/>
      <c r="H672" s="395"/>
    </row>
    <row r="673" spans="1:8" ht="13.5" customHeight="1" x14ac:dyDescent="0.25">
      <c r="A673" s="432"/>
      <c r="B673" s="449"/>
      <c r="H673" s="395"/>
    </row>
    <row r="674" spans="1:8" ht="13.5" customHeight="1" x14ac:dyDescent="0.25">
      <c r="A674" s="432"/>
      <c r="B674" s="449"/>
      <c r="H674" s="395"/>
    </row>
    <row r="675" spans="1:8" ht="13.5" customHeight="1" x14ac:dyDescent="0.25">
      <c r="A675" s="432"/>
      <c r="B675" s="449"/>
      <c r="H675" s="395"/>
    </row>
    <row r="676" spans="1:8" ht="13.5" customHeight="1" x14ac:dyDescent="0.25">
      <c r="A676" s="432"/>
      <c r="B676" s="449"/>
      <c r="H676" s="395"/>
    </row>
    <row r="677" spans="1:8" ht="13.5" customHeight="1" x14ac:dyDescent="0.25">
      <c r="A677" s="432"/>
      <c r="B677" s="449"/>
      <c r="H677" s="395"/>
    </row>
    <row r="678" spans="1:8" ht="13.5" customHeight="1" x14ac:dyDescent="0.25">
      <c r="A678" s="432"/>
      <c r="B678" s="449"/>
      <c r="H678" s="395"/>
    </row>
    <row r="679" spans="1:8" ht="13.5" customHeight="1" x14ac:dyDescent="0.25">
      <c r="A679" s="432"/>
      <c r="B679" s="449"/>
      <c r="H679" s="395"/>
    </row>
    <row r="680" spans="1:8" ht="13.5" customHeight="1" x14ac:dyDescent="0.25">
      <c r="A680" s="432"/>
      <c r="B680" s="449"/>
      <c r="H680" s="395"/>
    </row>
    <row r="681" spans="1:8" ht="13.5" customHeight="1" x14ac:dyDescent="0.25">
      <c r="A681" s="432"/>
      <c r="B681" s="449"/>
      <c r="H681" s="395"/>
    </row>
    <row r="682" spans="1:8" ht="13.5" customHeight="1" x14ac:dyDescent="0.25">
      <c r="A682" s="432"/>
      <c r="B682" s="449"/>
      <c r="H682" s="395"/>
    </row>
    <row r="683" spans="1:8" ht="13.5" customHeight="1" x14ac:dyDescent="0.25">
      <c r="A683" s="432"/>
      <c r="B683" s="449"/>
      <c r="H683" s="395"/>
    </row>
    <row r="684" spans="1:8" ht="13.5" customHeight="1" x14ac:dyDescent="0.25">
      <c r="A684" s="432"/>
      <c r="B684" s="449"/>
      <c r="H684" s="395"/>
    </row>
    <row r="685" spans="1:8" ht="13.5" customHeight="1" x14ac:dyDescent="0.25">
      <c r="A685" s="432"/>
      <c r="B685" s="449"/>
      <c r="H685" s="395"/>
    </row>
    <row r="686" spans="1:8" ht="13.5" customHeight="1" x14ac:dyDescent="0.25">
      <c r="A686" s="432"/>
      <c r="B686" s="449"/>
      <c r="H686" s="395"/>
    </row>
    <row r="687" spans="1:8" ht="13.5" customHeight="1" x14ac:dyDescent="0.25">
      <c r="A687" s="432"/>
      <c r="B687" s="449"/>
      <c r="H687" s="395"/>
    </row>
    <row r="688" spans="1:8" ht="13.5" customHeight="1" x14ac:dyDescent="0.25">
      <c r="A688" s="432"/>
      <c r="B688" s="449"/>
      <c r="H688" s="395"/>
    </row>
    <row r="689" spans="1:8" ht="13.5" customHeight="1" x14ac:dyDescent="0.25">
      <c r="A689" s="432"/>
      <c r="B689" s="449"/>
      <c r="H689" s="395"/>
    </row>
    <row r="690" spans="1:8" ht="13.5" customHeight="1" x14ac:dyDescent="0.25">
      <c r="A690" s="432"/>
      <c r="B690" s="449"/>
      <c r="H690" s="395"/>
    </row>
    <row r="691" spans="1:8" ht="13.5" customHeight="1" x14ac:dyDescent="0.25">
      <c r="A691" s="432"/>
      <c r="B691" s="449"/>
      <c r="H691" s="395"/>
    </row>
    <row r="692" spans="1:8" ht="13.5" customHeight="1" x14ac:dyDescent="0.25">
      <c r="A692" s="432"/>
      <c r="B692" s="449"/>
      <c r="H692" s="395"/>
    </row>
    <row r="693" spans="1:8" ht="13.5" customHeight="1" x14ac:dyDescent="0.25">
      <c r="A693" s="432"/>
      <c r="B693" s="449"/>
      <c r="H693" s="395"/>
    </row>
    <row r="694" spans="1:8" ht="13.5" customHeight="1" x14ac:dyDescent="0.25">
      <c r="A694" s="432"/>
      <c r="B694" s="449"/>
      <c r="H694" s="395"/>
    </row>
    <row r="695" spans="1:8" ht="13.5" customHeight="1" x14ac:dyDescent="0.25">
      <c r="A695" s="432"/>
      <c r="B695" s="449"/>
      <c r="H695" s="395"/>
    </row>
    <row r="696" spans="1:8" ht="13.5" customHeight="1" x14ac:dyDescent="0.25">
      <c r="A696" s="432"/>
      <c r="B696" s="449"/>
      <c r="H696" s="395"/>
    </row>
    <row r="697" spans="1:8" ht="13.5" customHeight="1" x14ac:dyDescent="0.25">
      <c r="A697" s="432"/>
      <c r="B697" s="449"/>
      <c r="H697" s="395"/>
    </row>
    <row r="698" spans="1:8" ht="13.5" customHeight="1" x14ac:dyDescent="0.25">
      <c r="A698" s="432"/>
      <c r="B698" s="449"/>
      <c r="H698" s="395"/>
    </row>
    <row r="699" spans="1:8" ht="13.5" customHeight="1" x14ac:dyDescent="0.25">
      <c r="A699" s="432"/>
      <c r="B699" s="449"/>
      <c r="H699" s="395"/>
    </row>
    <row r="700" spans="1:8" ht="13.5" customHeight="1" x14ac:dyDescent="0.25">
      <c r="A700" s="432"/>
      <c r="B700" s="449"/>
      <c r="H700" s="395"/>
    </row>
    <row r="701" spans="1:8" ht="13.5" customHeight="1" x14ac:dyDescent="0.25">
      <c r="A701" s="432"/>
      <c r="B701" s="449"/>
      <c r="H701" s="395"/>
    </row>
    <row r="702" spans="1:8" ht="13.5" customHeight="1" x14ac:dyDescent="0.25">
      <c r="A702" s="432"/>
      <c r="B702" s="449"/>
      <c r="H702" s="395"/>
    </row>
    <row r="703" spans="1:8" ht="13.5" customHeight="1" x14ac:dyDescent="0.25">
      <c r="A703" s="432"/>
      <c r="B703" s="449"/>
      <c r="H703" s="395"/>
    </row>
    <row r="704" spans="1:8" ht="13.5" customHeight="1" x14ac:dyDescent="0.25">
      <c r="A704" s="432"/>
      <c r="B704" s="449"/>
      <c r="H704" s="395"/>
    </row>
    <row r="705" spans="1:8" ht="13.5" customHeight="1" x14ac:dyDescent="0.25">
      <c r="A705" s="432"/>
      <c r="B705" s="449"/>
      <c r="H705" s="395"/>
    </row>
    <row r="706" spans="1:8" ht="13.5" customHeight="1" x14ac:dyDescent="0.25">
      <c r="A706" s="432"/>
      <c r="B706" s="449"/>
      <c r="H706" s="395"/>
    </row>
    <row r="707" spans="1:8" ht="13.5" customHeight="1" x14ac:dyDescent="0.25">
      <c r="A707" s="432"/>
      <c r="B707" s="449"/>
      <c r="H707" s="395"/>
    </row>
    <row r="708" spans="1:8" ht="13.5" customHeight="1" x14ac:dyDescent="0.25">
      <c r="A708" s="432"/>
      <c r="B708" s="449"/>
      <c r="H708" s="395"/>
    </row>
    <row r="709" spans="1:8" ht="13.5" customHeight="1" x14ac:dyDescent="0.25">
      <c r="A709" s="432"/>
      <c r="B709" s="449"/>
      <c r="H709" s="395"/>
    </row>
    <row r="710" spans="1:8" ht="13.5" customHeight="1" x14ac:dyDescent="0.25">
      <c r="A710" s="432"/>
      <c r="B710" s="449"/>
      <c r="H710" s="395"/>
    </row>
    <row r="711" spans="1:8" ht="13.5" customHeight="1" x14ac:dyDescent="0.25">
      <c r="A711" s="432"/>
      <c r="B711" s="449"/>
      <c r="H711" s="395"/>
    </row>
    <row r="712" spans="1:8" ht="13.5" customHeight="1" x14ac:dyDescent="0.25">
      <c r="A712" s="432"/>
      <c r="B712" s="449"/>
      <c r="H712" s="395"/>
    </row>
    <row r="713" spans="1:8" ht="13.5" customHeight="1" x14ac:dyDescent="0.25">
      <c r="A713" s="432"/>
      <c r="B713" s="449"/>
      <c r="H713" s="395"/>
    </row>
    <row r="714" spans="1:8" ht="13.5" customHeight="1" x14ac:dyDescent="0.25">
      <c r="A714" s="432"/>
      <c r="B714" s="449"/>
      <c r="H714" s="395"/>
    </row>
    <row r="715" spans="1:8" ht="13.5" customHeight="1" x14ac:dyDescent="0.25">
      <c r="A715" s="432"/>
      <c r="B715" s="449"/>
      <c r="H715" s="395"/>
    </row>
    <row r="716" spans="1:8" ht="13.5" customHeight="1" x14ac:dyDescent="0.25">
      <c r="A716" s="432"/>
      <c r="B716" s="449"/>
      <c r="H716" s="395"/>
    </row>
    <row r="717" spans="1:8" ht="13.5" customHeight="1" x14ac:dyDescent="0.25">
      <c r="A717" s="432"/>
      <c r="B717" s="449"/>
      <c r="H717" s="395"/>
    </row>
    <row r="718" spans="1:8" ht="13.5" customHeight="1" x14ac:dyDescent="0.25">
      <c r="A718" s="432"/>
      <c r="B718" s="449"/>
      <c r="H718" s="395"/>
    </row>
    <row r="719" spans="1:8" ht="13.5" customHeight="1" x14ac:dyDescent="0.25">
      <c r="A719" s="432"/>
      <c r="B719" s="449"/>
      <c r="H719" s="395"/>
    </row>
    <row r="720" spans="1:8" ht="13.5" customHeight="1" x14ac:dyDescent="0.25">
      <c r="A720" s="432"/>
      <c r="B720" s="449"/>
      <c r="H720" s="395"/>
    </row>
    <row r="721" spans="1:8" ht="13.5" customHeight="1" x14ac:dyDescent="0.25">
      <c r="A721" s="432"/>
      <c r="B721" s="449"/>
      <c r="H721" s="395"/>
    </row>
    <row r="722" spans="1:8" ht="13.5" customHeight="1" x14ac:dyDescent="0.25">
      <c r="A722" s="432"/>
      <c r="B722" s="449"/>
      <c r="H722" s="395"/>
    </row>
    <row r="723" spans="1:8" ht="13.5" customHeight="1" x14ac:dyDescent="0.25">
      <c r="A723" s="432"/>
      <c r="B723" s="449"/>
      <c r="H723" s="395"/>
    </row>
    <row r="724" spans="1:8" ht="13.5" customHeight="1" x14ac:dyDescent="0.25">
      <c r="A724" s="432"/>
      <c r="B724" s="449"/>
      <c r="H724" s="395"/>
    </row>
    <row r="725" spans="1:8" ht="13.5" customHeight="1" x14ac:dyDescent="0.25">
      <c r="A725" s="432"/>
      <c r="B725" s="449"/>
      <c r="H725" s="395"/>
    </row>
    <row r="726" spans="1:8" ht="13.5" customHeight="1" x14ac:dyDescent="0.25">
      <c r="A726" s="432"/>
      <c r="B726" s="449"/>
      <c r="H726" s="395"/>
    </row>
    <row r="727" spans="1:8" ht="13.5" customHeight="1" x14ac:dyDescent="0.25">
      <c r="A727" s="432"/>
      <c r="B727" s="449"/>
      <c r="H727" s="395"/>
    </row>
    <row r="728" spans="1:8" ht="13.5" customHeight="1" x14ac:dyDescent="0.25">
      <c r="A728" s="432"/>
      <c r="B728" s="449"/>
      <c r="H728" s="395"/>
    </row>
    <row r="729" spans="1:8" ht="13.5" customHeight="1" x14ac:dyDescent="0.25">
      <c r="A729" s="432"/>
      <c r="B729" s="449"/>
      <c r="H729" s="395"/>
    </row>
    <row r="730" spans="1:8" ht="13.5" customHeight="1" x14ac:dyDescent="0.25">
      <c r="A730" s="432"/>
      <c r="B730" s="449"/>
      <c r="H730" s="395"/>
    </row>
    <row r="731" spans="1:8" ht="13.5" customHeight="1" x14ac:dyDescent="0.25">
      <c r="A731" s="432"/>
      <c r="B731" s="449"/>
      <c r="H731" s="395"/>
    </row>
    <row r="732" spans="1:8" ht="13.5" customHeight="1" x14ac:dyDescent="0.25">
      <c r="A732" s="432"/>
      <c r="B732" s="449"/>
      <c r="H732" s="395"/>
    </row>
    <row r="733" spans="1:8" ht="13.5" customHeight="1" x14ac:dyDescent="0.25">
      <c r="A733" s="432"/>
      <c r="B733" s="449"/>
      <c r="H733" s="395"/>
    </row>
    <row r="734" spans="1:8" ht="13.5" customHeight="1" x14ac:dyDescent="0.25">
      <c r="A734" s="432"/>
      <c r="B734" s="449"/>
      <c r="H734" s="395"/>
    </row>
    <row r="735" spans="1:8" ht="13.5" customHeight="1" x14ac:dyDescent="0.25">
      <c r="A735" s="432"/>
      <c r="B735" s="449"/>
      <c r="H735" s="395"/>
    </row>
    <row r="736" spans="1:8" ht="13.5" customHeight="1" x14ac:dyDescent="0.25">
      <c r="A736" s="432"/>
      <c r="B736" s="449"/>
      <c r="H736" s="395"/>
    </row>
    <row r="737" spans="1:8" ht="13.5" customHeight="1" x14ac:dyDescent="0.25">
      <c r="A737" s="432"/>
      <c r="B737" s="449"/>
      <c r="H737" s="395"/>
    </row>
    <row r="738" spans="1:8" ht="13.5" customHeight="1" x14ac:dyDescent="0.25">
      <c r="A738" s="432"/>
      <c r="B738" s="449"/>
      <c r="H738" s="395"/>
    </row>
    <row r="739" spans="1:8" ht="13.5" customHeight="1" x14ac:dyDescent="0.25">
      <c r="A739" s="432"/>
      <c r="B739" s="449"/>
      <c r="H739" s="395"/>
    </row>
    <row r="740" spans="1:8" ht="13.5" customHeight="1" x14ac:dyDescent="0.25">
      <c r="A740" s="432"/>
      <c r="B740" s="449"/>
      <c r="H740" s="395"/>
    </row>
    <row r="741" spans="1:8" ht="13.5" customHeight="1" x14ac:dyDescent="0.25">
      <c r="A741" s="432"/>
      <c r="B741" s="449"/>
      <c r="H741" s="395"/>
    </row>
    <row r="742" spans="1:8" ht="13.5" customHeight="1" x14ac:dyDescent="0.25">
      <c r="A742" s="432"/>
      <c r="B742" s="449"/>
      <c r="H742" s="395"/>
    </row>
    <row r="743" spans="1:8" ht="13.5" customHeight="1" x14ac:dyDescent="0.25">
      <c r="A743" s="432"/>
      <c r="B743" s="449"/>
      <c r="H743" s="395"/>
    </row>
    <row r="744" spans="1:8" ht="13.5" customHeight="1" x14ac:dyDescent="0.25">
      <c r="A744" s="432"/>
      <c r="B744" s="449"/>
      <c r="H744" s="395"/>
    </row>
    <row r="745" spans="1:8" ht="13.5" customHeight="1" x14ac:dyDescent="0.25">
      <c r="A745" s="432"/>
      <c r="B745" s="449"/>
      <c r="H745" s="395"/>
    </row>
    <row r="746" spans="1:8" ht="13.5" customHeight="1" x14ac:dyDescent="0.25">
      <c r="A746" s="432"/>
      <c r="B746" s="449"/>
      <c r="H746" s="395"/>
    </row>
    <row r="747" spans="1:8" ht="13.5" customHeight="1" x14ac:dyDescent="0.25">
      <c r="A747" s="432"/>
      <c r="B747" s="449"/>
      <c r="H747" s="395"/>
    </row>
    <row r="748" spans="1:8" ht="13.5" customHeight="1" x14ac:dyDescent="0.25">
      <c r="A748" s="432"/>
      <c r="B748" s="449"/>
      <c r="H748" s="395"/>
    </row>
    <row r="749" spans="1:8" ht="13.5" customHeight="1" x14ac:dyDescent="0.25">
      <c r="A749" s="432"/>
      <c r="B749" s="449"/>
      <c r="H749" s="395"/>
    </row>
    <row r="750" spans="1:8" ht="13.5" customHeight="1" x14ac:dyDescent="0.25">
      <c r="A750" s="432"/>
      <c r="B750" s="449"/>
      <c r="H750" s="395"/>
    </row>
    <row r="751" spans="1:8" ht="13.5" customHeight="1" x14ac:dyDescent="0.25">
      <c r="A751" s="432"/>
      <c r="B751" s="449"/>
      <c r="H751" s="395"/>
    </row>
    <row r="752" spans="1:8" ht="13.5" customHeight="1" x14ac:dyDescent="0.25">
      <c r="A752" s="432"/>
      <c r="B752" s="449"/>
      <c r="H752" s="395"/>
    </row>
    <row r="753" spans="1:8" ht="13.5" customHeight="1" x14ac:dyDescent="0.25">
      <c r="A753" s="432"/>
      <c r="B753" s="449"/>
      <c r="H753" s="395"/>
    </row>
    <row r="754" spans="1:8" ht="13.5" customHeight="1" x14ac:dyDescent="0.25">
      <c r="A754" s="432"/>
      <c r="B754" s="449"/>
      <c r="H754" s="395"/>
    </row>
    <row r="755" spans="1:8" ht="13.5" customHeight="1" x14ac:dyDescent="0.25">
      <c r="A755" s="432"/>
      <c r="B755" s="449"/>
      <c r="H755" s="395"/>
    </row>
    <row r="756" spans="1:8" ht="13.5" customHeight="1" x14ac:dyDescent="0.25">
      <c r="A756" s="432"/>
      <c r="B756" s="449"/>
      <c r="H756" s="395"/>
    </row>
    <row r="757" spans="1:8" ht="13.5" customHeight="1" x14ac:dyDescent="0.25">
      <c r="A757" s="432"/>
      <c r="B757" s="449"/>
      <c r="H757" s="395"/>
    </row>
    <row r="758" spans="1:8" ht="13.5" customHeight="1" x14ac:dyDescent="0.25">
      <c r="A758" s="432"/>
      <c r="B758" s="449"/>
      <c r="H758" s="395"/>
    </row>
    <row r="759" spans="1:8" ht="13.5" customHeight="1" x14ac:dyDescent="0.25">
      <c r="A759" s="432"/>
      <c r="B759" s="449"/>
      <c r="H759" s="395"/>
    </row>
    <row r="760" spans="1:8" ht="13.5" customHeight="1" x14ac:dyDescent="0.25">
      <c r="A760" s="432"/>
      <c r="B760" s="449"/>
      <c r="H760" s="395"/>
    </row>
    <row r="761" spans="1:8" ht="13.5" customHeight="1" x14ac:dyDescent="0.25">
      <c r="A761" s="432"/>
      <c r="B761" s="449"/>
      <c r="H761" s="395"/>
    </row>
    <row r="762" spans="1:8" ht="13.5" customHeight="1" x14ac:dyDescent="0.25">
      <c r="A762" s="432"/>
      <c r="B762" s="449"/>
      <c r="H762" s="395"/>
    </row>
    <row r="763" spans="1:8" ht="13.5" customHeight="1" x14ac:dyDescent="0.25">
      <c r="A763" s="432"/>
      <c r="B763" s="449"/>
      <c r="H763" s="395"/>
    </row>
    <row r="764" spans="1:8" ht="13.5" customHeight="1" x14ac:dyDescent="0.25">
      <c r="A764" s="432"/>
      <c r="B764" s="449"/>
      <c r="H764" s="395"/>
    </row>
    <row r="765" spans="1:8" ht="13.5" customHeight="1" x14ac:dyDescent="0.25">
      <c r="A765" s="432"/>
      <c r="B765" s="449"/>
      <c r="H765" s="395"/>
    </row>
    <row r="766" spans="1:8" ht="13.5" customHeight="1" x14ac:dyDescent="0.25">
      <c r="A766" s="432"/>
      <c r="B766" s="449"/>
      <c r="H766" s="395"/>
    </row>
    <row r="767" spans="1:8" ht="13.5" customHeight="1" x14ac:dyDescent="0.25">
      <c r="A767" s="432"/>
      <c r="B767" s="449"/>
      <c r="H767" s="395"/>
    </row>
    <row r="768" spans="1:8" ht="13.5" customHeight="1" x14ac:dyDescent="0.25">
      <c r="A768" s="432"/>
      <c r="B768" s="449"/>
      <c r="H768" s="395"/>
    </row>
    <row r="769" spans="1:8" ht="13.5" customHeight="1" x14ac:dyDescent="0.25">
      <c r="A769" s="432"/>
      <c r="B769" s="449"/>
      <c r="H769" s="395"/>
    </row>
    <row r="770" spans="1:8" ht="13.5" customHeight="1" x14ac:dyDescent="0.25">
      <c r="A770" s="432"/>
      <c r="B770" s="449"/>
      <c r="H770" s="395"/>
    </row>
    <row r="771" spans="1:8" ht="13.5" customHeight="1" x14ac:dyDescent="0.25">
      <c r="A771" s="432"/>
      <c r="B771" s="449"/>
      <c r="H771" s="395"/>
    </row>
    <row r="772" spans="1:8" ht="13.5" customHeight="1" x14ac:dyDescent="0.25">
      <c r="A772" s="432"/>
      <c r="B772" s="449"/>
      <c r="H772" s="395"/>
    </row>
    <row r="773" spans="1:8" ht="13.5" customHeight="1" x14ac:dyDescent="0.25">
      <c r="A773" s="432"/>
      <c r="B773" s="449"/>
      <c r="H773" s="395"/>
    </row>
    <row r="774" spans="1:8" ht="13.5" customHeight="1" x14ac:dyDescent="0.25">
      <c r="A774" s="432"/>
      <c r="B774" s="449"/>
      <c r="H774" s="395"/>
    </row>
    <row r="775" spans="1:8" ht="13.5" customHeight="1" x14ac:dyDescent="0.25">
      <c r="A775" s="432"/>
      <c r="B775" s="449"/>
      <c r="H775" s="395"/>
    </row>
    <row r="776" spans="1:8" ht="13.5" customHeight="1" x14ac:dyDescent="0.25">
      <c r="A776" s="432"/>
      <c r="B776" s="449"/>
      <c r="H776" s="395"/>
    </row>
    <row r="777" spans="1:8" ht="13.5" customHeight="1" x14ac:dyDescent="0.25">
      <c r="A777" s="432"/>
      <c r="B777" s="449"/>
      <c r="H777" s="395"/>
    </row>
    <row r="778" spans="1:8" ht="13.5" customHeight="1" x14ac:dyDescent="0.25">
      <c r="A778" s="432"/>
      <c r="B778" s="449"/>
      <c r="H778" s="395"/>
    </row>
    <row r="779" spans="1:8" ht="13.5" customHeight="1" x14ac:dyDescent="0.25">
      <c r="A779" s="432"/>
      <c r="B779" s="449"/>
      <c r="H779" s="395"/>
    </row>
    <row r="780" spans="1:8" ht="13.5" customHeight="1" x14ac:dyDescent="0.25">
      <c r="A780" s="432"/>
      <c r="B780" s="449"/>
      <c r="H780" s="395"/>
    </row>
    <row r="781" spans="1:8" ht="13.5" customHeight="1" x14ac:dyDescent="0.25">
      <c r="A781" s="432"/>
      <c r="B781" s="449"/>
      <c r="H781" s="395"/>
    </row>
    <row r="782" spans="1:8" ht="13.5" customHeight="1" x14ac:dyDescent="0.25">
      <c r="A782" s="432"/>
      <c r="B782" s="449"/>
      <c r="H782" s="395"/>
    </row>
    <row r="783" spans="1:8" ht="13.5" customHeight="1" x14ac:dyDescent="0.25">
      <c r="A783" s="432"/>
      <c r="B783" s="449"/>
      <c r="H783" s="395"/>
    </row>
    <row r="784" spans="1:8" ht="13.5" customHeight="1" x14ac:dyDescent="0.25">
      <c r="A784" s="432"/>
      <c r="B784" s="449"/>
      <c r="H784" s="395"/>
    </row>
    <row r="785" spans="1:8" ht="13.5" customHeight="1" x14ac:dyDescent="0.25">
      <c r="A785" s="432"/>
      <c r="B785" s="449"/>
      <c r="H785" s="395"/>
    </row>
    <row r="786" spans="1:8" ht="13.5" customHeight="1" x14ac:dyDescent="0.25">
      <c r="A786" s="432"/>
      <c r="B786" s="449"/>
      <c r="H786" s="395"/>
    </row>
    <row r="787" spans="1:8" ht="13.5" customHeight="1" x14ac:dyDescent="0.25">
      <c r="A787" s="432"/>
      <c r="B787" s="449"/>
      <c r="H787" s="395"/>
    </row>
    <row r="788" spans="1:8" ht="13.5" customHeight="1" x14ac:dyDescent="0.25">
      <c r="A788" s="432"/>
      <c r="B788" s="449"/>
      <c r="H788" s="395"/>
    </row>
    <row r="789" spans="1:8" ht="13.5" customHeight="1" x14ac:dyDescent="0.25">
      <c r="A789" s="432"/>
      <c r="B789" s="449"/>
      <c r="H789" s="395"/>
    </row>
    <row r="790" spans="1:8" ht="13.5" customHeight="1" x14ac:dyDescent="0.25">
      <c r="A790" s="432"/>
      <c r="B790" s="449"/>
      <c r="H790" s="395"/>
    </row>
    <row r="791" spans="1:8" ht="13.5" customHeight="1" x14ac:dyDescent="0.25">
      <c r="A791" s="432"/>
      <c r="B791" s="449"/>
      <c r="H791" s="395"/>
    </row>
    <row r="792" spans="1:8" ht="13.5" customHeight="1" x14ac:dyDescent="0.25">
      <c r="A792" s="432"/>
      <c r="B792" s="449"/>
      <c r="H792" s="395"/>
    </row>
    <row r="793" spans="1:8" ht="13.5" customHeight="1" x14ac:dyDescent="0.25">
      <c r="A793" s="432"/>
      <c r="B793" s="449"/>
      <c r="H793" s="395"/>
    </row>
    <row r="794" spans="1:8" ht="13.5" customHeight="1" x14ac:dyDescent="0.25">
      <c r="A794" s="432"/>
      <c r="B794" s="449"/>
      <c r="H794" s="395"/>
    </row>
    <row r="795" spans="1:8" ht="13.5" customHeight="1" x14ac:dyDescent="0.25">
      <c r="A795" s="432"/>
      <c r="B795" s="449"/>
      <c r="H795" s="395"/>
    </row>
    <row r="796" spans="1:8" ht="13.5" customHeight="1" x14ac:dyDescent="0.25">
      <c r="A796" s="432"/>
      <c r="B796" s="449"/>
      <c r="H796" s="395"/>
    </row>
    <row r="797" spans="1:8" ht="13.5" customHeight="1" x14ac:dyDescent="0.25">
      <c r="A797" s="432"/>
      <c r="B797" s="449"/>
      <c r="H797" s="395"/>
    </row>
    <row r="798" spans="1:8" ht="13.5" customHeight="1" x14ac:dyDescent="0.25">
      <c r="A798" s="432"/>
      <c r="B798" s="449"/>
      <c r="H798" s="395"/>
    </row>
    <row r="799" spans="1:8" ht="13.5" customHeight="1" x14ac:dyDescent="0.25">
      <c r="A799" s="432"/>
      <c r="B799" s="449"/>
      <c r="H799" s="395"/>
    </row>
    <row r="800" spans="1:8" ht="13.5" customHeight="1" x14ac:dyDescent="0.25">
      <c r="A800" s="432"/>
      <c r="B800" s="449"/>
      <c r="H800" s="395"/>
    </row>
    <row r="801" spans="1:8" ht="13.5" customHeight="1" x14ac:dyDescent="0.25">
      <c r="A801" s="432"/>
      <c r="B801" s="449"/>
      <c r="H801" s="395"/>
    </row>
    <row r="802" spans="1:8" ht="13.5" customHeight="1" x14ac:dyDescent="0.25">
      <c r="A802" s="432"/>
      <c r="B802" s="449"/>
      <c r="H802" s="395"/>
    </row>
    <row r="803" spans="1:8" ht="13.5" customHeight="1" x14ac:dyDescent="0.25">
      <c r="A803" s="432"/>
      <c r="B803" s="449"/>
      <c r="H803" s="395"/>
    </row>
    <row r="804" spans="1:8" ht="13.5" customHeight="1" x14ac:dyDescent="0.25">
      <c r="A804" s="432"/>
      <c r="B804" s="449"/>
      <c r="H804" s="395"/>
    </row>
    <row r="805" spans="1:8" ht="13.5" customHeight="1" x14ac:dyDescent="0.25">
      <c r="A805" s="432"/>
      <c r="B805" s="449"/>
      <c r="H805" s="395"/>
    </row>
    <row r="806" spans="1:8" ht="13.5" customHeight="1" x14ac:dyDescent="0.25">
      <c r="A806" s="432"/>
      <c r="B806" s="449"/>
      <c r="H806" s="395"/>
    </row>
    <row r="807" spans="1:8" ht="13.5" customHeight="1" x14ac:dyDescent="0.25">
      <c r="A807" s="432"/>
      <c r="B807" s="449"/>
      <c r="H807" s="395"/>
    </row>
    <row r="808" spans="1:8" ht="13.5" customHeight="1" x14ac:dyDescent="0.25">
      <c r="A808" s="432"/>
      <c r="B808" s="449"/>
      <c r="H808" s="395"/>
    </row>
    <row r="809" spans="1:8" ht="13.5" customHeight="1" x14ac:dyDescent="0.25">
      <c r="A809" s="432"/>
      <c r="B809" s="449"/>
      <c r="H809" s="395"/>
    </row>
    <row r="810" spans="1:8" ht="13.5" customHeight="1" x14ac:dyDescent="0.25">
      <c r="A810" s="432"/>
      <c r="B810" s="449"/>
      <c r="H810" s="395"/>
    </row>
    <row r="811" spans="1:8" ht="13.5" customHeight="1" x14ac:dyDescent="0.25">
      <c r="A811" s="432"/>
      <c r="B811" s="449"/>
      <c r="H811" s="395"/>
    </row>
    <row r="812" spans="1:8" ht="13.5" customHeight="1" x14ac:dyDescent="0.25">
      <c r="A812" s="432"/>
      <c r="B812" s="449"/>
      <c r="H812" s="395"/>
    </row>
    <row r="813" spans="1:8" ht="13.5" customHeight="1" x14ac:dyDescent="0.25">
      <c r="A813" s="432"/>
      <c r="B813" s="449"/>
      <c r="H813" s="395"/>
    </row>
    <row r="814" spans="1:8" ht="13.5" customHeight="1" x14ac:dyDescent="0.25">
      <c r="A814" s="432"/>
      <c r="B814" s="449"/>
      <c r="H814" s="395"/>
    </row>
    <row r="815" spans="1:8" ht="13.5" customHeight="1" x14ac:dyDescent="0.25">
      <c r="A815" s="432"/>
      <c r="B815" s="449"/>
      <c r="H815" s="395"/>
    </row>
    <row r="816" spans="1:8" ht="13.5" customHeight="1" x14ac:dyDescent="0.25">
      <c r="A816" s="432"/>
      <c r="B816" s="449"/>
      <c r="H816" s="395"/>
    </row>
    <row r="817" spans="1:8" ht="13.5" customHeight="1" x14ac:dyDescent="0.25">
      <c r="A817" s="432"/>
      <c r="B817" s="449"/>
      <c r="H817" s="395"/>
    </row>
    <row r="818" spans="1:8" ht="13.5" customHeight="1" x14ac:dyDescent="0.25">
      <c r="A818" s="432"/>
      <c r="B818" s="449"/>
      <c r="H818" s="395"/>
    </row>
    <row r="819" spans="1:8" ht="13.5" customHeight="1" x14ac:dyDescent="0.25">
      <c r="A819" s="432"/>
      <c r="B819" s="449"/>
      <c r="H819" s="395"/>
    </row>
    <row r="820" spans="1:8" ht="13.5" customHeight="1" x14ac:dyDescent="0.25">
      <c r="A820" s="432"/>
      <c r="B820" s="449"/>
      <c r="H820" s="395"/>
    </row>
    <row r="821" spans="1:8" ht="13.5" customHeight="1" x14ac:dyDescent="0.25">
      <c r="A821" s="432"/>
      <c r="B821" s="449"/>
      <c r="H821" s="395"/>
    </row>
    <row r="822" spans="1:8" ht="13.5" customHeight="1" x14ac:dyDescent="0.25">
      <c r="A822" s="432"/>
      <c r="B822" s="449"/>
      <c r="H822" s="395"/>
    </row>
    <row r="823" spans="1:8" ht="13.5" customHeight="1" x14ac:dyDescent="0.25">
      <c r="A823" s="432"/>
      <c r="B823" s="449"/>
      <c r="H823" s="395"/>
    </row>
    <row r="824" spans="1:8" ht="13.5" customHeight="1" x14ac:dyDescent="0.25">
      <c r="A824" s="432"/>
      <c r="B824" s="449"/>
      <c r="H824" s="395"/>
    </row>
    <row r="825" spans="1:8" ht="13.5" customHeight="1" x14ac:dyDescent="0.25">
      <c r="A825" s="432"/>
      <c r="B825" s="449"/>
      <c r="H825" s="395"/>
    </row>
    <row r="826" spans="1:8" ht="13.5" customHeight="1" x14ac:dyDescent="0.25">
      <c r="A826" s="432"/>
      <c r="B826" s="449"/>
      <c r="H826" s="395"/>
    </row>
    <row r="827" spans="1:8" ht="13.5" customHeight="1" x14ac:dyDescent="0.25">
      <c r="A827" s="432"/>
      <c r="B827" s="449"/>
      <c r="H827" s="395"/>
    </row>
    <row r="828" spans="1:8" ht="13.5" customHeight="1" x14ac:dyDescent="0.25">
      <c r="A828" s="432"/>
      <c r="B828" s="449"/>
      <c r="H828" s="395"/>
    </row>
    <row r="829" spans="1:8" ht="13.5" customHeight="1" x14ac:dyDescent="0.25">
      <c r="A829" s="432"/>
      <c r="B829" s="449"/>
      <c r="H829" s="395"/>
    </row>
    <row r="830" spans="1:8" ht="13.5" customHeight="1" x14ac:dyDescent="0.25">
      <c r="A830" s="432"/>
      <c r="B830" s="449"/>
      <c r="H830" s="395"/>
    </row>
    <row r="831" spans="1:8" ht="13.5" customHeight="1" x14ac:dyDescent="0.25">
      <c r="A831" s="432"/>
      <c r="B831" s="449"/>
      <c r="H831" s="395"/>
    </row>
    <row r="832" spans="1:8" ht="13.5" customHeight="1" x14ac:dyDescent="0.25">
      <c r="A832" s="432"/>
      <c r="B832" s="449"/>
      <c r="H832" s="395"/>
    </row>
    <row r="833" spans="1:8" ht="13.5" customHeight="1" x14ac:dyDescent="0.25">
      <c r="A833" s="432"/>
      <c r="B833" s="449"/>
      <c r="H833" s="395"/>
    </row>
    <row r="834" spans="1:8" ht="13.5" customHeight="1" x14ac:dyDescent="0.25">
      <c r="A834" s="432"/>
      <c r="B834" s="449"/>
      <c r="H834" s="395"/>
    </row>
    <row r="835" spans="1:8" ht="13.5" customHeight="1" x14ac:dyDescent="0.25">
      <c r="A835" s="432"/>
      <c r="B835" s="449"/>
      <c r="H835" s="395"/>
    </row>
    <row r="836" spans="1:8" ht="13.5" customHeight="1" x14ac:dyDescent="0.25">
      <c r="A836" s="432"/>
      <c r="B836" s="449"/>
      <c r="H836" s="395"/>
    </row>
    <row r="837" spans="1:8" ht="13.5" customHeight="1" x14ac:dyDescent="0.25">
      <c r="A837" s="432"/>
      <c r="B837" s="449"/>
      <c r="H837" s="395"/>
    </row>
    <row r="838" spans="1:8" ht="13.5" customHeight="1" x14ac:dyDescent="0.25">
      <c r="A838" s="432"/>
      <c r="B838" s="449"/>
      <c r="H838" s="395"/>
    </row>
    <row r="839" spans="1:8" ht="13.5" customHeight="1" x14ac:dyDescent="0.25">
      <c r="A839" s="432"/>
      <c r="B839" s="449"/>
      <c r="H839" s="395"/>
    </row>
    <row r="840" spans="1:8" ht="13.5" customHeight="1" x14ac:dyDescent="0.25">
      <c r="A840" s="432"/>
      <c r="B840" s="449"/>
      <c r="H840" s="395"/>
    </row>
    <row r="841" spans="1:8" ht="13.5" customHeight="1" x14ac:dyDescent="0.25">
      <c r="A841" s="432"/>
      <c r="B841" s="449"/>
      <c r="H841" s="395"/>
    </row>
    <row r="842" spans="1:8" ht="13.5" customHeight="1" x14ac:dyDescent="0.25">
      <c r="A842" s="432"/>
      <c r="B842" s="449"/>
      <c r="H842" s="395"/>
    </row>
    <row r="843" spans="1:8" ht="13.5" customHeight="1" x14ac:dyDescent="0.25">
      <c r="A843" s="432"/>
      <c r="B843" s="449"/>
      <c r="H843" s="395"/>
    </row>
    <row r="844" spans="1:8" ht="13.5" customHeight="1" x14ac:dyDescent="0.25">
      <c r="A844" s="432"/>
      <c r="B844" s="449"/>
      <c r="H844" s="395"/>
    </row>
    <row r="845" spans="1:8" ht="13.5" customHeight="1" x14ac:dyDescent="0.25">
      <c r="A845" s="432"/>
      <c r="B845" s="449"/>
      <c r="H845" s="395"/>
    </row>
    <row r="846" spans="1:8" ht="13.5" customHeight="1" x14ac:dyDescent="0.25">
      <c r="A846" s="432"/>
      <c r="B846" s="449"/>
      <c r="H846" s="395"/>
    </row>
    <row r="847" spans="1:8" ht="13.5" customHeight="1" x14ac:dyDescent="0.25">
      <c r="A847" s="432"/>
      <c r="B847" s="449"/>
      <c r="H847" s="395"/>
    </row>
    <row r="848" spans="1:8" ht="13.5" customHeight="1" x14ac:dyDescent="0.25">
      <c r="A848" s="432"/>
      <c r="B848" s="449"/>
      <c r="H848" s="395"/>
    </row>
    <row r="849" spans="1:8" ht="13.5" customHeight="1" x14ac:dyDescent="0.25">
      <c r="A849" s="432"/>
      <c r="B849" s="449"/>
      <c r="H849" s="395"/>
    </row>
    <row r="850" spans="1:8" ht="13.5" customHeight="1" x14ac:dyDescent="0.25">
      <c r="A850" s="432"/>
      <c r="B850" s="449"/>
      <c r="H850" s="395"/>
    </row>
    <row r="851" spans="1:8" ht="13.5" customHeight="1" x14ac:dyDescent="0.25">
      <c r="A851" s="432"/>
      <c r="B851" s="449"/>
      <c r="H851" s="395"/>
    </row>
    <row r="852" spans="1:8" ht="13.5" customHeight="1" x14ac:dyDescent="0.25">
      <c r="A852" s="432"/>
      <c r="B852" s="449"/>
      <c r="H852" s="395"/>
    </row>
    <row r="853" spans="1:8" ht="13.5" customHeight="1" x14ac:dyDescent="0.25">
      <c r="A853" s="432"/>
      <c r="B853" s="449"/>
      <c r="H853" s="395"/>
    </row>
    <row r="854" spans="1:8" ht="13.5" customHeight="1" x14ac:dyDescent="0.25">
      <c r="A854" s="432"/>
      <c r="B854" s="449"/>
      <c r="H854" s="395"/>
    </row>
    <row r="855" spans="1:8" ht="13.5" customHeight="1" x14ac:dyDescent="0.25">
      <c r="A855" s="432"/>
      <c r="B855" s="449"/>
      <c r="H855" s="395"/>
    </row>
    <row r="856" spans="1:8" ht="13.5" customHeight="1" x14ac:dyDescent="0.25">
      <c r="A856" s="432"/>
      <c r="B856" s="449"/>
      <c r="H856" s="395"/>
    </row>
    <row r="857" spans="1:8" ht="13.5" customHeight="1" x14ac:dyDescent="0.25">
      <c r="A857" s="432"/>
      <c r="B857" s="449"/>
      <c r="H857" s="395"/>
    </row>
    <row r="858" spans="1:8" ht="13.5" customHeight="1" x14ac:dyDescent="0.25">
      <c r="A858" s="432"/>
      <c r="B858" s="449"/>
      <c r="H858" s="395"/>
    </row>
    <row r="859" spans="1:8" ht="13.5" customHeight="1" x14ac:dyDescent="0.25">
      <c r="A859" s="432"/>
      <c r="B859" s="449"/>
      <c r="H859" s="395"/>
    </row>
    <row r="860" spans="1:8" ht="13.5" customHeight="1" x14ac:dyDescent="0.25">
      <c r="A860" s="432"/>
      <c r="B860" s="449"/>
      <c r="H860" s="395"/>
    </row>
    <row r="861" spans="1:8" ht="13.5" customHeight="1" x14ac:dyDescent="0.25">
      <c r="A861" s="432"/>
      <c r="B861" s="449"/>
      <c r="H861" s="395"/>
    </row>
    <row r="862" spans="1:8" ht="13.5" customHeight="1" x14ac:dyDescent="0.25">
      <c r="A862" s="432"/>
      <c r="B862" s="449"/>
      <c r="H862" s="395"/>
    </row>
    <row r="863" spans="1:8" ht="13.5" customHeight="1" x14ac:dyDescent="0.25">
      <c r="A863" s="432"/>
      <c r="B863" s="449"/>
      <c r="H863" s="395"/>
    </row>
    <row r="864" spans="1:8" ht="13.5" customHeight="1" x14ac:dyDescent="0.25">
      <c r="A864" s="432"/>
      <c r="B864" s="449"/>
      <c r="H864" s="395"/>
    </row>
    <row r="865" spans="1:8" ht="13.5" customHeight="1" x14ac:dyDescent="0.25">
      <c r="A865" s="432"/>
      <c r="B865" s="449"/>
      <c r="H865" s="395"/>
    </row>
    <row r="866" spans="1:8" ht="13.5" customHeight="1" x14ac:dyDescent="0.25">
      <c r="A866" s="432"/>
      <c r="B866" s="449"/>
      <c r="H866" s="395"/>
    </row>
    <row r="867" spans="1:8" ht="13.5" customHeight="1" x14ac:dyDescent="0.25">
      <c r="A867" s="432"/>
      <c r="B867" s="449"/>
      <c r="H867" s="395"/>
    </row>
    <row r="868" spans="1:8" ht="13.5" customHeight="1" x14ac:dyDescent="0.25">
      <c r="A868" s="432"/>
      <c r="B868" s="449"/>
      <c r="H868" s="395"/>
    </row>
    <row r="869" spans="1:8" ht="13.5" customHeight="1" x14ac:dyDescent="0.25">
      <c r="A869" s="432"/>
      <c r="B869" s="449"/>
      <c r="H869" s="395"/>
    </row>
    <row r="870" spans="1:8" ht="13.5" customHeight="1" x14ac:dyDescent="0.25">
      <c r="A870" s="432"/>
      <c r="B870" s="449"/>
      <c r="H870" s="395"/>
    </row>
    <row r="871" spans="1:8" ht="13.5" customHeight="1" x14ac:dyDescent="0.25">
      <c r="A871" s="432"/>
      <c r="B871" s="449"/>
      <c r="H871" s="395"/>
    </row>
    <row r="872" spans="1:8" ht="13.5" customHeight="1" x14ac:dyDescent="0.25">
      <c r="A872" s="432"/>
      <c r="B872" s="449"/>
      <c r="H872" s="395"/>
    </row>
    <row r="873" spans="1:8" ht="13.5" customHeight="1" x14ac:dyDescent="0.25">
      <c r="A873" s="432"/>
      <c r="B873" s="449"/>
      <c r="H873" s="395"/>
    </row>
    <row r="874" spans="1:8" ht="13.5" customHeight="1" x14ac:dyDescent="0.25">
      <c r="A874" s="432"/>
      <c r="B874" s="449"/>
      <c r="H874" s="395"/>
    </row>
    <row r="875" spans="1:8" ht="13.5" customHeight="1" x14ac:dyDescent="0.25">
      <c r="A875" s="432"/>
      <c r="B875" s="449"/>
      <c r="H875" s="395"/>
    </row>
    <row r="876" spans="1:8" ht="13.5" customHeight="1" x14ac:dyDescent="0.25">
      <c r="A876" s="432"/>
      <c r="B876" s="449"/>
      <c r="H876" s="395"/>
    </row>
    <row r="877" spans="1:8" ht="13.5" customHeight="1" x14ac:dyDescent="0.25">
      <c r="A877" s="432"/>
      <c r="B877" s="449"/>
      <c r="H877" s="395"/>
    </row>
    <row r="878" spans="1:8" ht="13.5" customHeight="1" x14ac:dyDescent="0.25">
      <c r="A878" s="432"/>
      <c r="B878" s="449"/>
      <c r="H878" s="395"/>
    </row>
    <row r="879" spans="1:8" ht="13.5" customHeight="1" x14ac:dyDescent="0.25">
      <c r="A879" s="432"/>
      <c r="B879" s="449"/>
      <c r="H879" s="395"/>
    </row>
    <row r="880" spans="1:8" ht="13.5" customHeight="1" x14ac:dyDescent="0.25">
      <c r="A880" s="432"/>
      <c r="B880" s="449"/>
      <c r="H880" s="395"/>
    </row>
    <row r="881" spans="1:8" ht="13.5" customHeight="1" x14ac:dyDescent="0.25">
      <c r="A881" s="432"/>
      <c r="B881" s="449"/>
      <c r="H881" s="395"/>
    </row>
    <row r="882" spans="1:8" ht="13.5" customHeight="1" x14ac:dyDescent="0.25">
      <c r="A882" s="432"/>
      <c r="B882" s="449"/>
      <c r="H882" s="395"/>
    </row>
    <row r="883" spans="1:8" ht="13.5" customHeight="1" x14ac:dyDescent="0.25">
      <c r="A883" s="432"/>
      <c r="B883" s="449"/>
      <c r="H883" s="395"/>
    </row>
    <row r="884" spans="1:8" ht="13.5" customHeight="1" x14ac:dyDescent="0.25">
      <c r="A884" s="432"/>
      <c r="B884" s="449"/>
      <c r="H884" s="395"/>
    </row>
    <row r="885" spans="1:8" ht="13.5" customHeight="1" x14ac:dyDescent="0.25">
      <c r="A885" s="432"/>
      <c r="B885" s="449"/>
      <c r="H885" s="395"/>
    </row>
    <row r="886" spans="1:8" ht="13.5" customHeight="1" x14ac:dyDescent="0.25">
      <c r="A886" s="432"/>
      <c r="B886" s="449"/>
      <c r="H886" s="395"/>
    </row>
    <row r="887" spans="1:8" ht="13.5" customHeight="1" x14ac:dyDescent="0.25">
      <c r="A887" s="432"/>
      <c r="B887" s="449"/>
      <c r="H887" s="395"/>
    </row>
    <row r="888" spans="1:8" ht="13.5" customHeight="1" x14ac:dyDescent="0.25">
      <c r="A888" s="432"/>
      <c r="B888" s="449"/>
      <c r="H888" s="395"/>
    </row>
    <row r="889" spans="1:8" ht="13.5" customHeight="1" x14ac:dyDescent="0.25">
      <c r="A889" s="432"/>
      <c r="B889" s="449"/>
      <c r="H889" s="395"/>
    </row>
    <row r="890" spans="1:8" ht="13.5" customHeight="1" x14ac:dyDescent="0.25">
      <c r="A890" s="432"/>
      <c r="B890" s="449"/>
      <c r="H890" s="395"/>
    </row>
    <row r="891" spans="1:8" ht="13.5" customHeight="1" x14ac:dyDescent="0.25">
      <c r="A891" s="432"/>
      <c r="B891" s="449"/>
      <c r="H891" s="395"/>
    </row>
    <row r="892" spans="1:8" ht="13.5" customHeight="1" x14ac:dyDescent="0.25">
      <c r="A892" s="432"/>
      <c r="B892" s="449"/>
      <c r="H892" s="395"/>
    </row>
    <row r="893" spans="1:8" ht="13.5" customHeight="1" x14ac:dyDescent="0.25">
      <c r="A893" s="432"/>
      <c r="B893" s="449"/>
      <c r="H893" s="395"/>
    </row>
    <row r="894" spans="1:8" ht="13.5" customHeight="1" x14ac:dyDescent="0.25">
      <c r="A894" s="432"/>
      <c r="B894" s="449"/>
      <c r="H894" s="395"/>
    </row>
    <row r="895" spans="1:8" ht="13.5" customHeight="1" x14ac:dyDescent="0.25">
      <c r="A895" s="432"/>
      <c r="B895" s="449"/>
      <c r="H895" s="395"/>
    </row>
    <row r="896" spans="1:8" ht="13.5" customHeight="1" x14ac:dyDescent="0.25">
      <c r="A896" s="432"/>
      <c r="B896" s="449"/>
      <c r="H896" s="395"/>
    </row>
    <row r="897" spans="1:8" ht="13.5" customHeight="1" x14ac:dyDescent="0.25">
      <c r="A897" s="432"/>
      <c r="B897" s="449"/>
      <c r="H897" s="395"/>
    </row>
    <row r="898" spans="1:8" ht="13.5" customHeight="1" x14ac:dyDescent="0.25">
      <c r="A898" s="432"/>
      <c r="B898" s="449"/>
      <c r="H898" s="395"/>
    </row>
    <row r="899" spans="1:8" ht="13.5" customHeight="1" x14ac:dyDescent="0.25">
      <c r="A899" s="432"/>
      <c r="B899" s="449"/>
      <c r="H899" s="395"/>
    </row>
    <row r="900" spans="1:8" ht="13.5" customHeight="1" x14ac:dyDescent="0.25">
      <c r="A900" s="432"/>
      <c r="B900" s="449"/>
      <c r="H900" s="395"/>
    </row>
    <row r="901" spans="1:8" ht="13.5" customHeight="1" x14ac:dyDescent="0.25">
      <c r="A901" s="432"/>
      <c r="B901" s="449"/>
      <c r="H901" s="395"/>
    </row>
    <row r="902" spans="1:8" ht="13.5" customHeight="1" x14ac:dyDescent="0.25">
      <c r="A902" s="432"/>
      <c r="B902" s="449"/>
      <c r="H902" s="395"/>
    </row>
    <row r="903" spans="1:8" ht="13.5" customHeight="1" x14ac:dyDescent="0.25">
      <c r="A903" s="432"/>
      <c r="B903" s="449"/>
      <c r="H903" s="395"/>
    </row>
    <row r="904" spans="1:8" ht="13.5" customHeight="1" x14ac:dyDescent="0.25">
      <c r="A904" s="432"/>
      <c r="B904" s="449"/>
      <c r="H904" s="395"/>
    </row>
    <row r="905" spans="1:8" ht="13.5" customHeight="1" x14ac:dyDescent="0.25">
      <c r="A905" s="432"/>
      <c r="B905" s="449"/>
      <c r="H905" s="395"/>
    </row>
    <row r="906" spans="1:8" ht="13.5" customHeight="1" x14ac:dyDescent="0.25">
      <c r="A906" s="432"/>
      <c r="B906" s="449"/>
      <c r="H906" s="395"/>
    </row>
    <row r="907" spans="1:8" ht="13.5" customHeight="1" x14ac:dyDescent="0.25">
      <c r="A907" s="432"/>
      <c r="B907" s="449"/>
      <c r="H907" s="395"/>
    </row>
    <row r="908" spans="1:8" ht="13.5" customHeight="1" x14ac:dyDescent="0.25">
      <c r="A908" s="432"/>
      <c r="B908" s="449"/>
      <c r="H908" s="395"/>
    </row>
    <row r="909" spans="1:8" ht="13.5" customHeight="1" x14ac:dyDescent="0.25">
      <c r="A909" s="432"/>
      <c r="B909" s="449"/>
      <c r="H909" s="395"/>
    </row>
    <row r="910" spans="1:8" ht="13.5" customHeight="1" x14ac:dyDescent="0.25">
      <c r="A910" s="432"/>
      <c r="B910" s="449"/>
      <c r="H910" s="395"/>
    </row>
    <row r="911" spans="1:8" ht="13.5" customHeight="1" x14ac:dyDescent="0.25">
      <c r="A911" s="432"/>
      <c r="B911" s="449"/>
      <c r="H911" s="395"/>
    </row>
    <row r="912" spans="1:8" ht="13.5" customHeight="1" x14ac:dyDescent="0.25">
      <c r="A912" s="432"/>
      <c r="B912" s="449"/>
      <c r="H912" s="395"/>
    </row>
    <row r="913" spans="1:8" ht="13.5" customHeight="1" x14ac:dyDescent="0.25">
      <c r="A913" s="432"/>
      <c r="B913" s="449"/>
      <c r="H913" s="395"/>
    </row>
    <row r="914" spans="1:8" ht="13.5" customHeight="1" x14ac:dyDescent="0.25">
      <c r="A914" s="432"/>
      <c r="B914" s="449"/>
      <c r="H914" s="395"/>
    </row>
    <row r="915" spans="1:8" ht="13.5" customHeight="1" x14ac:dyDescent="0.25">
      <c r="A915" s="432"/>
      <c r="B915" s="449"/>
      <c r="H915" s="395"/>
    </row>
    <row r="916" spans="1:8" ht="13.5" customHeight="1" x14ac:dyDescent="0.25">
      <c r="A916" s="432"/>
      <c r="B916" s="449"/>
      <c r="H916" s="395"/>
    </row>
    <row r="917" spans="1:8" ht="13.5" customHeight="1" x14ac:dyDescent="0.25">
      <c r="A917" s="432"/>
      <c r="B917" s="449"/>
      <c r="H917" s="395"/>
    </row>
    <row r="918" spans="1:8" ht="13.5" customHeight="1" x14ac:dyDescent="0.25">
      <c r="A918" s="432"/>
      <c r="B918" s="449"/>
      <c r="H918" s="395"/>
    </row>
    <row r="919" spans="1:8" ht="13.5" customHeight="1" x14ac:dyDescent="0.25">
      <c r="A919" s="432"/>
      <c r="B919" s="449"/>
      <c r="H919" s="395"/>
    </row>
    <row r="920" spans="1:8" ht="13.5" customHeight="1" x14ac:dyDescent="0.25">
      <c r="A920" s="432"/>
      <c r="B920" s="449"/>
      <c r="H920" s="395"/>
    </row>
    <row r="921" spans="1:8" ht="13.5" customHeight="1" x14ac:dyDescent="0.25">
      <c r="A921" s="432"/>
      <c r="B921" s="449"/>
      <c r="H921" s="395"/>
    </row>
    <row r="922" spans="1:8" ht="13.5" customHeight="1" x14ac:dyDescent="0.25">
      <c r="A922" s="432"/>
      <c r="B922" s="449"/>
      <c r="H922" s="395"/>
    </row>
    <row r="923" spans="1:8" ht="13.5" customHeight="1" x14ac:dyDescent="0.25">
      <c r="A923" s="432"/>
      <c r="B923" s="449"/>
      <c r="H923" s="395"/>
    </row>
    <row r="924" spans="1:8" ht="13.5" customHeight="1" x14ac:dyDescent="0.25">
      <c r="A924" s="432"/>
      <c r="B924" s="449"/>
      <c r="H924" s="395"/>
    </row>
    <row r="925" spans="1:8" ht="13.5" customHeight="1" x14ac:dyDescent="0.25">
      <c r="A925" s="432"/>
      <c r="B925" s="449"/>
      <c r="H925" s="395"/>
    </row>
    <row r="926" spans="1:8" ht="13.5" customHeight="1" x14ac:dyDescent="0.25">
      <c r="A926" s="432"/>
      <c r="B926" s="449"/>
      <c r="H926" s="395"/>
    </row>
    <row r="927" spans="1:8" ht="13.5" customHeight="1" x14ac:dyDescent="0.25">
      <c r="A927" s="432"/>
      <c r="B927" s="449"/>
      <c r="H927" s="395"/>
    </row>
    <row r="928" spans="1:8" ht="13.5" customHeight="1" x14ac:dyDescent="0.25">
      <c r="A928" s="432"/>
      <c r="B928" s="449"/>
      <c r="H928" s="395"/>
    </row>
    <row r="929" spans="1:8" ht="13.5" customHeight="1" x14ac:dyDescent="0.25">
      <c r="A929" s="432"/>
      <c r="B929" s="449"/>
      <c r="H929" s="395"/>
    </row>
    <row r="930" spans="1:8" ht="13.5" customHeight="1" x14ac:dyDescent="0.25">
      <c r="A930" s="432"/>
      <c r="B930" s="449"/>
      <c r="H930" s="395"/>
    </row>
    <row r="931" spans="1:8" ht="13.5" customHeight="1" x14ac:dyDescent="0.25">
      <c r="A931" s="432"/>
      <c r="B931" s="449"/>
      <c r="H931" s="395"/>
    </row>
    <row r="932" spans="1:8" ht="13.5" customHeight="1" x14ac:dyDescent="0.25">
      <c r="A932" s="432"/>
      <c r="B932" s="449"/>
      <c r="H932" s="395"/>
    </row>
    <row r="933" spans="1:8" ht="13.5" customHeight="1" x14ac:dyDescent="0.25">
      <c r="A933" s="432"/>
      <c r="B933" s="449"/>
      <c r="H933" s="395"/>
    </row>
    <row r="934" spans="1:8" ht="13.5" customHeight="1" x14ac:dyDescent="0.25">
      <c r="A934" s="432"/>
      <c r="B934" s="449"/>
      <c r="H934" s="395"/>
    </row>
    <row r="935" spans="1:8" ht="13.5" customHeight="1" x14ac:dyDescent="0.25">
      <c r="A935" s="432"/>
      <c r="B935" s="449"/>
      <c r="H935" s="395"/>
    </row>
    <row r="936" spans="1:8" ht="13.5" customHeight="1" x14ac:dyDescent="0.25">
      <c r="A936" s="432"/>
      <c r="B936" s="449"/>
      <c r="H936" s="395"/>
    </row>
    <row r="937" spans="1:8" ht="13.5" customHeight="1" x14ac:dyDescent="0.25">
      <c r="A937" s="432"/>
      <c r="B937" s="449"/>
      <c r="H937" s="395"/>
    </row>
    <row r="938" spans="1:8" ht="13.5" customHeight="1" x14ac:dyDescent="0.25">
      <c r="A938" s="432"/>
      <c r="B938" s="449"/>
      <c r="H938" s="395"/>
    </row>
    <row r="939" spans="1:8" ht="13.5" customHeight="1" x14ac:dyDescent="0.25">
      <c r="A939" s="432"/>
      <c r="B939" s="449"/>
      <c r="H939" s="395"/>
    </row>
    <row r="940" spans="1:8" ht="13.5" customHeight="1" x14ac:dyDescent="0.25">
      <c r="A940" s="432"/>
      <c r="B940" s="449"/>
      <c r="H940" s="395"/>
    </row>
    <row r="941" spans="1:8" ht="13.5" customHeight="1" x14ac:dyDescent="0.25">
      <c r="A941" s="432"/>
      <c r="B941" s="449"/>
      <c r="H941" s="395"/>
    </row>
    <row r="942" spans="1:8" ht="13.5" customHeight="1" x14ac:dyDescent="0.25">
      <c r="A942" s="432"/>
      <c r="B942" s="449"/>
      <c r="H942" s="395"/>
    </row>
    <row r="943" spans="1:8" ht="13.5" customHeight="1" x14ac:dyDescent="0.25">
      <c r="A943" s="432"/>
      <c r="B943" s="449"/>
      <c r="H943" s="395"/>
    </row>
    <row r="944" spans="1:8" ht="13.5" customHeight="1" x14ac:dyDescent="0.25">
      <c r="A944" s="432"/>
      <c r="B944" s="449"/>
      <c r="H944" s="395"/>
    </row>
    <row r="945" spans="1:8" ht="13.5" customHeight="1" x14ac:dyDescent="0.25">
      <c r="A945" s="432"/>
      <c r="B945" s="449"/>
      <c r="H945" s="395"/>
    </row>
    <row r="946" spans="1:8" ht="13.5" customHeight="1" x14ac:dyDescent="0.25">
      <c r="A946" s="432"/>
      <c r="B946" s="449"/>
      <c r="H946" s="395"/>
    </row>
    <row r="947" spans="1:8" ht="13.5" customHeight="1" x14ac:dyDescent="0.25">
      <c r="A947" s="432"/>
      <c r="B947" s="449"/>
      <c r="H947" s="395"/>
    </row>
    <row r="948" spans="1:8" ht="13.5" customHeight="1" x14ac:dyDescent="0.25">
      <c r="A948" s="432"/>
      <c r="B948" s="449"/>
      <c r="H948" s="395"/>
    </row>
    <row r="949" spans="1:8" ht="13.5" customHeight="1" x14ac:dyDescent="0.25">
      <c r="A949" s="432"/>
      <c r="B949" s="449"/>
      <c r="H949" s="395"/>
    </row>
    <row r="950" spans="1:8" ht="13.5" customHeight="1" x14ac:dyDescent="0.25">
      <c r="A950" s="432"/>
      <c r="B950" s="449"/>
      <c r="H950" s="395"/>
    </row>
    <row r="951" spans="1:8" ht="13.5" customHeight="1" x14ac:dyDescent="0.25">
      <c r="A951" s="432"/>
      <c r="B951" s="449"/>
      <c r="H951" s="395"/>
    </row>
    <row r="952" spans="1:8" ht="13.5" customHeight="1" x14ac:dyDescent="0.25">
      <c r="A952" s="432"/>
      <c r="B952" s="449"/>
      <c r="H952" s="395"/>
    </row>
    <row r="953" spans="1:8" ht="13.5" customHeight="1" x14ac:dyDescent="0.25">
      <c r="A953" s="432"/>
      <c r="B953" s="449"/>
      <c r="H953" s="395"/>
    </row>
    <row r="954" spans="1:8" ht="13.5" customHeight="1" x14ac:dyDescent="0.25">
      <c r="A954" s="432"/>
      <c r="B954" s="449"/>
      <c r="H954" s="395"/>
    </row>
    <row r="955" spans="1:8" ht="13.5" customHeight="1" x14ac:dyDescent="0.25">
      <c r="A955" s="432"/>
      <c r="B955" s="449"/>
      <c r="H955" s="395"/>
    </row>
    <row r="956" spans="1:8" ht="13.5" customHeight="1" x14ac:dyDescent="0.25">
      <c r="A956" s="432"/>
      <c r="B956" s="449"/>
      <c r="H956" s="395"/>
    </row>
    <row r="957" spans="1:8" ht="13.5" customHeight="1" x14ac:dyDescent="0.25">
      <c r="A957" s="432"/>
      <c r="B957" s="449"/>
      <c r="H957" s="395"/>
    </row>
    <row r="958" spans="1:8" ht="13.5" customHeight="1" x14ac:dyDescent="0.25">
      <c r="A958" s="432"/>
      <c r="B958" s="449"/>
      <c r="H958" s="395"/>
    </row>
    <row r="959" spans="1:8" ht="13.5" customHeight="1" x14ac:dyDescent="0.25">
      <c r="A959" s="432"/>
      <c r="B959" s="449"/>
      <c r="H959" s="395"/>
    </row>
    <row r="960" spans="1:8" ht="13.5" customHeight="1" x14ac:dyDescent="0.25">
      <c r="A960" s="432"/>
      <c r="B960" s="449"/>
      <c r="H960" s="395"/>
    </row>
    <row r="961" spans="1:8" ht="13.5" customHeight="1" x14ac:dyDescent="0.25">
      <c r="A961" s="432"/>
      <c r="B961" s="449"/>
      <c r="H961" s="395"/>
    </row>
    <row r="962" spans="1:8" ht="13.5" customHeight="1" x14ac:dyDescent="0.25">
      <c r="A962" s="432"/>
      <c r="B962" s="449"/>
      <c r="H962" s="395"/>
    </row>
    <row r="963" spans="1:8" ht="13.5" customHeight="1" x14ac:dyDescent="0.25">
      <c r="A963" s="432"/>
      <c r="B963" s="449"/>
      <c r="H963" s="395"/>
    </row>
    <row r="964" spans="1:8" ht="13.5" customHeight="1" x14ac:dyDescent="0.25">
      <c r="A964" s="432"/>
      <c r="B964" s="449"/>
      <c r="H964" s="395"/>
    </row>
    <row r="965" spans="1:8" ht="13.5" customHeight="1" x14ac:dyDescent="0.25">
      <c r="A965" s="432"/>
      <c r="B965" s="449"/>
      <c r="H965" s="395"/>
    </row>
    <row r="966" spans="1:8" ht="13.5" customHeight="1" x14ac:dyDescent="0.25">
      <c r="A966" s="432"/>
      <c r="B966" s="449"/>
      <c r="H966" s="395"/>
    </row>
    <row r="967" spans="1:8" ht="13.5" customHeight="1" x14ac:dyDescent="0.25">
      <c r="A967" s="432"/>
      <c r="B967" s="449"/>
      <c r="H967" s="395"/>
    </row>
    <row r="968" spans="1:8" ht="13.5" customHeight="1" x14ac:dyDescent="0.25">
      <c r="A968" s="432"/>
      <c r="B968" s="449"/>
      <c r="H968" s="395"/>
    </row>
    <row r="969" spans="1:8" ht="13.5" customHeight="1" x14ac:dyDescent="0.25">
      <c r="A969" s="432"/>
      <c r="B969" s="449"/>
      <c r="H969" s="395"/>
    </row>
    <row r="970" spans="1:8" ht="13.5" customHeight="1" x14ac:dyDescent="0.25">
      <c r="A970" s="432"/>
      <c r="B970" s="449"/>
      <c r="H970" s="395"/>
    </row>
    <row r="971" spans="1:8" ht="13.5" customHeight="1" x14ac:dyDescent="0.25">
      <c r="A971" s="432"/>
      <c r="B971" s="449"/>
      <c r="H971" s="395"/>
    </row>
    <row r="972" spans="1:8" ht="13.5" customHeight="1" x14ac:dyDescent="0.25">
      <c r="A972" s="432"/>
      <c r="B972" s="449"/>
      <c r="H972" s="395"/>
    </row>
    <row r="973" spans="1:8" ht="13.5" customHeight="1" x14ac:dyDescent="0.25">
      <c r="A973" s="432"/>
      <c r="B973" s="449"/>
      <c r="H973" s="395"/>
    </row>
    <row r="974" spans="1:8" ht="13.5" customHeight="1" x14ac:dyDescent="0.25">
      <c r="A974" s="432"/>
      <c r="B974" s="449"/>
      <c r="H974" s="395"/>
    </row>
    <row r="975" spans="1:8" ht="13.5" customHeight="1" x14ac:dyDescent="0.25">
      <c r="A975" s="432"/>
      <c r="B975" s="449"/>
      <c r="H975" s="395"/>
    </row>
    <row r="976" spans="1:8" ht="13.5" customHeight="1" x14ac:dyDescent="0.25">
      <c r="A976" s="432"/>
      <c r="B976" s="449"/>
      <c r="H976" s="395"/>
    </row>
    <row r="977" spans="1:8" ht="13.5" customHeight="1" x14ac:dyDescent="0.25">
      <c r="A977" s="432"/>
      <c r="B977" s="449"/>
      <c r="H977" s="395"/>
    </row>
    <row r="978" spans="1:8" ht="13.5" customHeight="1" x14ac:dyDescent="0.25">
      <c r="A978" s="432"/>
      <c r="B978" s="449"/>
      <c r="H978" s="395"/>
    </row>
    <row r="979" spans="1:8" ht="13.5" customHeight="1" x14ac:dyDescent="0.25">
      <c r="A979" s="432"/>
      <c r="B979" s="449"/>
      <c r="H979" s="395"/>
    </row>
    <row r="980" spans="1:8" ht="13.5" customHeight="1" x14ac:dyDescent="0.25">
      <c r="A980" s="432"/>
      <c r="B980" s="449"/>
      <c r="H980" s="395"/>
    </row>
    <row r="981" spans="1:8" ht="13.5" customHeight="1" x14ac:dyDescent="0.25">
      <c r="A981" s="432"/>
      <c r="B981" s="449"/>
      <c r="H981" s="395"/>
    </row>
    <row r="982" spans="1:8" ht="13.5" customHeight="1" x14ac:dyDescent="0.25">
      <c r="A982" s="432"/>
      <c r="B982" s="449"/>
      <c r="H982" s="395"/>
    </row>
    <row r="983" spans="1:8" ht="13.5" customHeight="1" x14ac:dyDescent="0.25">
      <c r="A983" s="432"/>
      <c r="B983" s="449"/>
      <c r="H983" s="395"/>
    </row>
    <row r="984" spans="1:8" ht="13.5" customHeight="1" x14ac:dyDescent="0.25">
      <c r="A984" s="432"/>
      <c r="B984" s="449"/>
      <c r="H984" s="395"/>
    </row>
    <row r="985" spans="1:8" ht="13.5" customHeight="1" x14ac:dyDescent="0.25">
      <c r="A985" s="432"/>
      <c r="B985" s="449"/>
      <c r="H985" s="395"/>
    </row>
    <row r="986" spans="1:8" ht="13.5" customHeight="1" x14ac:dyDescent="0.25">
      <c r="A986" s="432"/>
      <c r="B986" s="449"/>
      <c r="H986" s="395"/>
    </row>
    <row r="987" spans="1:8" ht="13.5" customHeight="1" x14ac:dyDescent="0.25">
      <c r="A987" s="432"/>
      <c r="B987" s="449"/>
      <c r="H987" s="395"/>
    </row>
    <row r="988" spans="1:8" ht="13.5" customHeight="1" x14ac:dyDescent="0.25">
      <c r="A988" s="432"/>
      <c r="B988" s="449"/>
      <c r="H988" s="395"/>
    </row>
    <row r="989" spans="1:8" ht="13.5" customHeight="1" x14ac:dyDescent="0.25">
      <c r="A989" s="432"/>
      <c r="B989" s="449"/>
      <c r="H989" s="395"/>
    </row>
    <row r="990" spans="1:8" ht="13.5" customHeight="1" x14ac:dyDescent="0.25">
      <c r="A990" s="432"/>
      <c r="B990" s="449"/>
      <c r="H990" s="395"/>
    </row>
    <row r="991" spans="1:8" ht="13.5" customHeight="1" x14ac:dyDescent="0.25">
      <c r="A991" s="432"/>
      <c r="B991" s="449"/>
      <c r="H991" s="395"/>
    </row>
    <row r="992" spans="1:8" ht="13.5" customHeight="1" x14ac:dyDescent="0.25">
      <c r="A992" s="432"/>
      <c r="B992" s="449"/>
      <c r="H992" s="395"/>
    </row>
    <row r="993" spans="1:8" ht="13.5" customHeight="1" x14ac:dyDescent="0.25">
      <c r="A993" s="432"/>
      <c r="B993" s="449"/>
      <c r="H993" s="395"/>
    </row>
    <row r="994" spans="1:8" ht="13.5" customHeight="1" x14ac:dyDescent="0.25">
      <c r="A994" s="432"/>
      <c r="B994" s="449"/>
      <c r="H994" s="395"/>
    </row>
    <row r="995" spans="1:8" ht="13.5" customHeight="1" x14ac:dyDescent="0.25">
      <c r="A995" s="432"/>
      <c r="B995" s="449"/>
      <c r="H995" s="395"/>
    </row>
    <row r="996" spans="1:8" ht="13.5" customHeight="1" x14ac:dyDescent="0.25">
      <c r="A996" s="432"/>
      <c r="B996" s="449"/>
      <c r="H996" s="395"/>
    </row>
    <row r="997" spans="1:8" ht="13.5" customHeight="1" x14ac:dyDescent="0.25">
      <c r="A997" s="432"/>
      <c r="B997" s="449"/>
      <c r="H997" s="395"/>
    </row>
    <row r="998" spans="1:8" ht="13.5" customHeight="1" x14ac:dyDescent="0.25">
      <c r="A998" s="432"/>
      <c r="B998" s="449"/>
      <c r="H998" s="395"/>
    </row>
    <row r="999" spans="1:8" ht="13.5" customHeight="1" x14ac:dyDescent="0.25">
      <c r="A999" s="432"/>
      <c r="B999" s="449"/>
      <c r="H999" s="395"/>
    </row>
    <row r="1000" spans="1:8" ht="13.5" customHeight="1" x14ac:dyDescent="0.25">
      <c r="A1000" s="432"/>
      <c r="B1000" s="449"/>
      <c r="H1000" s="395"/>
    </row>
  </sheetData>
  <sheetProtection algorithmName="SHA-512" hashValue="8jaFlRauIiWUypxKnSBs0pwE5kQkyf2pwYNndPow+QiHQEoUUJOB5sRPThr0piEBuzq3Ys/LZ1PyOVp0bYdGBw==" saltValue="Tnm0YdLXpuvVs+KBIGKs4g==" spinCount="100000" sheet="1" objects="1" scenarios="1"/>
  <mergeCells count="2">
    <mergeCell ref="B2:H2"/>
    <mergeCell ref="B3:H3"/>
  </mergeCells>
  <pageMargins left="0.49" right="0.23" top="0.75" bottom="0.75" header="0" footer="0"/>
  <pageSetup paperSize="9" scale="91"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pageSetUpPr fitToPage="1"/>
  </sheetPr>
  <dimension ref="A1:Z1000"/>
  <sheetViews>
    <sheetView view="pageBreakPreview" zoomScaleNormal="100" zoomScaleSheetLayoutView="100" workbookViewId="0">
      <selection activeCell="D20" sqref="D20"/>
    </sheetView>
  </sheetViews>
  <sheetFormatPr defaultColWidth="12.6640625" defaultRowHeight="15" customHeight="1" x14ac:dyDescent="0.25"/>
  <cols>
    <col min="1" max="1" width="7.109375" style="356" customWidth="1"/>
    <col min="2" max="2" width="57.44140625" style="356" customWidth="1"/>
    <col min="3" max="3" width="16.88671875" style="356" customWidth="1"/>
    <col min="4" max="4" width="16.6640625" style="356" customWidth="1"/>
    <col min="5" max="5" width="15" style="356" customWidth="1"/>
    <col min="6" max="6" width="9.109375" style="356" customWidth="1"/>
    <col min="7" max="26" width="8.6640625" style="356" customWidth="1"/>
    <col min="27" max="16384" width="12.6640625" style="356"/>
  </cols>
  <sheetData>
    <row r="1" spans="1:26" ht="13.5" customHeight="1" x14ac:dyDescent="0.25">
      <c r="A1" s="382"/>
      <c r="B1" s="355"/>
      <c r="C1" s="450"/>
      <c r="D1" s="450"/>
      <c r="E1" s="355"/>
      <c r="F1" s="355"/>
      <c r="G1" s="355"/>
      <c r="H1" s="355"/>
      <c r="I1" s="355"/>
      <c r="J1" s="355"/>
      <c r="K1" s="355"/>
      <c r="L1" s="355"/>
      <c r="M1" s="355"/>
      <c r="N1" s="355"/>
      <c r="O1" s="355"/>
      <c r="P1" s="355"/>
      <c r="Q1" s="355"/>
      <c r="R1" s="355"/>
      <c r="S1" s="355"/>
      <c r="T1" s="355"/>
      <c r="U1" s="355"/>
      <c r="V1" s="355"/>
      <c r="W1" s="355"/>
      <c r="X1" s="355"/>
      <c r="Y1" s="355"/>
      <c r="Z1" s="355"/>
    </row>
    <row r="2" spans="1:26" ht="13.5" customHeight="1" x14ac:dyDescent="0.25">
      <c r="A2" s="738" t="s">
        <v>310</v>
      </c>
      <c r="B2" s="732"/>
      <c r="C2" s="732"/>
      <c r="D2" s="732"/>
      <c r="E2" s="364"/>
      <c r="F2" s="364"/>
      <c r="G2" s="364"/>
      <c r="H2" s="364"/>
      <c r="I2" s="364"/>
      <c r="J2" s="364"/>
      <c r="K2" s="364"/>
      <c r="L2" s="364"/>
      <c r="M2" s="364"/>
      <c r="N2" s="364"/>
      <c r="O2" s="364"/>
      <c r="P2" s="364"/>
      <c r="Q2" s="364"/>
      <c r="R2" s="364"/>
      <c r="S2" s="364"/>
      <c r="T2" s="364"/>
      <c r="U2" s="364"/>
      <c r="V2" s="364"/>
      <c r="W2" s="364"/>
      <c r="X2" s="364"/>
      <c r="Y2" s="364"/>
      <c r="Z2" s="364"/>
    </row>
    <row r="3" spans="1:26" ht="13.5" customHeight="1" x14ac:dyDescent="0.25">
      <c r="A3" s="738" t="s">
        <v>311</v>
      </c>
      <c r="B3" s="732"/>
      <c r="C3" s="732"/>
      <c r="D3" s="732"/>
      <c r="E3" s="364"/>
      <c r="F3" s="364"/>
      <c r="G3" s="364"/>
      <c r="H3" s="364"/>
      <c r="I3" s="364"/>
      <c r="J3" s="364"/>
      <c r="K3" s="364"/>
      <c r="L3" s="364"/>
      <c r="M3" s="364"/>
      <c r="N3" s="364"/>
      <c r="O3" s="364"/>
      <c r="P3" s="364"/>
      <c r="Q3" s="364"/>
      <c r="R3" s="364"/>
      <c r="S3" s="364"/>
      <c r="T3" s="364"/>
      <c r="U3" s="364"/>
      <c r="V3" s="364"/>
      <c r="W3" s="364"/>
      <c r="X3" s="364"/>
      <c r="Y3" s="364"/>
      <c r="Z3" s="364"/>
    </row>
    <row r="4" spans="1:26" ht="13.5" customHeight="1" x14ac:dyDescent="0.25">
      <c r="A4" s="451"/>
      <c r="B4" s="451"/>
      <c r="C4" s="451"/>
      <c r="D4" s="451"/>
      <c r="E4" s="364"/>
      <c r="F4" s="364"/>
      <c r="G4" s="364"/>
      <c r="H4" s="364"/>
      <c r="I4" s="364"/>
      <c r="J4" s="364"/>
      <c r="K4" s="364"/>
      <c r="L4" s="364"/>
      <c r="M4" s="364"/>
      <c r="N4" s="364"/>
      <c r="O4" s="364"/>
      <c r="P4" s="364"/>
      <c r="Q4" s="364"/>
      <c r="R4" s="364"/>
      <c r="S4" s="364"/>
      <c r="T4" s="364"/>
      <c r="U4" s="364"/>
      <c r="V4" s="364"/>
      <c r="W4" s="364"/>
      <c r="X4" s="364"/>
      <c r="Y4" s="364"/>
      <c r="Z4" s="364"/>
    </row>
    <row r="5" spans="1:26" ht="13.5" customHeight="1" x14ac:dyDescent="0.25">
      <c r="A5" s="452" t="str">
        <f>EQ!B4</f>
        <v>"АЗЕЙ" ХХК</v>
      </c>
      <c r="B5" s="355"/>
      <c r="C5" s="452"/>
      <c r="D5" s="362">
        <f>+EQ!I4</f>
        <v>44926</v>
      </c>
      <c r="E5" s="355"/>
      <c r="F5" s="355"/>
      <c r="G5" s="355"/>
      <c r="H5" s="355"/>
      <c r="I5" s="355"/>
      <c r="J5" s="355"/>
      <c r="K5" s="355"/>
      <c r="L5" s="355"/>
      <c r="M5" s="355"/>
      <c r="N5" s="355"/>
      <c r="O5" s="355"/>
      <c r="P5" s="355"/>
      <c r="Q5" s="355"/>
      <c r="R5" s="355"/>
      <c r="S5" s="355"/>
      <c r="T5" s="355"/>
      <c r="U5" s="355"/>
      <c r="V5" s="355"/>
      <c r="W5" s="355"/>
      <c r="X5" s="355"/>
      <c r="Y5" s="355"/>
      <c r="Z5" s="355"/>
    </row>
    <row r="6" spans="1:26" ht="13.5" customHeight="1" x14ac:dyDescent="0.25">
      <c r="A6" s="450" t="s">
        <v>190</v>
      </c>
      <c r="B6" s="355"/>
      <c r="C6" s="364"/>
      <c r="D6" s="322"/>
      <c r="E6" s="355"/>
      <c r="F6" s="355"/>
      <c r="G6" s="355"/>
      <c r="H6" s="355"/>
      <c r="I6" s="355"/>
      <c r="J6" s="355"/>
      <c r="K6" s="355"/>
      <c r="L6" s="355"/>
      <c r="M6" s="355"/>
      <c r="N6" s="355"/>
      <c r="O6" s="355"/>
      <c r="P6" s="355"/>
      <c r="Q6" s="355"/>
      <c r="R6" s="355"/>
      <c r="S6" s="355"/>
      <c r="T6" s="355"/>
      <c r="U6" s="355"/>
      <c r="V6" s="355"/>
      <c r="W6" s="355"/>
      <c r="X6" s="355"/>
      <c r="Y6" s="355"/>
      <c r="Z6" s="355"/>
    </row>
    <row r="7" spans="1:26" ht="13.5" customHeight="1" x14ac:dyDescent="0.25">
      <c r="A7" s="453"/>
      <c r="B7" s="355"/>
      <c r="C7" s="450"/>
      <c r="D7" s="454" t="str">
        <f>BS!$D$6</f>
        <v>(Төгрөгөөр)</v>
      </c>
      <c r="E7" s="355"/>
      <c r="F7" s="355"/>
      <c r="G7" s="355"/>
      <c r="H7" s="355"/>
      <c r="I7" s="355"/>
      <c r="J7" s="355"/>
      <c r="K7" s="355"/>
      <c r="L7" s="355"/>
      <c r="M7" s="355"/>
      <c r="N7" s="355"/>
      <c r="O7" s="355"/>
      <c r="P7" s="355"/>
      <c r="Q7" s="355"/>
      <c r="R7" s="355"/>
      <c r="S7" s="355"/>
      <c r="T7" s="355"/>
      <c r="U7" s="355"/>
      <c r="V7" s="355"/>
      <c r="W7" s="355"/>
      <c r="X7" s="355"/>
      <c r="Y7" s="355"/>
      <c r="Z7" s="355"/>
    </row>
    <row r="8" spans="1:26" ht="34.200000000000003" x14ac:dyDescent="0.25">
      <c r="A8" s="455" t="str">
        <f>BS!$A$7</f>
        <v>Мөрийн дугаар</v>
      </c>
      <c r="B8" s="456" t="s">
        <v>276</v>
      </c>
      <c r="C8" s="396" t="s">
        <v>312</v>
      </c>
      <c r="D8" s="378" t="s">
        <v>313</v>
      </c>
      <c r="E8" s="355"/>
      <c r="F8" s="355"/>
      <c r="G8" s="355"/>
      <c r="H8" s="355"/>
      <c r="I8" s="355"/>
      <c r="J8" s="355"/>
      <c r="K8" s="355"/>
      <c r="L8" s="355"/>
      <c r="M8" s="355"/>
      <c r="N8" s="355"/>
      <c r="O8" s="355"/>
      <c r="P8" s="355"/>
      <c r="Q8" s="355"/>
      <c r="R8" s="355"/>
      <c r="S8" s="355"/>
      <c r="T8" s="355"/>
      <c r="U8" s="355"/>
      <c r="V8" s="355"/>
      <c r="W8" s="355"/>
      <c r="X8" s="355"/>
      <c r="Y8" s="355"/>
      <c r="Z8" s="355"/>
    </row>
    <row r="9" spans="1:26" ht="13.5" customHeight="1" x14ac:dyDescent="0.25">
      <c r="A9" s="457">
        <v>1</v>
      </c>
      <c r="B9" s="458" t="s">
        <v>314</v>
      </c>
      <c r="C9" s="459"/>
      <c r="D9" s="434"/>
      <c r="E9" s="355"/>
      <c r="F9" s="355"/>
      <c r="G9" s="355"/>
      <c r="H9" s="355"/>
      <c r="I9" s="355"/>
      <c r="J9" s="355"/>
      <c r="K9" s="355"/>
      <c r="L9" s="355"/>
      <c r="M9" s="355"/>
      <c r="N9" s="355"/>
      <c r="O9" s="355"/>
      <c r="P9" s="355"/>
      <c r="Q9" s="355"/>
      <c r="R9" s="355"/>
      <c r="S9" s="355"/>
      <c r="T9" s="355"/>
      <c r="U9" s="355"/>
      <c r="V9" s="355"/>
      <c r="W9" s="355"/>
      <c r="X9" s="355"/>
      <c r="Y9" s="355"/>
      <c r="Z9" s="355"/>
    </row>
    <row r="10" spans="1:26" ht="13.5" customHeight="1" x14ac:dyDescent="0.25">
      <c r="A10" s="460">
        <v>1.1000000000000001</v>
      </c>
      <c r="B10" s="458" t="s">
        <v>315</v>
      </c>
      <c r="C10" s="459"/>
      <c r="D10" s="434">
        <f ca="1">SUM(D11:D16)</f>
        <v>2000000</v>
      </c>
      <c r="E10" s="355"/>
      <c r="F10" s="355"/>
      <c r="G10" s="355"/>
      <c r="H10" s="355"/>
      <c r="I10" s="355"/>
      <c r="J10" s="355"/>
      <c r="K10" s="355"/>
      <c r="L10" s="355"/>
      <c r="M10" s="355"/>
      <c r="N10" s="355"/>
      <c r="O10" s="355"/>
      <c r="P10" s="355"/>
      <c r="Q10" s="355"/>
      <c r="R10" s="355"/>
      <c r="S10" s="355"/>
      <c r="T10" s="355"/>
      <c r="U10" s="355"/>
      <c r="V10" s="355"/>
      <c r="W10" s="355"/>
      <c r="X10" s="355"/>
      <c r="Y10" s="355"/>
      <c r="Z10" s="355"/>
    </row>
    <row r="11" spans="1:26" ht="15" customHeight="1" x14ac:dyDescent="0.25">
      <c r="A11" s="461" t="s">
        <v>74</v>
      </c>
      <c r="B11" s="462" t="s">
        <v>48</v>
      </c>
      <c r="C11" s="463">
        <v>0</v>
      </c>
      <c r="D11" s="440">
        <f ca="1">SUMIF(GL!$H:$H,CF!$B11,GL!$E:$E)</f>
        <v>2000000</v>
      </c>
      <c r="E11" s="355"/>
      <c r="F11" s="355"/>
      <c r="G11" s="355"/>
      <c r="H11" s="355"/>
      <c r="I11" s="355"/>
      <c r="J11" s="355"/>
      <c r="K11" s="355"/>
      <c r="L11" s="355"/>
      <c r="M11" s="355"/>
      <c r="N11" s="355"/>
      <c r="O11" s="355"/>
      <c r="P11" s="355"/>
      <c r="Q11" s="355"/>
      <c r="R11" s="355"/>
      <c r="S11" s="355"/>
      <c r="T11" s="355"/>
      <c r="U11" s="355"/>
      <c r="V11" s="355"/>
      <c r="W11" s="355"/>
      <c r="X11" s="355"/>
      <c r="Y11" s="355"/>
      <c r="Z11" s="355"/>
    </row>
    <row r="12" spans="1:26" ht="13.5" customHeight="1" x14ac:dyDescent="0.25">
      <c r="A12" s="461" t="s">
        <v>81</v>
      </c>
      <c r="B12" s="462" t="s">
        <v>316</v>
      </c>
      <c r="C12" s="463">
        <v>0</v>
      </c>
      <c r="D12" s="440">
        <f ca="1">SUMIF(GL!$H:$H,CF!$B12,GL!$E:$E)</f>
        <v>0</v>
      </c>
      <c r="E12" s="355"/>
      <c r="F12" s="355"/>
      <c r="G12" s="355"/>
      <c r="H12" s="355"/>
      <c r="I12" s="355"/>
      <c r="J12" s="355"/>
      <c r="K12" s="355"/>
      <c r="L12" s="355"/>
      <c r="M12" s="355"/>
      <c r="N12" s="355"/>
      <c r="O12" s="355"/>
      <c r="P12" s="355"/>
      <c r="Q12" s="355"/>
      <c r="R12" s="355"/>
      <c r="S12" s="355"/>
      <c r="T12" s="355"/>
      <c r="U12" s="355"/>
      <c r="V12" s="355"/>
      <c r="W12" s="355"/>
      <c r="X12" s="355"/>
      <c r="Y12" s="355"/>
      <c r="Z12" s="355"/>
    </row>
    <row r="13" spans="1:26" ht="13.5" customHeight="1" x14ac:dyDescent="0.25">
      <c r="A13" s="461" t="s">
        <v>83</v>
      </c>
      <c r="B13" s="462" t="s">
        <v>317</v>
      </c>
      <c r="C13" s="463">
        <v>0</v>
      </c>
      <c r="D13" s="440">
        <f ca="1">SUMIF(GL!$H:$H,CF!$B13,GL!$E:$E)</f>
        <v>0</v>
      </c>
      <c r="E13" s="355"/>
      <c r="F13" s="355"/>
      <c r="G13" s="355"/>
      <c r="H13" s="355"/>
      <c r="I13" s="355"/>
      <c r="J13" s="355"/>
      <c r="K13" s="355"/>
      <c r="L13" s="355"/>
      <c r="M13" s="355"/>
      <c r="N13" s="355"/>
      <c r="O13" s="355"/>
      <c r="P13" s="355"/>
      <c r="Q13" s="355"/>
      <c r="R13" s="355"/>
      <c r="S13" s="355"/>
      <c r="T13" s="355"/>
      <c r="U13" s="355"/>
      <c r="V13" s="355"/>
      <c r="W13" s="355"/>
      <c r="X13" s="355"/>
      <c r="Y13" s="355"/>
      <c r="Z13" s="355"/>
    </row>
    <row r="14" spans="1:26" ht="13.5" customHeight="1" x14ac:dyDescent="0.25">
      <c r="A14" s="461" t="s">
        <v>92</v>
      </c>
      <c r="B14" s="462" t="s">
        <v>318</v>
      </c>
      <c r="C14" s="463"/>
      <c r="D14" s="440">
        <f ca="1">SUMIF(GL!$H:$H,CF!$B14,GL!$E:$E)</f>
        <v>0</v>
      </c>
      <c r="E14" s="355"/>
      <c r="F14" s="355"/>
      <c r="G14" s="355"/>
      <c r="H14" s="355"/>
      <c r="I14" s="355"/>
      <c r="J14" s="355"/>
      <c r="K14" s="355"/>
      <c r="L14" s="355"/>
      <c r="M14" s="355"/>
      <c r="N14" s="355"/>
      <c r="O14" s="355"/>
      <c r="P14" s="355"/>
      <c r="Q14" s="355"/>
      <c r="R14" s="355"/>
      <c r="S14" s="355"/>
      <c r="T14" s="355"/>
      <c r="U14" s="355"/>
      <c r="V14" s="355"/>
      <c r="W14" s="355"/>
      <c r="X14" s="355"/>
      <c r="Y14" s="355"/>
      <c r="Z14" s="355"/>
    </row>
    <row r="15" spans="1:26" ht="13.5" customHeight="1" x14ac:dyDescent="0.25">
      <c r="A15" s="461" t="s">
        <v>94</v>
      </c>
      <c r="B15" s="462" t="s">
        <v>319</v>
      </c>
      <c r="C15" s="463">
        <v>0</v>
      </c>
      <c r="D15" s="440">
        <f ca="1">SUMIF(GL!$H:$H,CF!$B15,GL!$E:$E)</f>
        <v>0</v>
      </c>
      <c r="E15" s="355"/>
      <c r="F15" s="355"/>
      <c r="G15" s="355"/>
      <c r="H15" s="355"/>
      <c r="I15" s="355"/>
      <c r="J15" s="355"/>
      <c r="K15" s="355"/>
      <c r="L15" s="355"/>
      <c r="M15" s="355"/>
      <c r="N15" s="355"/>
      <c r="O15" s="355"/>
      <c r="P15" s="355"/>
      <c r="Q15" s="355"/>
      <c r="R15" s="355"/>
      <c r="S15" s="355"/>
      <c r="T15" s="355"/>
      <c r="U15" s="355"/>
      <c r="V15" s="355"/>
      <c r="W15" s="355"/>
      <c r="X15" s="355"/>
      <c r="Y15" s="355"/>
      <c r="Z15" s="355"/>
    </row>
    <row r="16" spans="1:26" ht="13.5" customHeight="1" x14ac:dyDescent="0.25">
      <c r="A16" s="461" t="s">
        <v>96</v>
      </c>
      <c r="B16" s="464" t="s">
        <v>320</v>
      </c>
      <c r="C16" s="463"/>
      <c r="D16" s="440">
        <f ca="1">SUMIF(GL!$H:$H,CF!$B16,GL!$E:$E)</f>
        <v>0</v>
      </c>
      <c r="E16" s="355"/>
      <c r="F16" s="355"/>
      <c r="G16" s="355"/>
      <c r="H16" s="355"/>
      <c r="I16" s="355"/>
      <c r="J16" s="355"/>
      <c r="K16" s="355"/>
      <c r="L16" s="355"/>
      <c r="M16" s="355"/>
      <c r="N16" s="355"/>
      <c r="O16" s="355"/>
      <c r="P16" s="355"/>
      <c r="Q16" s="355"/>
      <c r="R16" s="355"/>
      <c r="S16" s="355"/>
      <c r="T16" s="355"/>
      <c r="U16" s="355"/>
      <c r="V16" s="355"/>
      <c r="W16" s="355"/>
      <c r="X16" s="355"/>
      <c r="Y16" s="355"/>
      <c r="Z16" s="355"/>
    </row>
    <row r="17" spans="1:26" ht="13.5" customHeight="1" x14ac:dyDescent="0.25">
      <c r="A17" s="460">
        <v>1.2</v>
      </c>
      <c r="B17" s="458" t="s">
        <v>321</v>
      </c>
      <c r="C17" s="459">
        <f t="shared" ref="C17" si="0">SUM(C18:C26)</f>
        <v>0</v>
      </c>
      <c r="D17" s="434">
        <f ca="1">SUM(D18:D26)</f>
        <v>5000000</v>
      </c>
      <c r="E17" s="355"/>
      <c r="F17" s="355"/>
      <c r="G17" s="355"/>
      <c r="H17" s="355"/>
      <c r="I17" s="355"/>
      <c r="J17" s="355"/>
      <c r="K17" s="355"/>
      <c r="L17" s="355"/>
      <c r="M17" s="355"/>
      <c r="N17" s="355"/>
      <c r="O17" s="355"/>
      <c r="P17" s="355"/>
      <c r="Q17" s="355"/>
      <c r="R17" s="355"/>
      <c r="S17" s="355"/>
      <c r="T17" s="355"/>
      <c r="U17" s="355"/>
      <c r="V17" s="355"/>
      <c r="W17" s="355"/>
      <c r="X17" s="355"/>
      <c r="Y17" s="355"/>
      <c r="Z17" s="355"/>
    </row>
    <row r="18" spans="1:26" ht="13.5" customHeight="1" x14ac:dyDescent="0.25">
      <c r="A18" s="461" t="s">
        <v>110</v>
      </c>
      <c r="B18" s="462" t="s">
        <v>322</v>
      </c>
      <c r="C18" s="463"/>
      <c r="D18" s="440">
        <f ca="1">SUMIF(GL!$H:$H,CF!$B18,GL!$E:$E)</f>
        <v>0</v>
      </c>
      <c r="E18" s="355"/>
      <c r="F18" s="355"/>
      <c r="G18" s="355"/>
      <c r="H18" s="355"/>
      <c r="I18" s="355"/>
      <c r="J18" s="355"/>
      <c r="K18" s="355"/>
      <c r="L18" s="355"/>
      <c r="M18" s="355"/>
      <c r="N18" s="355"/>
      <c r="O18" s="355"/>
      <c r="P18" s="355"/>
      <c r="Q18" s="355"/>
      <c r="R18" s="355"/>
      <c r="S18" s="355"/>
      <c r="T18" s="355"/>
      <c r="U18" s="355"/>
      <c r="V18" s="355"/>
      <c r="W18" s="355"/>
      <c r="X18" s="355"/>
      <c r="Y18" s="355"/>
      <c r="Z18" s="355"/>
    </row>
    <row r="19" spans="1:26" ht="13.5" customHeight="1" x14ac:dyDescent="0.25">
      <c r="A19" s="461" t="s">
        <v>104</v>
      </c>
      <c r="B19" s="462" t="s">
        <v>323</v>
      </c>
      <c r="C19" s="463"/>
      <c r="D19" s="440">
        <f ca="1">SUMIF(GL!$H:$H,CF!$B19,GL!$E:$E)</f>
        <v>0</v>
      </c>
      <c r="E19" s="355"/>
      <c r="F19" s="355"/>
      <c r="G19" s="355"/>
      <c r="H19" s="355"/>
      <c r="I19" s="355"/>
      <c r="J19" s="355"/>
      <c r="K19" s="355"/>
      <c r="L19" s="355"/>
      <c r="M19" s="355"/>
      <c r="N19" s="355"/>
      <c r="O19" s="355"/>
      <c r="P19" s="355"/>
      <c r="Q19" s="355"/>
      <c r="R19" s="355"/>
      <c r="S19" s="355"/>
      <c r="T19" s="355"/>
      <c r="U19" s="355"/>
      <c r="V19" s="355"/>
      <c r="W19" s="355"/>
      <c r="X19" s="355"/>
      <c r="Y19" s="355"/>
      <c r="Z19" s="355"/>
    </row>
    <row r="20" spans="1:26" ht="13.5" customHeight="1" x14ac:dyDescent="0.25">
      <c r="A20" s="461" t="s">
        <v>102</v>
      </c>
      <c r="B20" s="462" t="s">
        <v>324</v>
      </c>
      <c r="C20" s="463"/>
      <c r="D20" s="440">
        <f ca="1">SUMIF(GL!$H:$H,CF!$B20,GL!$E:$E)</f>
        <v>5000000</v>
      </c>
      <c r="E20" s="355"/>
      <c r="F20" s="355"/>
      <c r="G20" s="355"/>
      <c r="H20" s="355"/>
      <c r="I20" s="355"/>
      <c r="J20" s="355"/>
      <c r="K20" s="355"/>
      <c r="L20" s="355"/>
      <c r="M20" s="355"/>
      <c r="N20" s="355"/>
      <c r="O20" s="355"/>
      <c r="P20" s="355"/>
      <c r="Q20" s="355"/>
      <c r="R20" s="355"/>
      <c r="S20" s="355"/>
      <c r="T20" s="355"/>
      <c r="U20" s="355"/>
      <c r="V20" s="355"/>
      <c r="W20" s="355"/>
      <c r="X20" s="355"/>
      <c r="Y20" s="355"/>
      <c r="Z20" s="355"/>
    </row>
    <row r="21" spans="1:26" ht="13.5" customHeight="1" x14ac:dyDescent="0.25">
      <c r="A21" s="461" t="s">
        <v>108</v>
      </c>
      <c r="B21" s="462" t="s">
        <v>325</v>
      </c>
      <c r="C21" s="463"/>
      <c r="D21" s="440">
        <f ca="1">SUMIF(GL!$H:$H,CF!$B21,GL!$E:$E)</f>
        <v>0</v>
      </c>
      <c r="E21" s="355"/>
      <c r="F21" s="355"/>
      <c r="G21" s="355"/>
      <c r="H21" s="355"/>
      <c r="I21" s="355"/>
      <c r="J21" s="355"/>
      <c r="K21" s="355"/>
      <c r="L21" s="355"/>
      <c r="M21" s="355"/>
      <c r="N21" s="355"/>
      <c r="O21" s="355"/>
      <c r="P21" s="355"/>
      <c r="Q21" s="355"/>
      <c r="R21" s="355"/>
      <c r="S21" s="355"/>
      <c r="T21" s="355"/>
      <c r="U21" s="355"/>
      <c r="V21" s="355"/>
      <c r="W21" s="355"/>
      <c r="X21" s="355"/>
      <c r="Y21" s="355"/>
      <c r="Z21" s="355"/>
    </row>
    <row r="22" spans="1:26" ht="13.5" customHeight="1" x14ac:dyDescent="0.25">
      <c r="A22" s="461" t="s">
        <v>106</v>
      </c>
      <c r="B22" s="462" t="s">
        <v>326</v>
      </c>
      <c r="C22" s="463"/>
      <c r="D22" s="440">
        <f ca="1">SUMIF(GL!$H:$H,CF!$B22,GL!$E:$E)</f>
        <v>0</v>
      </c>
      <c r="E22" s="355"/>
      <c r="F22" s="355"/>
      <c r="G22" s="355"/>
      <c r="H22" s="355"/>
      <c r="I22" s="355"/>
      <c r="J22" s="355"/>
      <c r="K22" s="355"/>
      <c r="L22" s="355"/>
      <c r="M22" s="355"/>
      <c r="N22" s="355"/>
      <c r="O22" s="355"/>
      <c r="P22" s="355"/>
      <c r="Q22" s="355"/>
      <c r="R22" s="355"/>
      <c r="S22" s="355"/>
      <c r="T22" s="355"/>
      <c r="U22" s="355"/>
      <c r="V22" s="355"/>
      <c r="W22" s="355"/>
      <c r="X22" s="355"/>
      <c r="Y22" s="355"/>
      <c r="Z22" s="355"/>
    </row>
    <row r="23" spans="1:26" ht="13.5" customHeight="1" x14ac:dyDescent="0.25">
      <c r="A23" s="461" t="s">
        <v>212</v>
      </c>
      <c r="B23" s="462" t="s">
        <v>327</v>
      </c>
      <c r="C23" s="463"/>
      <c r="D23" s="440">
        <f ca="1">SUMIF(GL!$H:$H,CF!$B23,GL!$E:$E)</f>
        <v>0</v>
      </c>
      <c r="E23" s="355"/>
      <c r="F23" s="355"/>
      <c r="G23" s="355"/>
      <c r="H23" s="355"/>
      <c r="I23" s="355"/>
      <c r="J23" s="355"/>
      <c r="K23" s="355"/>
      <c r="L23" s="355"/>
      <c r="M23" s="355"/>
      <c r="N23" s="355"/>
      <c r="O23" s="355"/>
      <c r="P23" s="355"/>
      <c r="Q23" s="355"/>
      <c r="R23" s="355"/>
      <c r="S23" s="355"/>
      <c r="T23" s="355"/>
      <c r="U23" s="355"/>
      <c r="V23" s="355"/>
      <c r="W23" s="355"/>
      <c r="X23" s="355"/>
      <c r="Y23" s="355"/>
      <c r="Z23" s="355"/>
    </row>
    <row r="24" spans="1:26" ht="13.5" customHeight="1" x14ac:dyDescent="0.25">
      <c r="A24" s="461" t="s">
        <v>214</v>
      </c>
      <c r="B24" s="462" t="s">
        <v>328</v>
      </c>
      <c r="C24" s="463"/>
      <c r="D24" s="440">
        <f ca="1">SUMIF(GL!$H:$H,CF!$B24,GL!$E:$E)</f>
        <v>0</v>
      </c>
      <c r="E24" s="355"/>
      <c r="F24" s="355"/>
      <c r="G24" s="355"/>
      <c r="H24" s="355"/>
      <c r="I24" s="355"/>
      <c r="J24" s="355"/>
      <c r="K24" s="355"/>
      <c r="L24" s="355"/>
      <c r="M24" s="355"/>
      <c r="N24" s="355"/>
      <c r="O24" s="355"/>
      <c r="P24" s="355"/>
      <c r="Q24" s="355"/>
      <c r="R24" s="355"/>
      <c r="S24" s="355"/>
      <c r="T24" s="355"/>
      <c r="U24" s="355"/>
      <c r="V24" s="355"/>
      <c r="W24" s="355"/>
      <c r="X24" s="355"/>
      <c r="Y24" s="355"/>
      <c r="Z24" s="355"/>
    </row>
    <row r="25" spans="1:26" ht="13.5" customHeight="1" x14ac:dyDescent="0.25">
      <c r="A25" s="461" t="s">
        <v>216</v>
      </c>
      <c r="B25" s="462" t="s">
        <v>329</v>
      </c>
      <c r="C25" s="463"/>
      <c r="D25" s="440">
        <f ca="1">SUMIF(GL!$H:$H,CF!$B25,GL!$E:$E)</f>
        <v>0</v>
      </c>
      <c r="E25" s="355"/>
      <c r="F25" s="355"/>
      <c r="G25" s="355"/>
      <c r="H25" s="355"/>
      <c r="I25" s="355"/>
      <c r="J25" s="355"/>
      <c r="K25" s="355"/>
      <c r="L25" s="355"/>
      <c r="M25" s="355"/>
      <c r="N25" s="355"/>
      <c r="O25" s="355"/>
      <c r="P25" s="355"/>
      <c r="Q25" s="355"/>
      <c r="R25" s="355"/>
      <c r="S25" s="355"/>
      <c r="T25" s="355"/>
      <c r="U25" s="355"/>
      <c r="V25" s="355"/>
      <c r="W25" s="355"/>
      <c r="X25" s="355"/>
      <c r="Y25" s="355"/>
      <c r="Z25" s="355"/>
    </row>
    <row r="26" spans="1:26" ht="13.5" customHeight="1" x14ac:dyDescent="0.25">
      <c r="A26" s="461" t="s">
        <v>218</v>
      </c>
      <c r="B26" s="462" t="s">
        <v>330</v>
      </c>
      <c r="C26" s="463"/>
      <c r="D26" s="440">
        <f ca="1">SUMIF(GL!$H:$H,CF!$B26,GL!$E:$E)</f>
        <v>0</v>
      </c>
      <c r="E26" s="355"/>
      <c r="F26" s="355"/>
      <c r="G26" s="355"/>
      <c r="H26" s="355"/>
      <c r="I26" s="355"/>
      <c r="J26" s="355"/>
      <c r="K26" s="355"/>
      <c r="L26" s="355"/>
      <c r="M26" s="355"/>
      <c r="N26" s="355"/>
      <c r="O26" s="355"/>
      <c r="P26" s="355"/>
      <c r="Q26" s="355"/>
      <c r="R26" s="355"/>
      <c r="S26" s="355"/>
      <c r="T26" s="355"/>
      <c r="U26" s="355"/>
      <c r="V26" s="355"/>
      <c r="W26" s="355"/>
      <c r="X26" s="355"/>
      <c r="Y26" s="355"/>
      <c r="Z26" s="355"/>
    </row>
    <row r="27" spans="1:26" ht="13.5" customHeight="1" x14ac:dyDescent="0.25">
      <c r="A27" s="460">
        <v>1.3</v>
      </c>
      <c r="B27" s="458" t="s">
        <v>331</v>
      </c>
      <c r="C27" s="459">
        <f>+C10-C17</f>
        <v>0</v>
      </c>
      <c r="D27" s="434">
        <f ca="1">D10-D17</f>
        <v>-3000000</v>
      </c>
      <c r="E27" s="355"/>
      <c r="F27" s="355"/>
      <c r="G27" s="355"/>
      <c r="H27" s="355"/>
      <c r="I27" s="355"/>
      <c r="J27" s="355"/>
      <c r="K27" s="355"/>
      <c r="L27" s="355"/>
      <c r="M27" s="355"/>
      <c r="N27" s="355"/>
      <c r="O27" s="355"/>
      <c r="P27" s="355"/>
      <c r="Q27" s="355"/>
      <c r="R27" s="355"/>
      <c r="S27" s="355"/>
      <c r="T27" s="355"/>
      <c r="U27" s="355"/>
      <c r="V27" s="355"/>
      <c r="W27" s="355"/>
      <c r="X27" s="355"/>
      <c r="Y27" s="355"/>
      <c r="Z27" s="355"/>
    </row>
    <row r="28" spans="1:26" ht="13.5" customHeight="1" x14ac:dyDescent="0.25">
      <c r="A28" s="457">
        <v>2</v>
      </c>
      <c r="B28" s="458" t="s">
        <v>332</v>
      </c>
      <c r="C28" s="463"/>
      <c r="D28" s="434"/>
      <c r="E28" s="355"/>
      <c r="F28" s="355"/>
      <c r="G28" s="355"/>
      <c r="H28" s="355"/>
      <c r="I28" s="355"/>
      <c r="J28" s="355"/>
      <c r="K28" s="355"/>
      <c r="L28" s="355"/>
      <c r="M28" s="355"/>
      <c r="N28" s="355"/>
      <c r="O28" s="355"/>
      <c r="P28" s="355"/>
      <c r="Q28" s="355"/>
      <c r="R28" s="355"/>
      <c r="S28" s="355"/>
      <c r="T28" s="355"/>
      <c r="U28" s="355"/>
      <c r="V28" s="355"/>
      <c r="W28" s="355"/>
      <c r="X28" s="355"/>
      <c r="Y28" s="355"/>
      <c r="Z28" s="355"/>
    </row>
    <row r="29" spans="1:26" ht="13.5" customHeight="1" x14ac:dyDescent="0.25">
      <c r="A29" s="460">
        <v>2.1</v>
      </c>
      <c r="B29" s="458" t="s">
        <v>315</v>
      </c>
      <c r="C29" s="459">
        <f t="shared" ref="C29" si="1">SUM(C30:C36)</f>
        <v>0</v>
      </c>
      <c r="D29" s="434">
        <f ca="1">SUM(D30:D36)</f>
        <v>60000</v>
      </c>
      <c r="E29" s="355"/>
      <c r="F29" s="355"/>
      <c r="G29" s="355"/>
      <c r="H29" s="355"/>
      <c r="I29" s="355"/>
      <c r="J29" s="355"/>
      <c r="K29" s="355"/>
      <c r="L29" s="355"/>
      <c r="M29" s="355"/>
      <c r="N29" s="355"/>
      <c r="O29" s="355"/>
      <c r="P29" s="355"/>
      <c r="Q29" s="355"/>
      <c r="R29" s="355"/>
      <c r="S29" s="355"/>
      <c r="T29" s="355"/>
      <c r="U29" s="355"/>
      <c r="V29" s="355"/>
      <c r="W29" s="355"/>
      <c r="X29" s="355"/>
      <c r="Y29" s="355"/>
      <c r="Z29" s="355"/>
    </row>
    <row r="30" spans="1:26" ht="13.5" customHeight="1" x14ac:dyDescent="0.25">
      <c r="A30" s="461" t="s">
        <v>224</v>
      </c>
      <c r="B30" s="462" t="s">
        <v>333</v>
      </c>
      <c r="C30" s="463">
        <v>0</v>
      </c>
      <c r="D30" s="440">
        <f ca="1">SUMIF(GL!$H:$H,CF!$B30,GL!$E:$E)</f>
        <v>0</v>
      </c>
      <c r="E30" s="355"/>
      <c r="F30" s="355"/>
      <c r="G30" s="355"/>
      <c r="H30" s="355"/>
      <c r="I30" s="355"/>
      <c r="J30" s="355"/>
      <c r="K30" s="355"/>
      <c r="L30" s="355"/>
      <c r="M30" s="355"/>
      <c r="N30" s="355"/>
      <c r="O30" s="355"/>
      <c r="P30" s="355"/>
      <c r="Q30" s="355"/>
      <c r="R30" s="355"/>
      <c r="S30" s="355"/>
      <c r="T30" s="355"/>
      <c r="U30" s="355"/>
      <c r="V30" s="355"/>
      <c r="W30" s="355"/>
      <c r="X30" s="355"/>
      <c r="Y30" s="355"/>
      <c r="Z30" s="355"/>
    </row>
    <row r="31" spans="1:26" ht="13.5" customHeight="1" x14ac:dyDescent="0.25">
      <c r="A31" s="461" t="s">
        <v>242</v>
      </c>
      <c r="B31" s="462" t="s">
        <v>334</v>
      </c>
      <c r="C31" s="463">
        <v>0</v>
      </c>
      <c r="D31" s="440">
        <f ca="1">SUMIF(GL!$H:$H,CF!$B31,GL!$E:$E)</f>
        <v>0</v>
      </c>
      <c r="E31" s="355"/>
      <c r="F31" s="355"/>
      <c r="G31" s="355"/>
      <c r="H31" s="355"/>
      <c r="I31" s="355"/>
      <c r="J31" s="355"/>
      <c r="K31" s="355"/>
      <c r="L31" s="355"/>
      <c r="M31" s="355"/>
      <c r="N31" s="355"/>
      <c r="O31" s="355"/>
      <c r="P31" s="355"/>
      <c r="Q31" s="355"/>
      <c r="R31" s="355"/>
      <c r="S31" s="355"/>
      <c r="T31" s="355"/>
      <c r="U31" s="355"/>
      <c r="V31" s="355"/>
      <c r="W31" s="355"/>
      <c r="X31" s="355"/>
      <c r="Y31" s="355"/>
      <c r="Z31" s="355"/>
    </row>
    <row r="32" spans="1:26" ht="13.5" customHeight="1" x14ac:dyDescent="0.25">
      <c r="A32" s="461" t="s">
        <v>335</v>
      </c>
      <c r="B32" s="462" t="s">
        <v>336</v>
      </c>
      <c r="C32" s="463">
        <v>0</v>
      </c>
      <c r="D32" s="440">
        <f ca="1">SUMIF(GL!$H:$H,CF!$B32,GL!$E:$E)</f>
        <v>0</v>
      </c>
      <c r="E32" s="355"/>
      <c r="F32" s="355"/>
      <c r="G32" s="355"/>
      <c r="H32" s="355"/>
      <c r="I32" s="355"/>
      <c r="J32" s="355"/>
      <c r="K32" s="355"/>
      <c r="L32" s="355"/>
      <c r="M32" s="355"/>
      <c r="N32" s="355"/>
      <c r="O32" s="355"/>
      <c r="P32" s="355"/>
      <c r="Q32" s="355"/>
      <c r="R32" s="355"/>
      <c r="S32" s="355"/>
      <c r="T32" s="355"/>
      <c r="U32" s="355"/>
      <c r="V32" s="355"/>
      <c r="W32" s="355"/>
      <c r="X32" s="355"/>
      <c r="Y32" s="355"/>
      <c r="Z32" s="355"/>
    </row>
    <row r="33" spans="1:26" ht="13.5" customHeight="1" x14ac:dyDescent="0.25">
      <c r="A33" s="461" t="s">
        <v>337</v>
      </c>
      <c r="B33" s="462" t="s">
        <v>338</v>
      </c>
      <c r="C33" s="463">
        <v>0</v>
      </c>
      <c r="D33" s="440">
        <f ca="1">SUMIF(GL!$H:$H,CF!$B33,GL!$E:$E)</f>
        <v>0</v>
      </c>
      <c r="E33" s="355"/>
      <c r="F33" s="355"/>
      <c r="G33" s="355"/>
      <c r="H33" s="355"/>
      <c r="I33" s="355"/>
      <c r="J33" s="355"/>
      <c r="K33" s="355"/>
      <c r="L33" s="355"/>
      <c r="M33" s="355"/>
      <c r="N33" s="355"/>
      <c r="O33" s="355"/>
      <c r="P33" s="355"/>
      <c r="Q33" s="355"/>
      <c r="R33" s="355"/>
      <c r="S33" s="355"/>
      <c r="T33" s="355"/>
      <c r="U33" s="355"/>
      <c r="V33" s="355"/>
      <c r="W33" s="355"/>
      <c r="X33" s="355"/>
      <c r="Y33" s="355"/>
      <c r="Z33" s="355"/>
    </row>
    <row r="34" spans="1:26" ht="17.25" customHeight="1" x14ac:dyDescent="0.25">
      <c r="A34" s="461" t="s">
        <v>339</v>
      </c>
      <c r="B34" s="462" t="s">
        <v>340</v>
      </c>
      <c r="C34" s="463">
        <v>0</v>
      </c>
      <c r="D34" s="440">
        <f ca="1">SUMIF(GL!$H:$H,CF!$B34,GL!$E:$E)</f>
        <v>0</v>
      </c>
      <c r="E34" s="355"/>
      <c r="F34" s="355"/>
      <c r="G34" s="355"/>
      <c r="H34" s="355"/>
      <c r="I34" s="355"/>
      <c r="J34" s="355"/>
      <c r="K34" s="355"/>
      <c r="L34" s="355"/>
      <c r="M34" s="355"/>
      <c r="N34" s="355"/>
      <c r="O34" s="355"/>
      <c r="P34" s="355"/>
      <c r="Q34" s="355"/>
      <c r="R34" s="355"/>
      <c r="S34" s="355"/>
      <c r="T34" s="355"/>
      <c r="U34" s="355"/>
      <c r="V34" s="355"/>
      <c r="W34" s="355"/>
      <c r="X34" s="355"/>
      <c r="Y34" s="355"/>
      <c r="Z34" s="355"/>
    </row>
    <row r="35" spans="1:26" ht="13.5" customHeight="1" x14ac:dyDescent="0.25">
      <c r="A35" s="461" t="s">
        <v>341</v>
      </c>
      <c r="B35" s="462" t="s">
        <v>342</v>
      </c>
      <c r="C35" s="463">
        <v>0</v>
      </c>
      <c r="D35" s="440">
        <f ca="1">SUMIF(GL!$H:$H,CF!$B35,GL!$E:$E)</f>
        <v>60000</v>
      </c>
      <c r="E35" s="355"/>
      <c r="F35" s="355"/>
      <c r="G35" s="355"/>
      <c r="H35" s="355"/>
      <c r="I35" s="355"/>
      <c r="J35" s="355"/>
      <c r="K35" s="355"/>
      <c r="L35" s="355"/>
      <c r="M35" s="355"/>
      <c r="N35" s="355"/>
      <c r="O35" s="355"/>
      <c r="P35" s="355"/>
      <c r="Q35" s="355"/>
      <c r="R35" s="355"/>
      <c r="S35" s="355"/>
      <c r="T35" s="355"/>
      <c r="U35" s="355"/>
      <c r="V35" s="355"/>
      <c r="W35" s="355"/>
      <c r="X35" s="355"/>
      <c r="Y35" s="355"/>
      <c r="Z35" s="355"/>
    </row>
    <row r="36" spans="1:26" ht="13.5" customHeight="1" x14ac:dyDescent="0.25">
      <c r="A36" s="461" t="s">
        <v>343</v>
      </c>
      <c r="B36" s="462" t="s">
        <v>344</v>
      </c>
      <c r="C36" s="463">
        <v>0</v>
      </c>
      <c r="D36" s="440">
        <f ca="1">SUMIF(GL!$H:$H,CF!$B36,GL!$E:$E)</f>
        <v>0</v>
      </c>
      <c r="E36" s="355"/>
      <c r="F36" s="355"/>
      <c r="G36" s="355"/>
      <c r="H36" s="355"/>
      <c r="I36" s="355"/>
      <c r="J36" s="355"/>
      <c r="K36" s="355"/>
      <c r="L36" s="355"/>
      <c r="M36" s="355"/>
      <c r="N36" s="355"/>
      <c r="O36" s="355"/>
      <c r="P36" s="355"/>
      <c r="Q36" s="355"/>
      <c r="R36" s="355"/>
      <c r="S36" s="355"/>
      <c r="T36" s="355"/>
      <c r="U36" s="355"/>
      <c r="V36" s="355"/>
      <c r="W36" s="355"/>
      <c r="X36" s="355"/>
      <c r="Y36" s="355"/>
      <c r="Z36" s="355"/>
    </row>
    <row r="37" spans="1:26" ht="13.5" customHeight="1" x14ac:dyDescent="0.25">
      <c r="A37" s="460">
        <v>2.2000000000000002</v>
      </c>
      <c r="B37" s="458" t="s">
        <v>321</v>
      </c>
      <c r="C37" s="459">
        <f t="shared" ref="C37" si="2">SUM(C38:C42)</f>
        <v>0</v>
      </c>
      <c r="D37" s="434">
        <f ca="1">SUM(D38:D42)</f>
        <v>0</v>
      </c>
      <c r="E37" s="355"/>
      <c r="F37" s="355"/>
      <c r="G37" s="355"/>
      <c r="H37" s="355"/>
      <c r="I37" s="355"/>
      <c r="J37" s="355"/>
      <c r="K37" s="355"/>
      <c r="L37" s="355"/>
      <c r="M37" s="355"/>
      <c r="N37" s="355"/>
      <c r="O37" s="355"/>
      <c r="P37" s="355"/>
      <c r="Q37" s="355"/>
      <c r="R37" s="355"/>
      <c r="S37" s="355"/>
      <c r="T37" s="355"/>
      <c r="U37" s="355"/>
      <c r="V37" s="355"/>
      <c r="W37" s="355"/>
      <c r="X37" s="355"/>
      <c r="Y37" s="355"/>
      <c r="Z37" s="355"/>
    </row>
    <row r="38" spans="1:26" ht="13.5" customHeight="1" x14ac:dyDescent="0.25">
      <c r="A38" s="461" t="s">
        <v>345</v>
      </c>
      <c r="B38" s="462" t="s">
        <v>346</v>
      </c>
      <c r="C38" s="463"/>
      <c r="D38" s="440">
        <f ca="1">SUMIF(GL!$H:$H,CF!$B38,GL!$E:$E)</f>
        <v>0</v>
      </c>
      <c r="E38" s="355"/>
      <c r="F38" s="355"/>
      <c r="G38" s="355"/>
      <c r="H38" s="355"/>
      <c r="I38" s="355"/>
      <c r="J38" s="355"/>
      <c r="K38" s="355"/>
      <c r="L38" s="355"/>
      <c r="M38" s="355"/>
      <c r="N38" s="355"/>
      <c r="O38" s="355"/>
      <c r="P38" s="355"/>
      <c r="Q38" s="355"/>
      <c r="R38" s="355"/>
      <c r="S38" s="355"/>
      <c r="T38" s="355"/>
      <c r="U38" s="355"/>
      <c r="V38" s="355"/>
      <c r="W38" s="355"/>
      <c r="X38" s="355"/>
      <c r="Y38" s="355"/>
      <c r="Z38" s="355"/>
    </row>
    <row r="39" spans="1:26" ht="13.5" customHeight="1" x14ac:dyDescent="0.25">
      <c r="A39" s="461" t="s">
        <v>347</v>
      </c>
      <c r="B39" s="462" t="s">
        <v>348</v>
      </c>
      <c r="C39" s="463"/>
      <c r="D39" s="440">
        <f ca="1">SUMIF(GL!$H:$H,CF!$B39,GL!$E:$E)</f>
        <v>0</v>
      </c>
      <c r="E39" s="355"/>
      <c r="F39" s="355"/>
      <c r="G39" s="355"/>
      <c r="H39" s="355"/>
      <c r="I39" s="355"/>
      <c r="J39" s="355"/>
      <c r="K39" s="355"/>
      <c r="L39" s="355"/>
      <c r="M39" s="355"/>
      <c r="N39" s="355"/>
      <c r="O39" s="355"/>
      <c r="P39" s="355"/>
      <c r="Q39" s="355"/>
      <c r="R39" s="355"/>
      <c r="S39" s="355"/>
      <c r="T39" s="355"/>
      <c r="U39" s="355"/>
      <c r="V39" s="355"/>
      <c r="W39" s="355"/>
      <c r="X39" s="355"/>
      <c r="Y39" s="355"/>
      <c r="Z39" s="355"/>
    </row>
    <row r="40" spans="1:26" ht="13.5" customHeight="1" x14ac:dyDescent="0.25">
      <c r="A40" s="461" t="s">
        <v>349</v>
      </c>
      <c r="B40" s="462" t="s">
        <v>350</v>
      </c>
      <c r="C40" s="463">
        <v>0</v>
      </c>
      <c r="D40" s="440">
        <f ca="1">SUMIF(GL!$H:$H,CF!$B40,GL!$E:$E)</f>
        <v>0</v>
      </c>
      <c r="E40" s="355"/>
      <c r="F40" s="355"/>
      <c r="G40" s="355"/>
      <c r="H40" s="355"/>
      <c r="I40" s="355"/>
      <c r="J40" s="355"/>
      <c r="K40" s="355"/>
      <c r="L40" s="355"/>
      <c r="M40" s="355"/>
      <c r="N40" s="355"/>
      <c r="O40" s="355"/>
      <c r="P40" s="355"/>
      <c r="Q40" s="355"/>
      <c r="R40" s="355"/>
      <c r="S40" s="355"/>
      <c r="T40" s="355"/>
      <c r="U40" s="355"/>
      <c r="V40" s="355"/>
      <c r="W40" s="355"/>
      <c r="X40" s="355"/>
      <c r="Y40" s="355"/>
      <c r="Z40" s="355"/>
    </row>
    <row r="41" spans="1:26" ht="13.5" customHeight="1" x14ac:dyDescent="0.25">
      <c r="A41" s="461" t="s">
        <v>351</v>
      </c>
      <c r="B41" s="462" t="s">
        <v>352</v>
      </c>
      <c r="C41" s="463"/>
      <c r="D41" s="440">
        <f ca="1">SUMIF(GL!$H:$H,CF!$B41,GL!$E:$E)</f>
        <v>0</v>
      </c>
      <c r="E41" s="355"/>
      <c r="F41" s="355"/>
      <c r="G41" s="355"/>
      <c r="H41" s="355"/>
      <c r="I41" s="355"/>
      <c r="J41" s="355"/>
      <c r="K41" s="355"/>
      <c r="L41" s="355"/>
      <c r="M41" s="355"/>
      <c r="N41" s="355"/>
      <c r="O41" s="355"/>
      <c r="P41" s="355"/>
      <c r="Q41" s="355"/>
      <c r="R41" s="355"/>
      <c r="S41" s="355"/>
      <c r="T41" s="355"/>
      <c r="U41" s="355"/>
      <c r="V41" s="355"/>
      <c r="W41" s="355"/>
      <c r="X41" s="355"/>
      <c r="Y41" s="355"/>
      <c r="Z41" s="355"/>
    </row>
    <row r="42" spans="1:26" ht="13.5" customHeight="1" x14ac:dyDescent="0.25">
      <c r="A42" s="461" t="s">
        <v>353</v>
      </c>
      <c r="B42" s="462" t="s">
        <v>354</v>
      </c>
      <c r="C42" s="463">
        <v>0</v>
      </c>
      <c r="D42" s="440">
        <f ca="1">SUMIF(GL!$H:$H,CF!$B42,GL!$E:$E)</f>
        <v>0</v>
      </c>
      <c r="E42" s="355"/>
      <c r="F42" s="355"/>
      <c r="G42" s="355"/>
      <c r="H42" s="355"/>
      <c r="I42" s="355"/>
      <c r="J42" s="355"/>
      <c r="K42" s="355"/>
      <c r="L42" s="355"/>
      <c r="M42" s="355"/>
      <c r="N42" s="355"/>
      <c r="O42" s="355"/>
      <c r="P42" s="355"/>
      <c r="Q42" s="355"/>
      <c r="R42" s="355"/>
      <c r="S42" s="355"/>
      <c r="T42" s="355"/>
      <c r="U42" s="355"/>
      <c r="V42" s="355"/>
      <c r="W42" s="355"/>
      <c r="X42" s="355"/>
      <c r="Y42" s="355"/>
      <c r="Z42" s="355"/>
    </row>
    <row r="43" spans="1:26" ht="13.5" customHeight="1" x14ac:dyDescent="0.25">
      <c r="A43" s="460">
        <v>2.2999999999999998</v>
      </c>
      <c r="B43" s="458" t="s">
        <v>332</v>
      </c>
      <c r="C43" s="465">
        <f>+C29-C37</f>
        <v>0</v>
      </c>
      <c r="D43" s="466">
        <f ca="1">D29-D37</f>
        <v>60000</v>
      </c>
      <c r="E43" s="355"/>
      <c r="F43" s="355"/>
      <c r="G43" s="355"/>
      <c r="H43" s="355"/>
      <c r="I43" s="355"/>
      <c r="J43" s="355"/>
      <c r="K43" s="355"/>
      <c r="L43" s="355"/>
      <c r="M43" s="355"/>
      <c r="N43" s="355"/>
      <c r="O43" s="355"/>
      <c r="P43" s="355"/>
      <c r="Q43" s="355"/>
      <c r="R43" s="355"/>
      <c r="S43" s="355"/>
      <c r="T43" s="355"/>
      <c r="U43" s="355"/>
      <c r="V43" s="355"/>
      <c r="W43" s="355"/>
      <c r="X43" s="355"/>
      <c r="Y43" s="355"/>
      <c r="Z43" s="355"/>
    </row>
    <row r="44" spans="1:26" ht="13.5" customHeight="1" x14ac:dyDescent="0.25">
      <c r="A44" s="457">
        <v>3</v>
      </c>
      <c r="B44" s="458" t="s">
        <v>355</v>
      </c>
      <c r="C44" s="459">
        <f>+C45-C49</f>
        <v>0</v>
      </c>
      <c r="D44" s="434"/>
      <c r="E44" s="355"/>
      <c r="F44" s="355"/>
      <c r="G44" s="355"/>
      <c r="H44" s="355"/>
      <c r="I44" s="355"/>
      <c r="J44" s="355"/>
      <c r="K44" s="355"/>
      <c r="L44" s="355"/>
      <c r="M44" s="355"/>
      <c r="N44" s="355"/>
      <c r="O44" s="355"/>
      <c r="P44" s="355"/>
      <c r="Q44" s="355"/>
      <c r="R44" s="355"/>
      <c r="S44" s="355"/>
      <c r="T44" s="355"/>
      <c r="U44" s="355"/>
      <c r="V44" s="355"/>
      <c r="W44" s="355"/>
      <c r="X44" s="355"/>
      <c r="Y44" s="355"/>
      <c r="Z44" s="355"/>
    </row>
    <row r="45" spans="1:26" ht="13.5" customHeight="1" x14ac:dyDescent="0.25">
      <c r="A45" s="460">
        <v>3.1</v>
      </c>
      <c r="B45" s="458" t="s">
        <v>315</v>
      </c>
      <c r="C45" s="463">
        <f t="shared" ref="C45" si="3">SUM(C46:C48)</f>
        <v>0</v>
      </c>
      <c r="D45" s="434">
        <f ca="1">SUM(D46:D48)</f>
        <v>0</v>
      </c>
      <c r="E45" s="355"/>
      <c r="F45" s="355"/>
      <c r="G45" s="355"/>
      <c r="H45" s="355"/>
      <c r="I45" s="355"/>
      <c r="J45" s="355"/>
      <c r="K45" s="355"/>
      <c r="L45" s="355"/>
      <c r="M45" s="355"/>
      <c r="N45" s="355"/>
      <c r="O45" s="355"/>
      <c r="P45" s="355"/>
      <c r="Q45" s="355"/>
      <c r="R45" s="355"/>
      <c r="S45" s="355"/>
      <c r="T45" s="355"/>
      <c r="U45" s="355"/>
      <c r="V45" s="355"/>
      <c r="W45" s="355"/>
      <c r="X45" s="355"/>
      <c r="Y45" s="355"/>
      <c r="Z45" s="355"/>
    </row>
    <row r="46" spans="1:26" ht="13.5" customHeight="1" x14ac:dyDescent="0.25">
      <c r="A46" s="461" t="s">
        <v>356</v>
      </c>
      <c r="B46" s="462" t="s">
        <v>357</v>
      </c>
      <c r="C46" s="463"/>
      <c r="D46" s="440">
        <f ca="1">SUMIF(GL!$H:$H,CF!$B46,GL!$E:$E)</f>
        <v>0</v>
      </c>
      <c r="E46" s="355"/>
      <c r="F46" s="355"/>
      <c r="G46" s="355"/>
      <c r="H46" s="355"/>
      <c r="I46" s="355"/>
      <c r="J46" s="355"/>
      <c r="K46" s="355"/>
      <c r="L46" s="355"/>
      <c r="M46" s="355"/>
      <c r="N46" s="355"/>
      <c r="O46" s="355"/>
      <c r="P46" s="355"/>
      <c r="Q46" s="355"/>
      <c r="R46" s="355"/>
      <c r="S46" s="355"/>
      <c r="T46" s="355"/>
      <c r="U46" s="355"/>
      <c r="V46" s="355"/>
      <c r="W46" s="355"/>
      <c r="X46" s="355"/>
      <c r="Y46" s="355"/>
      <c r="Z46" s="355"/>
    </row>
    <row r="47" spans="1:26" ht="13.5" customHeight="1" x14ac:dyDescent="0.25">
      <c r="A47" s="461" t="s">
        <v>358</v>
      </c>
      <c r="B47" s="462" t="s">
        <v>359</v>
      </c>
      <c r="C47" s="463">
        <v>0</v>
      </c>
      <c r="D47" s="440">
        <f ca="1">SUMIF(GL!$H:$H,CF!$B47,GL!$E:$E)</f>
        <v>0</v>
      </c>
      <c r="E47" s="355"/>
      <c r="F47" s="355"/>
      <c r="G47" s="355"/>
      <c r="H47" s="355"/>
      <c r="I47" s="355"/>
      <c r="J47" s="355"/>
      <c r="K47" s="355"/>
      <c r="L47" s="355"/>
      <c r="M47" s="355"/>
      <c r="N47" s="355"/>
      <c r="O47" s="355"/>
      <c r="P47" s="355"/>
      <c r="Q47" s="355"/>
      <c r="R47" s="355"/>
      <c r="S47" s="355"/>
      <c r="T47" s="355"/>
      <c r="U47" s="355"/>
      <c r="V47" s="355"/>
      <c r="W47" s="355"/>
      <c r="X47" s="355"/>
      <c r="Y47" s="355"/>
      <c r="Z47" s="355"/>
    </row>
    <row r="48" spans="1:26" ht="13.5" customHeight="1" x14ac:dyDescent="0.25">
      <c r="A48" s="461" t="s">
        <v>360</v>
      </c>
      <c r="B48" s="462" t="s">
        <v>361</v>
      </c>
      <c r="C48" s="463">
        <v>0</v>
      </c>
      <c r="D48" s="440">
        <f ca="1">SUMIF(GL!$H:$H,CF!$B48,GL!$E:$E)</f>
        <v>0</v>
      </c>
      <c r="E48" s="355"/>
      <c r="F48" s="355"/>
      <c r="G48" s="355"/>
      <c r="H48" s="355"/>
      <c r="I48" s="355"/>
      <c r="J48" s="355"/>
      <c r="K48" s="355"/>
      <c r="L48" s="355"/>
      <c r="M48" s="355"/>
      <c r="N48" s="355"/>
      <c r="O48" s="355"/>
      <c r="P48" s="355"/>
      <c r="Q48" s="355"/>
      <c r="R48" s="355"/>
      <c r="S48" s="355"/>
      <c r="T48" s="355"/>
      <c r="U48" s="355"/>
      <c r="V48" s="355"/>
      <c r="W48" s="355"/>
      <c r="X48" s="355"/>
      <c r="Y48" s="355"/>
      <c r="Z48" s="355"/>
    </row>
    <row r="49" spans="1:26" ht="13.5" customHeight="1" x14ac:dyDescent="0.25">
      <c r="A49" s="460">
        <v>3.2</v>
      </c>
      <c r="B49" s="458" t="s">
        <v>321</v>
      </c>
      <c r="C49" s="463">
        <f t="shared" ref="C49" si="4">SUM(C50:C53)</f>
        <v>0</v>
      </c>
      <c r="D49" s="434">
        <f ca="1">SUM(D50:D53)</f>
        <v>0</v>
      </c>
      <c r="E49" s="355"/>
      <c r="F49" s="355"/>
      <c r="G49" s="355"/>
      <c r="H49" s="355"/>
      <c r="I49" s="355"/>
      <c r="J49" s="355"/>
      <c r="K49" s="355"/>
      <c r="L49" s="355"/>
      <c r="M49" s="355"/>
      <c r="N49" s="355"/>
      <c r="O49" s="355"/>
      <c r="P49" s="355"/>
      <c r="Q49" s="355"/>
      <c r="R49" s="355"/>
      <c r="S49" s="355"/>
      <c r="T49" s="355"/>
      <c r="U49" s="355"/>
      <c r="V49" s="355"/>
      <c r="W49" s="355"/>
      <c r="X49" s="355"/>
      <c r="Y49" s="355"/>
      <c r="Z49" s="355"/>
    </row>
    <row r="50" spans="1:26" ht="14.25" customHeight="1" x14ac:dyDescent="0.25">
      <c r="A50" s="461" t="s">
        <v>362</v>
      </c>
      <c r="B50" s="462" t="s">
        <v>363</v>
      </c>
      <c r="C50" s="463">
        <v>0</v>
      </c>
      <c r="D50" s="440">
        <f ca="1">SUMIF(GL!$H:$H,CF!$B50,GL!$E:$E)</f>
        <v>0</v>
      </c>
      <c r="E50" s="355"/>
      <c r="F50" s="355"/>
      <c r="G50" s="355"/>
      <c r="H50" s="355"/>
      <c r="I50" s="355"/>
      <c r="J50" s="355"/>
      <c r="K50" s="355"/>
      <c r="L50" s="355"/>
      <c r="M50" s="355"/>
      <c r="N50" s="355"/>
      <c r="O50" s="355"/>
      <c r="P50" s="355"/>
      <c r="Q50" s="355"/>
      <c r="R50" s="355"/>
      <c r="S50" s="355"/>
      <c r="T50" s="355"/>
      <c r="U50" s="355"/>
      <c r="V50" s="355"/>
      <c r="W50" s="355"/>
      <c r="X50" s="355"/>
      <c r="Y50" s="355"/>
      <c r="Z50" s="355"/>
    </row>
    <row r="51" spans="1:26" ht="13.5" customHeight="1" x14ac:dyDescent="0.25">
      <c r="A51" s="461" t="s">
        <v>364</v>
      </c>
      <c r="B51" s="462" t="s">
        <v>365</v>
      </c>
      <c r="C51" s="463">
        <v>0</v>
      </c>
      <c r="D51" s="440">
        <f ca="1">SUMIF(GL!$H:$H,CF!$B51,GL!$E:$E)</f>
        <v>0</v>
      </c>
      <c r="E51" s="355"/>
      <c r="F51" s="355"/>
      <c r="G51" s="355"/>
      <c r="H51" s="355"/>
      <c r="I51" s="355"/>
      <c r="J51" s="355"/>
      <c r="K51" s="355"/>
      <c r="L51" s="355"/>
      <c r="M51" s="355"/>
      <c r="N51" s="355"/>
      <c r="O51" s="355"/>
      <c r="P51" s="355"/>
      <c r="Q51" s="355"/>
      <c r="R51" s="355"/>
      <c r="S51" s="355"/>
      <c r="T51" s="355"/>
      <c r="U51" s="355"/>
      <c r="V51" s="355"/>
      <c r="W51" s="355"/>
      <c r="X51" s="355"/>
      <c r="Y51" s="355"/>
      <c r="Z51" s="355"/>
    </row>
    <row r="52" spans="1:26" ht="13.5" customHeight="1" x14ac:dyDescent="0.25">
      <c r="A52" s="461" t="s">
        <v>366</v>
      </c>
      <c r="B52" s="462" t="s">
        <v>367</v>
      </c>
      <c r="C52" s="463">
        <v>0</v>
      </c>
      <c r="D52" s="440">
        <f ca="1">SUMIF(GL!$H:$H,CF!$B52,GL!$E:$E)</f>
        <v>0</v>
      </c>
      <c r="E52" s="355"/>
      <c r="F52" s="355"/>
      <c r="G52" s="355"/>
      <c r="H52" s="355"/>
      <c r="I52" s="355"/>
      <c r="J52" s="355"/>
      <c r="K52" s="355"/>
      <c r="L52" s="355"/>
      <c r="M52" s="355"/>
      <c r="N52" s="355"/>
      <c r="O52" s="355"/>
      <c r="P52" s="355"/>
      <c r="Q52" s="355"/>
      <c r="R52" s="355"/>
      <c r="S52" s="355"/>
      <c r="T52" s="355"/>
      <c r="U52" s="355"/>
      <c r="V52" s="355"/>
      <c r="W52" s="355"/>
      <c r="X52" s="355"/>
      <c r="Y52" s="355"/>
      <c r="Z52" s="355"/>
    </row>
    <row r="53" spans="1:26" ht="13.5" customHeight="1" x14ac:dyDescent="0.25">
      <c r="A53" s="461" t="s">
        <v>368</v>
      </c>
      <c r="B53" s="462" t="s">
        <v>369</v>
      </c>
      <c r="C53" s="463">
        <v>0</v>
      </c>
      <c r="D53" s="440">
        <f ca="1">SUMIF(GL!$H:$H,CF!$B53,GL!$E:$E)</f>
        <v>0</v>
      </c>
      <c r="E53" s="355"/>
      <c r="F53" s="355"/>
      <c r="G53" s="355"/>
      <c r="H53" s="355"/>
      <c r="I53" s="355"/>
      <c r="J53" s="355"/>
      <c r="K53" s="355"/>
      <c r="L53" s="355"/>
      <c r="M53" s="355"/>
      <c r="N53" s="355"/>
      <c r="O53" s="355"/>
      <c r="P53" s="355"/>
      <c r="Q53" s="355"/>
      <c r="R53" s="355"/>
      <c r="S53" s="355"/>
      <c r="T53" s="355"/>
      <c r="U53" s="355"/>
      <c r="V53" s="355"/>
      <c r="W53" s="355"/>
      <c r="X53" s="355"/>
      <c r="Y53" s="355"/>
      <c r="Z53" s="355"/>
    </row>
    <row r="54" spans="1:26" ht="13.5" customHeight="1" x14ac:dyDescent="0.25">
      <c r="A54" s="460">
        <v>3.3</v>
      </c>
      <c r="B54" s="458" t="s">
        <v>370</v>
      </c>
      <c r="C54" s="463">
        <f>+C45-C49</f>
        <v>0</v>
      </c>
      <c r="D54" s="434">
        <f ca="1">D45-D49</f>
        <v>0</v>
      </c>
      <c r="E54" s="355"/>
      <c r="F54" s="355"/>
      <c r="G54" s="355"/>
      <c r="H54" s="355"/>
      <c r="I54" s="355"/>
      <c r="J54" s="355"/>
      <c r="K54" s="355"/>
      <c r="L54" s="355"/>
      <c r="M54" s="355"/>
      <c r="N54" s="355"/>
      <c r="O54" s="355"/>
      <c r="P54" s="355"/>
      <c r="Q54" s="355"/>
      <c r="R54" s="355"/>
      <c r="S54" s="355"/>
      <c r="T54" s="355"/>
      <c r="U54" s="355"/>
      <c r="V54" s="355"/>
      <c r="W54" s="355"/>
      <c r="X54" s="355"/>
      <c r="Y54" s="355"/>
      <c r="Z54" s="355"/>
    </row>
    <row r="55" spans="1:26" ht="13.5" customHeight="1" x14ac:dyDescent="0.25">
      <c r="A55" s="457">
        <v>4</v>
      </c>
      <c r="B55" s="462" t="s">
        <v>371</v>
      </c>
      <c r="C55" s="463"/>
      <c r="D55" s="440">
        <f ca="1">SUMIF(GL!$H:$H,CF!$B55,GL!$E:$E)</f>
        <v>0</v>
      </c>
      <c r="E55" s="355"/>
      <c r="F55" s="355"/>
      <c r="G55" s="355"/>
      <c r="H55" s="355"/>
      <c r="I55" s="355"/>
      <c r="J55" s="355"/>
      <c r="K55" s="355"/>
      <c r="L55" s="355"/>
      <c r="M55" s="355"/>
      <c r="N55" s="355"/>
      <c r="O55" s="355"/>
      <c r="P55" s="355"/>
      <c r="Q55" s="355"/>
      <c r="R55" s="355"/>
      <c r="S55" s="355"/>
      <c r="T55" s="355"/>
      <c r="U55" s="355"/>
      <c r="V55" s="355"/>
      <c r="W55" s="355"/>
      <c r="X55" s="355"/>
      <c r="Y55" s="355"/>
      <c r="Z55" s="355"/>
    </row>
    <row r="56" spans="1:26" ht="13.5" customHeight="1" x14ac:dyDescent="0.25">
      <c r="A56" s="460">
        <v>4.0999999999999996</v>
      </c>
      <c r="B56" s="458" t="s">
        <v>372</v>
      </c>
      <c r="C56" s="459">
        <f>+C55+C54+C27+C43</f>
        <v>0</v>
      </c>
      <c r="D56" s="434">
        <f ca="1">D27+D43+D54+D55</f>
        <v>-2940000</v>
      </c>
      <c r="E56" s="355"/>
      <c r="F56" s="355"/>
      <c r="G56" s="355"/>
      <c r="H56" s="355"/>
      <c r="I56" s="355"/>
      <c r="J56" s="355"/>
      <c r="K56" s="355"/>
      <c r="L56" s="355"/>
      <c r="M56" s="355"/>
      <c r="N56" s="355"/>
      <c r="O56" s="355"/>
      <c r="P56" s="355"/>
      <c r="Q56" s="355"/>
      <c r="R56" s="355"/>
      <c r="S56" s="355"/>
      <c r="T56" s="355"/>
      <c r="U56" s="355"/>
      <c r="V56" s="355"/>
      <c r="W56" s="355"/>
      <c r="X56" s="355"/>
      <c r="Y56" s="355"/>
      <c r="Z56" s="355"/>
    </row>
    <row r="57" spans="1:26" ht="13.5" customHeight="1" x14ac:dyDescent="0.25">
      <c r="A57" s="457">
        <v>5</v>
      </c>
      <c r="B57" s="458" t="s">
        <v>373</v>
      </c>
      <c r="C57" s="459"/>
      <c r="D57" s="434">
        <f>BS!$C$11</f>
        <v>3850000</v>
      </c>
      <c r="E57" s="355"/>
      <c r="F57" s="355"/>
      <c r="G57" s="355"/>
      <c r="H57" s="355"/>
      <c r="I57" s="355"/>
      <c r="J57" s="355"/>
      <c r="K57" s="355"/>
      <c r="L57" s="355"/>
      <c r="M57" s="355"/>
      <c r="N57" s="355"/>
      <c r="O57" s="355"/>
      <c r="P57" s="355"/>
      <c r="Q57" s="355"/>
      <c r="R57" s="355"/>
      <c r="S57" s="355"/>
      <c r="T57" s="355"/>
      <c r="U57" s="355"/>
      <c r="V57" s="355"/>
      <c r="W57" s="355"/>
      <c r="X57" s="355"/>
      <c r="Y57" s="355"/>
      <c r="Z57" s="355"/>
    </row>
    <row r="58" spans="1:26" ht="13.5" customHeight="1" x14ac:dyDescent="0.25">
      <c r="A58" s="457">
        <v>6</v>
      </c>
      <c r="B58" s="458" t="s">
        <v>374</v>
      </c>
      <c r="C58" s="459">
        <f>BS!$C$11</f>
        <v>3850000</v>
      </c>
      <c r="D58" s="434">
        <f>BS!$D$11</f>
        <v>10910000</v>
      </c>
      <c r="E58" s="355"/>
      <c r="F58" s="355"/>
      <c r="G58" s="355"/>
      <c r="H58" s="355"/>
      <c r="I58" s="355"/>
      <c r="J58" s="355"/>
      <c r="K58" s="355"/>
      <c r="L58" s="355"/>
      <c r="M58" s="355"/>
      <c r="N58" s="355"/>
      <c r="O58" s="355"/>
      <c r="P58" s="355"/>
      <c r="Q58" s="355"/>
      <c r="R58" s="355"/>
      <c r="S58" s="355"/>
      <c r="T58" s="355"/>
      <c r="U58" s="355"/>
      <c r="V58" s="355"/>
      <c r="W58" s="355"/>
      <c r="X58" s="355"/>
      <c r="Y58" s="355"/>
      <c r="Z58" s="355"/>
    </row>
    <row r="59" spans="1:26" ht="13.5" customHeight="1" x14ac:dyDescent="0.25">
      <c r="A59" s="467"/>
      <c r="B59" s="468"/>
      <c r="C59" s="469"/>
      <c r="D59" s="360"/>
      <c r="E59" s="355"/>
      <c r="F59" s="355"/>
      <c r="G59" s="355"/>
      <c r="H59" s="355"/>
      <c r="I59" s="355"/>
      <c r="J59" s="355"/>
      <c r="K59" s="355"/>
      <c r="L59" s="355"/>
      <c r="M59" s="355"/>
      <c r="N59" s="355"/>
      <c r="O59" s="355"/>
      <c r="P59" s="355"/>
      <c r="Q59" s="355"/>
      <c r="R59" s="355"/>
      <c r="S59" s="355"/>
      <c r="T59" s="355"/>
      <c r="U59" s="355"/>
      <c r="V59" s="355"/>
      <c r="W59" s="355"/>
      <c r="X59" s="355"/>
      <c r="Y59" s="355"/>
      <c r="Z59" s="355"/>
    </row>
    <row r="60" spans="1:26" ht="13.5" customHeight="1" x14ac:dyDescent="0.25">
      <c r="A60" s="467"/>
      <c r="B60" s="468"/>
      <c r="C60" s="450"/>
      <c r="D60" s="360"/>
      <c r="E60" s="355"/>
      <c r="F60" s="355"/>
      <c r="G60" s="355"/>
      <c r="H60" s="355"/>
      <c r="I60" s="355"/>
      <c r="J60" s="355"/>
      <c r="K60" s="355"/>
      <c r="L60" s="355"/>
      <c r="M60" s="355"/>
      <c r="N60" s="355"/>
      <c r="O60" s="355"/>
      <c r="P60" s="355"/>
      <c r="Q60" s="355"/>
      <c r="R60" s="355"/>
      <c r="S60" s="355"/>
      <c r="T60" s="355"/>
      <c r="U60" s="355"/>
      <c r="V60" s="355"/>
      <c r="W60" s="355"/>
      <c r="X60" s="355"/>
      <c r="Y60" s="355"/>
      <c r="Z60" s="355"/>
    </row>
    <row r="61" spans="1:26" ht="13.5" customHeight="1" x14ac:dyDescent="0.25">
      <c r="A61" s="467"/>
      <c r="B61" s="356" t="str">
        <f>BS!B74</f>
        <v>Захирал:</v>
      </c>
      <c r="C61" s="355" t="str">
        <f>Info!F7</f>
        <v>Ш,Азура</v>
      </c>
      <c r="D61" s="354"/>
      <c r="E61" s="355"/>
      <c r="F61" s="355"/>
      <c r="G61" s="355"/>
      <c r="H61" s="355"/>
      <c r="I61" s="355"/>
      <c r="J61" s="355"/>
      <c r="K61" s="355"/>
      <c r="L61" s="355"/>
      <c r="M61" s="355"/>
      <c r="N61" s="355"/>
      <c r="O61" s="355"/>
      <c r="P61" s="355"/>
      <c r="Q61" s="355"/>
      <c r="R61" s="355"/>
      <c r="S61" s="355"/>
      <c r="T61" s="355"/>
      <c r="U61" s="355"/>
      <c r="V61" s="355"/>
      <c r="W61" s="355"/>
      <c r="X61" s="355"/>
      <c r="Y61" s="355"/>
      <c r="Z61" s="355"/>
    </row>
    <row r="62" spans="1:26" ht="13.5" customHeight="1" x14ac:dyDescent="0.25">
      <c r="A62" s="382"/>
      <c r="D62" s="422"/>
      <c r="E62" s="355"/>
      <c r="F62" s="355"/>
      <c r="G62" s="355"/>
      <c r="H62" s="355"/>
      <c r="I62" s="355"/>
      <c r="J62" s="355"/>
      <c r="K62" s="355"/>
      <c r="L62" s="355"/>
      <c r="M62" s="355"/>
      <c r="N62" s="355"/>
      <c r="O62" s="355"/>
      <c r="P62" s="355"/>
      <c r="Q62" s="355"/>
      <c r="R62" s="355"/>
      <c r="S62" s="355"/>
      <c r="T62" s="355"/>
      <c r="U62" s="355"/>
      <c r="V62" s="355"/>
      <c r="W62" s="355"/>
      <c r="X62" s="355"/>
      <c r="Y62" s="355"/>
      <c r="Z62" s="355"/>
    </row>
    <row r="63" spans="1:26" ht="13.5" customHeight="1" x14ac:dyDescent="0.25">
      <c r="A63" s="382"/>
      <c r="C63" s="470"/>
      <c r="D63" s="354"/>
      <c r="E63" s="355"/>
      <c r="F63" s="355"/>
      <c r="G63" s="355"/>
      <c r="H63" s="355"/>
      <c r="I63" s="355"/>
      <c r="J63" s="355"/>
      <c r="K63" s="355"/>
      <c r="L63" s="355"/>
      <c r="M63" s="355"/>
      <c r="N63" s="355"/>
      <c r="O63" s="355"/>
      <c r="P63" s="355"/>
      <c r="Q63" s="355"/>
      <c r="R63" s="355"/>
      <c r="S63" s="355"/>
      <c r="T63" s="355"/>
      <c r="U63" s="355"/>
      <c r="V63" s="355"/>
      <c r="W63" s="355"/>
      <c r="X63" s="355"/>
      <c r="Y63" s="355"/>
      <c r="Z63" s="355"/>
    </row>
    <row r="64" spans="1:26" ht="13.5" customHeight="1" x14ac:dyDescent="0.25">
      <c r="A64" s="382"/>
      <c r="B64" s="356" t="str">
        <f>BS!B77</f>
        <v>Ерөнхий нягтлан бодогч:</v>
      </c>
      <c r="C64" s="470" t="str">
        <f>Info!F8</f>
        <v>С.Одзаяа</v>
      </c>
      <c r="D64" s="354"/>
      <c r="E64" s="355"/>
      <c r="F64" s="355"/>
      <c r="G64" s="355"/>
      <c r="H64" s="355"/>
      <c r="I64" s="355"/>
      <c r="J64" s="355"/>
      <c r="K64" s="355"/>
      <c r="L64" s="355"/>
      <c r="M64" s="355"/>
      <c r="N64" s="355"/>
      <c r="O64" s="355"/>
      <c r="P64" s="355"/>
      <c r="Q64" s="355"/>
      <c r="R64" s="355"/>
      <c r="S64" s="355"/>
      <c r="T64" s="355"/>
      <c r="U64" s="355"/>
      <c r="V64" s="355"/>
      <c r="W64" s="355"/>
      <c r="X64" s="355"/>
      <c r="Y64" s="355"/>
      <c r="Z64" s="355"/>
    </row>
    <row r="65" spans="1:26" ht="13.5" customHeight="1" x14ac:dyDescent="0.25">
      <c r="A65" s="382"/>
      <c r="C65" s="471" t="s">
        <v>995</v>
      </c>
      <c r="D65" s="354">
        <f>D58-D57</f>
        <v>7060000</v>
      </c>
      <c r="E65" s="355"/>
      <c r="F65" s="355"/>
      <c r="G65" s="355"/>
      <c r="H65" s="355"/>
      <c r="I65" s="355"/>
      <c r="J65" s="355"/>
      <c r="K65" s="355"/>
      <c r="L65" s="355"/>
      <c r="M65" s="355"/>
      <c r="N65" s="355"/>
      <c r="O65" s="355"/>
      <c r="P65" s="355"/>
      <c r="Q65" s="355"/>
      <c r="R65" s="355"/>
      <c r="S65" s="355"/>
      <c r="T65" s="355"/>
      <c r="U65" s="355"/>
      <c r="V65" s="355"/>
      <c r="W65" s="355"/>
      <c r="X65" s="355"/>
      <c r="Y65" s="355"/>
      <c r="Z65" s="355"/>
    </row>
    <row r="66" spans="1:26" ht="13.5" customHeight="1" x14ac:dyDescent="0.25">
      <c r="A66" s="382"/>
      <c r="B66" s="424"/>
      <c r="C66" s="472" t="s">
        <v>375</v>
      </c>
      <c r="D66" s="473">
        <f ca="1">D56-D65</f>
        <v>-10000000</v>
      </c>
      <c r="E66" s="355"/>
      <c r="F66" s="355"/>
      <c r="G66" s="355"/>
      <c r="H66" s="355"/>
      <c r="I66" s="355"/>
      <c r="J66" s="355"/>
      <c r="K66" s="355"/>
      <c r="L66" s="355"/>
      <c r="M66" s="355"/>
      <c r="N66" s="355"/>
      <c r="O66" s="355"/>
      <c r="P66" s="355"/>
      <c r="Q66" s="355"/>
      <c r="R66" s="355"/>
      <c r="S66" s="355"/>
      <c r="T66" s="355"/>
      <c r="U66" s="355"/>
      <c r="V66" s="355"/>
      <c r="W66" s="355"/>
      <c r="X66" s="355"/>
      <c r="Y66" s="355"/>
      <c r="Z66" s="355"/>
    </row>
    <row r="67" spans="1:26" ht="13.5" customHeight="1" x14ac:dyDescent="0.25">
      <c r="A67" s="382"/>
      <c r="B67" s="355"/>
      <c r="C67" s="450"/>
      <c r="D67" s="450"/>
      <c r="E67" s="355"/>
      <c r="F67" s="355"/>
      <c r="G67" s="355"/>
      <c r="H67" s="355"/>
      <c r="I67" s="355"/>
      <c r="J67" s="355"/>
      <c r="K67" s="355"/>
      <c r="L67" s="355"/>
      <c r="M67" s="355"/>
      <c r="N67" s="355"/>
      <c r="O67" s="355"/>
      <c r="P67" s="355"/>
      <c r="Q67" s="355"/>
      <c r="R67" s="355"/>
      <c r="S67" s="355"/>
      <c r="T67" s="355"/>
      <c r="U67" s="355"/>
      <c r="V67" s="355"/>
      <c r="W67" s="355"/>
      <c r="X67" s="355"/>
      <c r="Y67" s="355"/>
      <c r="Z67" s="355"/>
    </row>
    <row r="68" spans="1:26" ht="13.5" customHeight="1" x14ac:dyDescent="0.25">
      <c r="A68" s="382"/>
      <c r="B68" s="355"/>
      <c r="C68" s="450"/>
      <c r="D68" s="450"/>
      <c r="E68" s="355"/>
      <c r="F68" s="355"/>
      <c r="G68" s="355"/>
      <c r="H68" s="355"/>
      <c r="I68" s="355"/>
      <c r="J68" s="355"/>
      <c r="K68" s="355"/>
      <c r="L68" s="355"/>
      <c r="M68" s="355"/>
      <c r="N68" s="355"/>
      <c r="O68" s="355"/>
      <c r="P68" s="355"/>
      <c r="Q68" s="355"/>
      <c r="R68" s="355"/>
      <c r="S68" s="355"/>
      <c r="T68" s="355"/>
      <c r="U68" s="355"/>
      <c r="V68" s="355"/>
      <c r="W68" s="355"/>
      <c r="X68" s="355"/>
      <c r="Y68" s="355"/>
      <c r="Z68" s="355"/>
    </row>
    <row r="69" spans="1:26" ht="13.5" customHeight="1" x14ac:dyDescent="0.25">
      <c r="A69" s="382"/>
      <c r="B69" s="355"/>
      <c r="C69" s="450"/>
      <c r="D69" s="450"/>
      <c r="E69" s="355"/>
      <c r="F69" s="355"/>
      <c r="G69" s="355"/>
      <c r="H69" s="355"/>
      <c r="I69" s="355"/>
      <c r="J69" s="355"/>
      <c r="K69" s="355"/>
      <c r="L69" s="355"/>
      <c r="M69" s="355"/>
      <c r="N69" s="355"/>
      <c r="O69" s="355"/>
      <c r="P69" s="355"/>
      <c r="Q69" s="355"/>
      <c r="R69" s="355"/>
      <c r="S69" s="355"/>
      <c r="T69" s="355"/>
      <c r="U69" s="355"/>
      <c r="V69" s="355"/>
      <c r="W69" s="355"/>
      <c r="X69" s="355"/>
      <c r="Y69" s="355"/>
      <c r="Z69" s="355"/>
    </row>
    <row r="70" spans="1:26" ht="13.5" customHeight="1" x14ac:dyDescent="0.25">
      <c r="A70" s="382"/>
      <c r="B70" s="355"/>
      <c r="C70" s="450"/>
      <c r="D70" s="450"/>
      <c r="E70" s="355"/>
      <c r="F70" s="355"/>
      <c r="G70" s="355"/>
      <c r="H70" s="355"/>
      <c r="I70" s="355"/>
      <c r="J70" s="355"/>
      <c r="K70" s="355"/>
      <c r="L70" s="355"/>
      <c r="M70" s="355"/>
      <c r="N70" s="355"/>
      <c r="O70" s="355"/>
      <c r="P70" s="355"/>
      <c r="Q70" s="355"/>
      <c r="R70" s="355"/>
      <c r="S70" s="355"/>
      <c r="T70" s="355"/>
      <c r="U70" s="355"/>
      <c r="V70" s="355"/>
      <c r="W70" s="355"/>
      <c r="X70" s="355"/>
      <c r="Y70" s="355"/>
      <c r="Z70" s="355"/>
    </row>
    <row r="71" spans="1:26" ht="13.5" customHeight="1" x14ac:dyDescent="0.25">
      <c r="A71" s="382"/>
      <c r="B71" s="355"/>
      <c r="C71" s="450"/>
      <c r="D71" s="450"/>
      <c r="E71" s="355"/>
      <c r="F71" s="355"/>
      <c r="G71" s="355"/>
      <c r="H71" s="355"/>
      <c r="I71" s="355"/>
      <c r="J71" s="355"/>
      <c r="K71" s="355"/>
      <c r="L71" s="355"/>
      <c r="M71" s="355"/>
      <c r="N71" s="355"/>
      <c r="O71" s="355"/>
      <c r="P71" s="355"/>
      <c r="Q71" s="355"/>
      <c r="R71" s="355"/>
      <c r="S71" s="355"/>
      <c r="T71" s="355"/>
      <c r="U71" s="355"/>
      <c r="V71" s="355"/>
      <c r="W71" s="355"/>
      <c r="X71" s="355"/>
      <c r="Y71" s="355"/>
      <c r="Z71" s="355"/>
    </row>
    <row r="72" spans="1:26" ht="13.5" customHeight="1" x14ac:dyDescent="0.25">
      <c r="A72" s="382"/>
      <c r="B72" s="355"/>
      <c r="C72" s="450"/>
      <c r="D72" s="450"/>
      <c r="E72" s="355"/>
      <c r="F72" s="355"/>
      <c r="G72" s="355"/>
      <c r="H72" s="355"/>
      <c r="I72" s="355"/>
      <c r="J72" s="355"/>
      <c r="K72" s="355"/>
      <c r="L72" s="355"/>
      <c r="M72" s="355"/>
      <c r="N72" s="355"/>
      <c r="O72" s="355"/>
      <c r="P72" s="355"/>
      <c r="Q72" s="355"/>
      <c r="R72" s="355"/>
      <c r="S72" s="355"/>
      <c r="T72" s="355"/>
      <c r="U72" s="355"/>
      <c r="V72" s="355"/>
      <c r="W72" s="355"/>
      <c r="X72" s="355"/>
      <c r="Y72" s="355"/>
      <c r="Z72" s="355"/>
    </row>
    <row r="73" spans="1:26" ht="13.5" customHeight="1" x14ac:dyDescent="0.25">
      <c r="A73" s="382"/>
      <c r="B73" s="355"/>
      <c r="C73" s="450"/>
      <c r="D73" s="450"/>
      <c r="E73" s="355"/>
      <c r="F73" s="355"/>
      <c r="G73" s="355"/>
      <c r="H73" s="355"/>
      <c r="I73" s="355"/>
      <c r="J73" s="355"/>
      <c r="K73" s="355"/>
      <c r="L73" s="355"/>
      <c r="M73" s="355"/>
      <c r="N73" s="355"/>
      <c r="O73" s="355"/>
      <c r="P73" s="355"/>
      <c r="Q73" s="355"/>
      <c r="R73" s="355"/>
      <c r="S73" s="355"/>
      <c r="T73" s="355"/>
      <c r="U73" s="355"/>
      <c r="V73" s="355"/>
      <c r="W73" s="355"/>
      <c r="X73" s="355"/>
      <c r="Y73" s="355"/>
      <c r="Z73" s="355"/>
    </row>
    <row r="74" spans="1:26" ht="13.5" customHeight="1" x14ac:dyDescent="0.25">
      <c r="A74" s="382"/>
      <c r="B74" s="355"/>
      <c r="C74" s="450"/>
      <c r="D74" s="450"/>
      <c r="E74" s="355"/>
      <c r="F74" s="355"/>
      <c r="G74" s="355"/>
      <c r="H74" s="355"/>
      <c r="I74" s="355"/>
      <c r="J74" s="355"/>
      <c r="K74" s="355"/>
      <c r="L74" s="355"/>
      <c r="M74" s="355"/>
      <c r="N74" s="355"/>
      <c r="O74" s="355"/>
      <c r="P74" s="355"/>
      <c r="Q74" s="355"/>
      <c r="R74" s="355"/>
      <c r="S74" s="355"/>
      <c r="T74" s="355"/>
      <c r="U74" s="355"/>
      <c r="V74" s="355"/>
      <c r="W74" s="355"/>
      <c r="X74" s="355"/>
      <c r="Y74" s="355"/>
      <c r="Z74" s="355"/>
    </row>
    <row r="75" spans="1:26" ht="13.5" customHeight="1" x14ac:dyDescent="0.25">
      <c r="A75" s="382"/>
      <c r="B75" s="355"/>
      <c r="C75" s="450"/>
      <c r="D75" s="450"/>
      <c r="E75" s="355"/>
      <c r="F75" s="355"/>
      <c r="G75" s="355"/>
      <c r="H75" s="355"/>
      <c r="I75" s="355"/>
      <c r="J75" s="355"/>
      <c r="K75" s="355"/>
      <c r="L75" s="355"/>
      <c r="M75" s="355"/>
      <c r="N75" s="355"/>
      <c r="O75" s="355"/>
      <c r="P75" s="355"/>
      <c r="Q75" s="355"/>
      <c r="R75" s="355"/>
      <c r="S75" s="355"/>
      <c r="T75" s="355"/>
      <c r="U75" s="355"/>
      <c r="V75" s="355"/>
      <c r="W75" s="355"/>
      <c r="X75" s="355"/>
      <c r="Y75" s="355"/>
      <c r="Z75" s="355"/>
    </row>
    <row r="76" spans="1:26" ht="13.5" customHeight="1" x14ac:dyDescent="0.25">
      <c r="A76" s="382"/>
      <c r="B76" s="355"/>
      <c r="C76" s="450"/>
      <c r="D76" s="450"/>
      <c r="E76" s="355"/>
      <c r="F76" s="355"/>
      <c r="G76" s="355"/>
      <c r="H76" s="355"/>
      <c r="I76" s="355"/>
      <c r="J76" s="355"/>
      <c r="K76" s="355"/>
      <c r="L76" s="355"/>
      <c r="M76" s="355"/>
      <c r="N76" s="355"/>
      <c r="O76" s="355"/>
      <c r="P76" s="355"/>
      <c r="Q76" s="355"/>
      <c r="R76" s="355"/>
      <c r="S76" s="355"/>
      <c r="T76" s="355"/>
      <c r="U76" s="355"/>
      <c r="V76" s="355"/>
      <c r="W76" s="355"/>
      <c r="X76" s="355"/>
      <c r="Y76" s="355"/>
      <c r="Z76" s="355"/>
    </row>
    <row r="77" spans="1:26" ht="13.5" customHeight="1" x14ac:dyDescent="0.25">
      <c r="A77" s="382"/>
      <c r="B77" s="355"/>
      <c r="C77" s="450"/>
      <c r="D77" s="450"/>
      <c r="E77" s="355"/>
      <c r="F77" s="355"/>
      <c r="G77" s="355"/>
      <c r="H77" s="355"/>
      <c r="I77" s="355"/>
      <c r="J77" s="355"/>
      <c r="K77" s="355"/>
      <c r="L77" s="355"/>
      <c r="M77" s="355"/>
      <c r="N77" s="355"/>
      <c r="O77" s="355"/>
      <c r="P77" s="355"/>
      <c r="Q77" s="355"/>
      <c r="R77" s="355"/>
      <c r="S77" s="355"/>
      <c r="T77" s="355"/>
      <c r="U77" s="355"/>
      <c r="V77" s="355"/>
      <c r="W77" s="355"/>
      <c r="X77" s="355"/>
      <c r="Y77" s="355"/>
      <c r="Z77" s="355"/>
    </row>
    <row r="78" spans="1:26" ht="13.5" customHeight="1" x14ac:dyDescent="0.25">
      <c r="A78" s="382"/>
      <c r="B78" s="355"/>
      <c r="C78" s="450"/>
      <c r="D78" s="450"/>
      <c r="E78" s="355"/>
      <c r="F78" s="355"/>
      <c r="G78" s="355"/>
      <c r="H78" s="355"/>
      <c r="I78" s="355"/>
      <c r="J78" s="355"/>
      <c r="K78" s="355"/>
      <c r="L78" s="355"/>
      <c r="M78" s="355"/>
      <c r="N78" s="355"/>
      <c r="O78" s="355"/>
      <c r="P78" s="355"/>
      <c r="Q78" s="355"/>
      <c r="R78" s="355"/>
      <c r="S78" s="355"/>
      <c r="T78" s="355"/>
      <c r="U78" s="355"/>
      <c r="V78" s="355"/>
      <c r="W78" s="355"/>
      <c r="X78" s="355"/>
      <c r="Y78" s="355"/>
      <c r="Z78" s="355"/>
    </row>
    <row r="79" spans="1:26" ht="13.5" customHeight="1" x14ac:dyDescent="0.25">
      <c r="A79" s="382"/>
      <c r="B79" s="355"/>
      <c r="C79" s="450"/>
      <c r="D79" s="450"/>
      <c r="E79" s="355"/>
      <c r="F79" s="355"/>
      <c r="G79" s="355"/>
      <c r="H79" s="355"/>
      <c r="I79" s="355"/>
      <c r="J79" s="355"/>
      <c r="K79" s="355"/>
      <c r="L79" s="355"/>
      <c r="M79" s="355"/>
      <c r="N79" s="355"/>
      <c r="O79" s="355"/>
      <c r="P79" s="355"/>
      <c r="Q79" s="355"/>
      <c r="R79" s="355"/>
      <c r="S79" s="355"/>
      <c r="T79" s="355"/>
      <c r="U79" s="355"/>
      <c r="V79" s="355"/>
      <c r="W79" s="355"/>
      <c r="X79" s="355"/>
      <c r="Y79" s="355"/>
      <c r="Z79" s="355"/>
    </row>
    <row r="80" spans="1:26" ht="13.5" customHeight="1" x14ac:dyDescent="0.25">
      <c r="A80" s="382"/>
      <c r="B80" s="355"/>
      <c r="C80" s="450"/>
      <c r="D80" s="450"/>
      <c r="E80" s="355"/>
      <c r="F80" s="355"/>
      <c r="G80" s="355"/>
      <c r="H80" s="355"/>
      <c r="I80" s="355"/>
      <c r="J80" s="355"/>
      <c r="K80" s="355"/>
      <c r="L80" s="355"/>
      <c r="M80" s="355"/>
      <c r="N80" s="355"/>
      <c r="O80" s="355"/>
      <c r="P80" s="355"/>
      <c r="Q80" s="355"/>
      <c r="R80" s="355"/>
      <c r="S80" s="355"/>
      <c r="T80" s="355"/>
      <c r="U80" s="355"/>
      <c r="V80" s="355"/>
      <c r="W80" s="355"/>
      <c r="X80" s="355"/>
      <c r="Y80" s="355"/>
      <c r="Z80" s="355"/>
    </row>
    <row r="81" spans="1:26" ht="13.5" customHeight="1" x14ac:dyDescent="0.25">
      <c r="A81" s="382"/>
      <c r="B81" s="355"/>
      <c r="C81" s="450"/>
      <c r="D81" s="450"/>
      <c r="E81" s="355"/>
      <c r="F81" s="355"/>
      <c r="G81" s="355"/>
      <c r="H81" s="355"/>
      <c r="I81" s="355"/>
      <c r="J81" s="355"/>
      <c r="K81" s="355"/>
      <c r="L81" s="355"/>
      <c r="M81" s="355"/>
      <c r="N81" s="355"/>
      <c r="O81" s="355"/>
      <c r="P81" s="355"/>
      <c r="Q81" s="355"/>
      <c r="R81" s="355"/>
      <c r="S81" s="355"/>
      <c r="T81" s="355"/>
      <c r="U81" s="355"/>
      <c r="V81" s="355"/>
      <c r="W81" s="355"/>
      <c r="X81" s="355"/>
      <c r="Y81" s="355"/>
      <c r="Z81" s="355"/>
    </row>
    <row r="82" spans="1:26" ht="13.5" customHeight="1" x14ac:dyDescent="0.25">
      <c r="A82" s="382"/>
      <c r="B82" s="355"/>
      <c r="C82" s="450"/>
      <c r="D82" s="450"/>
      <c r="E82" s="355"/>
      <c r="F82" s="355"/>
      <c r="G82" s="355"/>
      <c r="H82" s="355"/>
      <c r="I82" s="355"/>
      <c r="J82" s="355"/>
      <c r="K82" s="355"/>
      <c r="L82" s="355"/>
      <c r="M82" s="355"/>
      <c r="N82" s="355"/>
      <c r="O82" s="355"/>
      <c r="P82" s="355"/>
      <c r="Q82" s="355"/>
      <c r="R82" s="355"/>
      <c r="S82" s="355"/>
      <c r="T82" s="355"/>
      <c r="U82" s="355"/>
      <c r="V82" s="355"/>
      <c r="W82" s="355"/>
      <c r="X82" s="355"/>
      <c r="Y82" s="355"/>
      <c r="Z82" s="355"/>
    </row>
    <row r="83" spans="1:26" ht="13.5" customHeight="1" x14ac:dyDescent="0.25">
      <c r="A83" s="382"/>
      <c r="B83" s="355"/>
      <c r="C83" s="450"/>
      <c r="D83" s="450"/>
      <c r="E83" s="355"/>
      <c r="F83" s="355"/>
      <c r="G83" s="355"/>
      <c r="H83" s="355"/>
      <c r="I83" s="355"/>
      <c r="J83" s="355"/>
      <c r="K83" s="355"/>
      <c r="L83" s="355"/>
      <c r="M83" s="355"/>
      <c r="N83" s="355"/>
      <c r="O83" s="355"/>
      <c r="P83" s="355"/>
      <c r="Q83" s="355"/>
      <c r="R83" s="355"/>
      <c r="S83" s="355"/>
      <c r="T83" s="355"/>
      <c r="U83" s="355"/>
      <c r="V83" s="355"/>
      <c r="W83" s="355"/>
      <c r="X83" s="355"/>
      <c r="Y83" s="355"/>
      <c r="Z83" s="355"/>
    </row>
    <row r="84" spans="1:26" ht="13.5" customHeight="1" x14ac:dyDescent="0.25">
      <c r="A84" s="382"/>
      <c r="B84" s="355"/>
      <c r="C84" s="450"/>
      <c r="D84" s="450"/>
      <c r="E84" s="355"/>
      <c r="F84" s="355"/>
      <c r="G84" s="355"/>
      <c r="H84" s="355"/>
      <c r="I84" s="355"/>
      <c r="J84" s="355"/>
      <c r="K84" s="355"/>
      <c r="L84" s="355"/>
      <c r="M84" s="355"/>
      <c r="N84" s="355"/>
      <c r="O84" s="355"/>
      <c r="P84" s="355"/>
      <c r="Q84" s="355"/>
      <c r="R84" s="355"/>
      <c r="S84" s="355"/>
      <c r="T84" s="355"/>
      <c r="U84" s="355"/>
      <c r="V84" s="355"/>
      <c r="W84" s="355"/>
      <c r="X84" s="355"/>
      <c r="Y84" s="355"/>
      <c r="Z84" s="355"/>
    </row>
    <row r="85" spans="1:26" ht="13.5" customHeight="1" x14ac:dyDescent="0.25">
      <c r="A85" s="382"/>
      <c r="B85" s="355"/>
      <c r="C85" s="450"/>
      <c r="D85" s="450"/>
      <c r="E85" s="355"/>
      <c r="F85" s="355"/>
      <c r="G85" s="355"/>
      <c r="H85" s="355"/>
      <c r="I85" s="355"/>
      <c r="J85" s="355"/>
      <c r="K85" s="355"/>
      <c r="L85" s="355"/>
      <c r="M85" s="355"/>
      <c r="N85" s="355"/>
      <c r="O85" s="355"/>
      <c r="P85" s="355"/>
      <c r="Q85" s="355"/>
      <c r="R85" s="355"/>
      <c r="S85" s="355"/>
      <c r="T85" s="355"/>
      <c r="U85" s="355"/>
      <c r="V85" s="355"/>
      <c r="W85" s="355"/>
      <c r="X85" s="355"/>
      <c r="Y85" s="355"/>
      <c r="Z85" s="355"/>
    </row>
    <row r="86" spans="1:26" ht="13.5" customHeight="1" x14ac:dyDescent="0.25">
      <c r="A86" s="382"/>
      <c r="B86" s="355"/>
      <c r="C86" s="450"/>
      <c r="D86" s="450"/>
      <c r="E86" s="355"/>
      <c r="F86" s="355"/>
      <c r="G86" s="355"/>
      <c r="H86" s="355"/>
      <c r="I86" s="355"/>
      <c r="J86" s="355"/>
      <c r="K86" s="355"/>
      <c r="L86" s="355"/>
      <c r="M86" s="355"/>
      <c r="N86" s="355"/>
      <c r="O86" s="355"/>
      <c r="P86" s="355"/>
      <c r="Q86" s="355"/>
      <c r="R86" s="355"/>
      <c r="S86" s="355"/>
      <c r="T86" s="355"/>
      <c r="U86" s="355"/>
      <c r="V86" s="355"/>
      <c r="W86" s="355"/>
      <c r="X86" s="355"/>
      <c r="Y86" s="355"/>
      <c r="Z86" s="355"/>
    </row>
    <row r="87" spans="1:26" ht="13.5" customHeight="1" x14ac:dyDescent="0.25">
      <c r="A87" s="382"/>
      <c r="B87" s="355"/>
      <c r="C87" s="450"/>
      <c r="D87" s="450"/>
      <c r="E87" s="355"/>
      <c r="F87" s="355"/>
      <c r="G87" s="355"/>
      <c r="H87" s="355"/>
      <c r="I87" s="355"/>
      <c r="J87" s="355"/>
      <c r="K87" s="355"/>
      <c r="L87" s="355"/>
      <c r="M87" s="355"/>
      <c r="N87" s="355"/>
      <c r="O87" s="355"/>
      <c r="P87" s="355"/>
      <c r="Q87" s="355"/>
      <c r="R87" s="355"/>
      <c r="S87" s="355"/>
      <c r="T87" s="355"/>
      <c r="U87" s="355"/>
      <c r="V87" s="355"/>
      <c r="W87" s="355"/>
      <c r="X87" s="355"/>
      <c r="Y87" s="355"/>
      <c r="Z87" s="355"/>
    </row>
    <row r="88" spans="1:26" ht="13.5" customHeight="1" x14ac:dyDescent="0.25">
      <c r="A88" s="382"/>
      <c r="B88" s="355"/>
      <c r="C88" s="450"/>
      <c r="D88" s="450"/>
      <c r="E88" s="355"/>
      <c r="F88" s="355"/>
      <c r="G88" s="355"/>
      <c r="H88" s="355"/>
      <c r="I88" s="355"/>
      <c r="J88" s="355"/>
      <c r="K88" s="355"/>
      <c r="L88" s="355"/>
      <c r="M88" s="355"/>
      <c r="N88" s="355"/>
      <c r="O88" s="355"/>
      <c r="P88" s="355"/>
      <c r="Q88" s="355"/>
      <c r="R88" s="355"/>
      <c r="S88" s="355"/>
      <c r="T88" s="355"/>
      <c r="U88" s="355"/>
      <c r="V88" s="355"/>
      <c r="W88" s="355"/>
      <c r="X88" s="355"/>
      <c r="Y88" s="355"/>
      <c r="Z88" s="355"/>
    </row>
    <row r="89" spans="1:26" ht="13.5" customHeight="1" x14ac:dyDescent="0.25">
      <c r="A89" s="382"/>
      <c r="B89" s="355"/>
      <c r="C89" s="450"/>
      <c r="D89" s="450"/>
      <c r="E89" s="355"/>
      <c r="F89" s="355"/>
      <c r="G89" s="355"/>
      <c r="H89" s="355"/>
      <c r="I89" s="355"/>
      <c r="J89" s="355"/>
      <c r="K89" s="355"/>
      <c r="L89" s="355"/>
      <c r="M89" s="355"/>
      <c r="N89" s="355"/>
      <c r="O89" s="355"/>
      <c r="P89" s="355"/>
      <c r="Q89" s="355"/>
      <c r="R89" s="355"/>
      <c r="S89" s="355"/>
      <c r="T89" s="355"/>
      <c r="U89" s="355"/>
      <c r="V89" s="355"/>
      <c r="W89" s="355"/>
      <c r="X89" s="355"/>
      <c r="Y89" s="355"/>
      <c r="Z89" s="355"/>
    </row>
    <row r="90" spans="1:26" ht="13.5" customHeight="1" x14ac:dyDescent="0.25">
      <c r="A90" s="382"/>
      <c r="B90" s="355"/>
      <c r="C90" s="450"/>
      <c r="D90" s="450"/>
      <c r="E90" s="355"/>
      <c r="F90" s="355"/>
      <c r="G90" s="355"/>
      <c r="H90" s="355"/>
      <c r="I90" s="355"/>
      <c r="J90" s="355"/>
      <c r="K90" s="355"/>
      <c r="L90" s="355"/>
      <c r="M90" s="355"/>
      <c r="N90" s="355"/>
      <c r="O90" s="355"/>
      <c r="P90" s="355"/>
      <c r="Q90" s="355"/>
      <c r="R90" s="355"/>
      <c r="S90" s="355"/>
      <c r="T90" s="355"/>
      <c r="U90" s="355"/>
      <c r="V90" s="355"/>
      <c r="W90" s="355"/>
      <c r="X90" s="355"/>
      <c r="Y90" s="355"/>
      <c r="Z90" s="355"/>
    </row>
    <row r="91" spans="1:26" ht="13.5" customHeight="1" x14ac:dyDescent="0.25">
      <c r="A91" s="382"/>
      <c r="B91" s="355"/>
      <c r="C91" s="450"/>
      <c r="D91" s="450"/>
      <c r="E91" s="355"/>
      <c r="F91" s="355"/>
      <c r="G91" s="355"/>
      <c r="H91" s="355"/>
      <c r="I91" s="355"/>
      <c r="J91" s="355"/>
      <c r="K91" s="355"/>
      <c r="L91" s="355"/>
      <c r="M91" s="355"/>
      <c r="N91" s="355"/>
      <c r="O91" s="355"/>
      <c r="P91" s="355"/>
      <c r="Q91" s="355"/>
      <c r="R91" s="355"/>
      <c r="S91" s="355"/>
      <c r="T91" s="355"/>
      <c r="U91" s="355"/>
      <c r="V91" s="355"/>
      <c r="W91" s="355"/>
      <c r="X91" s="355"/>
      <c r="Y91" s="355"/>
      <c r="Z91" s="355"/>
    </row>
    <row r="92" spans="1:26" ht="13.5" customHeight="1" x14ac:dyDescent="0.25">
      <c r="A92" s="382"/>
      <c r="B92" s="355"/>
      <c r="C92" s="450"/>
      <c r="D92" s="450"/>
      <c r="E92" s="355"/>
      <c r="F92" s="355"/>
      <c r="G92" s="355"/>
      <c r="H92" s="355"/>
      <c r="I92" s="355"/>
      <c r="J92" s="355"/>
      <c r="K92" s="355"/>
      <c r="L92" s="355"/>
      <c r="M92" s="355"/>
      <c r="N92" s="355"/>
      <c r="O92" s="355"/>
      <c r="P92" s="355"/>
      <c r="Q92" s="355"/>
      <c r="R92" s="355"/>
      <c r="S92" s="355"/>
      <c r="T92" s="355"/>
      <c r="U92" s="355"/>
      <c r="V92" s="355"/>
      <c r="W92" s="355"/>
      <c r="X92" s="355"/>
      <c r="Y92" s="355"/>
      <c r="Z92" s="355"/>
    </row>
    <row r="93" spans="1:26" ht="13.5" customHeight="1" x14ac:dyDescent="0.25">
      <c r="A93" s="382"/>
      <c r="B93" s="355"/>
      <c r="C93" s="450"/>
      <c r="D93" s="450"/>
      <c r="E93" s="355"/>
      <c r="F93" s="355"/>
      <c r="G93" s="355"/>
      <c r="H93" s="355"/>
      <c r="I93" s="355"/>
      <c r="J93" s="355"/>
      <c r="K93" s="355"/>
      <c r="L93" s="355"/>
      <c r="M93" s="355"/>
      <c r="N93" s="355"/>
      <c r="O93" s="355"/>
      <c r="P93" s="355"/>
      <c r="Q93" s="355"/>
      <c r="R93" s="355"/>
      <c r="S93" s="355"/>
      <c r="T93" s="355"/>
      <c r="U93" s="355"/>
      <c r="V93" s="355"/>
      <c r="W93" s="355"/>
      <c r="X93" s="355"/>
      <c r="Y93" s="355"/>
      <c r="Z93" s="355"/>
    </row>
    <row r="94" spans="1:26" ht="13.5" customHeight="1" x14ac:dyDescent="0.25">
      <c r="A94" s="382"/>
      <c r="B94" s="355"/>
      <c r="C94" s="450"/>
      <c r="D94" s="450"/>
      <c r="E94" s="355"/>
      <c r="F94" s="355"/>
      <c r="G94" s="355"/>
      <c r="H94" s="355"/>
      <c r="I94" s="355"/>
      <c r="J94" s="355"/>
      <c r="K94" s="355"/>
      <c r="L94" s="355"/>
      <c r="M94" s="355"/>
      <c r="N94" s="355"/>
      <c r="O94" s="355"/>
      <c r="P94" s="355"/>
      <c r="Q94" s="355"/>
      <c r="R94" s="355"/>
      <c r="S94" s="355"/>
      <c r="T94" s="355"/>
      <c r="U94" s="355"/>
      <c r="V94" s="355"/>
      <c r="W94" s="355"/>
      <c r="X94" s="355"/>
      <c r="Y94" s="355"/>
      <c r="Z94" s="355"/>
    </row>
    <row r="95" spans="1:26" ht="13.5" customHeight="1" x14ac:dyDescent="0.25">
      <c r="A95" s="382"/>
      <c r="B95" s="355"/>
      <c r="C95" s="450"/>
      <c r="D95" s="450"/>
      <c r="E95" s="355"/>
      <c r="F95" s="355"/>
      <c r="G95" s="355"/>
      <c r="H95" s="355"/>
      <c r="I95" s="355"/>
      <c r="J95" s="355"/>
      <c r="K95" s="355"/>
      <c r="L95" s="355"/>
      <c r="M95" s="355"/>
      <c r="N95" s="355"/>
      <c r="O95" s="355"/>
      <c r="P95" s="355"/>
      <c r="Q95" s="355"/>
      <c r="R95" s="355"/>
      <c r="S95" s="355"/>
      <c r="T95" s="355"/>
      <c r="U95" s="355"/>
      <c r="V95" s="355"/>
      <c r="W95" s="355"/>
      <c r="X95" s="355"/>
      <c r="Y95" s="355"/>
      <c r="Z95" s="355"/>
    </row>
    <row r="96" spans="1:26" ht="13.5" customHeight="1" x14ac:dyDescent="0.25">
      <c r="A96" s="382"/>
      <c r="B96" s="355"/>
      <c r="C96" s="450"/>
      <c r="D96" s="450"/>
      <c r="E96" s="355"/>
      <c r="F96" s="355"/>
      <c r="G96" s="355"/>
      <c r="H96" s="355"/>
      <c r="I96" s="355"/>
      <c r="J96" s="355"/>
      <c r="K96" s="355"/>
      <c r="L96" s="355"/>
      <c r="M96" s="355"/>
      <c r="N96" s="355"/>
      <c r="O96" s="355"/>
      <c r="P96" s="355"/>
      <c r="Q96" s="355"/>
      <c r="R96" s="355"/>
      <c r="S96" s="355"/>
      <c r="T96" s="355"/>
      <c r="U96" s="355"/>
      <c r="V96" s="355"/>
      <c r="W96" s="355"/>
      <c r="X96" s="355"/>
      <c r="Y96" s="355"/>
      <c r="Z96" s="355"/>
    </row>
    <row r="97" spans="1:26" ht="13.5" customHeight="1" x14ac:dyDescent="0.25">
      <c r="A97" s="382"/>
      <c r="B97" s="355"/>
      <c r="C97" s="450"/>
      <c r="D97" s="450"/>
      <c r="E97" s="355"/>
      <c r="F97" s="355"/>
      <c r="G97" s="355"/>
      <c r="H97" s="355"/>
      <c r="I97" s="355"/>
      <c r="J97" s="355"/>
      <c r="K97" s="355"/>
      <c r="L97" s="355"/>
      <c r="M97" s="355"/>
      <c r="N97" s="355"/>
      <c r="O97" s="355"/>
      <c r="P97" s="355"/>
      <c r="Q97" s="355"/>
      <c r="R97" s="355"/>
      <c r="S97" s="355"/>
      <c r="T97" s="355"/>
      <c r="U97" s="355"/>
      <c r="V97" s="355"/>
      <c r="W97" s="355"/>
      <c r="X97" s="355"/>
      <c r="Y97" s="355"/>
      <c r="Z97" s="355"/>
    </row>
    <row r="98" spans="1:26" ht="13.5" customHeight="1" x14ac:dyDescent="0.25">
      <c r="A98" s="382"/>
      <c r="B98" s="355"/>
      <c r="C98" s="450"/>
      <c r="D98" s="450"/>
      <c r="E98" s="355"/>
      <c r="F98" s="355"/>
      <c r="G98" s="355"/>
      <c r="H98" s="355"/>
      <c r="I98" s="355"/>
      <c r="J98" s="355"/>
      <c r="K98" s="355"/>
      <c r="L98" s="355"/>
      <c r="M98" s="355"/>
      <c r="N98" s="355"/>
      <c r="O98" s="355"/>
      <c r="P98" s="355"/>
      <c r="Q98" s="355"/>
      <c r="R98" s="355"/>
      <c r="S98" s="355"/>
      <c r="T98" s="355"/>
      <c r="U98" s="355"/>
      <c r="V98" s="355"/>
      <c r="W98" s="355"/>
      <c r="X98" s="355"/>
      <c r="Y98" s="355"/>
      <c r="Z98" s="355"/>
    </row>
    <row r="99" spans="1:26" ht="13.5" customHeight="1" x14ac:dyDescent="0.25">
      <c r="A99" s="382"/>
      <c r="B99" s="355"/>
      <c r="C99" s="450"/>
      <c r="D99" s="450"/>
      <c r="E99" s="355"/>
      <c r="F99" s="355"/>
      <c r="G99" s="355"/>
      <c r="H99" s="355"/>
      <c r="I99" s="355"/>
      <c r="J99" s="355"/>
      <c r="K99" s="355"/>
      <c r="L99" s="355"/>
      <c r="M99" s="355"/>
      <c r="N99" s="355"/>
      <c r="O99" s="355"/>
      <c r="P99" s="355"/>
      <c r="Q99" s="355"/>
      <c r="R99" s="355"/>
      <c r="S99" s="355"/>
      <c r="T99" s="355"/>
      <c r="U99" s="355"/>
      <c r="V99" s="355"/>
      <c r="W99" s="355"/>
      <c r="X99" s="355"/>
      <c r="Y99" s="355"/>
      <c r="Z99" s="355"/>
    </row>
    <row r="100" spans="1:26" ht="13.5" customHeight="1" x14ac:dyDescent="0.25">
      <c r="A100" s="382"/>
      <c r="B100" s="355"/>
      <c r="C100" s="450"/>
      <c r="D100" s="450"/>
      <c r="E100" s="355"/>
      <c r="F100" s="355"/>
      <c r="G100" s="355"/>
      <c r="H100" s="355"/>
      <c r="I100" s="355"/>
      <c r="J100" s="355"/>
      <c r="K100" s="355"/>
      <c r="L100" s="355"/>
      <c r="M100" s="355"/>
      <c r="N100" s="355"/>
      <c r="O100" s="355"/>
      <c r="P100" s="355"/>
      <c r="Q100" s="355"/>
      <c r="R100" s="355"/>
      <c r="S100" s="355"/>
      <c r="T100" s="355"/>
      <c r="U100" s="355"/>
      <c r="V100" s="355"/>
      <c r="W100" s="355"/>
      <c r="X100" s="355"/>
      <c r="Y100" s="355"/>
      <c r="Z100" s="355"/>
    </row>
    <row r="101" spans="1:26" ht="13.5" customHeight="1" x14ac:dyDescent="0.25">
      <c r="A101" s="382"/>
      <c r="B101" s="355"/>
      <c r="C101" s="450"/>
      <c r="D101" s="450"/>
      <c r="E101" s="355"/>
      <c r="F101" s="355"/>
      <c r="G101" s="355"/>
      <c r="H101" s="355"/>
      <c r="I101" s="355"/>
      <c r="J101" s="355"/>
      <c r="K101" s="355"/>
      <c r="L101" s="355"/>
      <c r="M101" s="355"/>
      <c r="N101" s="355"/>
      <c r="O101" s="355"/>
      <c r="P101" s="355"/>
      <c r="Q101" s="355"/>
      <c r="R101" s="355"/>
      <c r="S101" s="355"/>
      <c r="T101" s="355"/>
      <c r="U101" s="355"/>
      <c r="V101" s="355"/>
      <c r="W101" s="355"/>
      <c r="X101" s="355"/>
      <c r="Y101" s="355"/>
      <c r="Z101" s="355"/>
    </row>
    <row r="102" spans="1:26" ht="13.5" customHeight="1" x14ac:dyDescent="0.25">
      <c r="A102" s="382"/>
      <c r="B102" s="355"/>
      <c r="C102" s="450"/>
      <c r="D102" s="450"/>
      <c r="E102" s="355"/>
      <c r="F102" s="355"/>
      <c r="G102" s="355"/>
      <c r="H102" s="355"/>
      <c r="I102" s="355"/>
      <c r="J102" s="355"/>
      <c r="K102" s="355"/>
      <c r="L102" s="355"/>
      <c r="M102" s="355"/>
      <c r="N102" s="355"/>
      <c r="O102" s="355"/>
      <c r="P102" s="355"/>
      <c r="Q102" s="355"/>
      <c r="R102" s="355"/>
      <c r="S102" s="355"/>
      <c r="T102" s="355"/>
      <c r="U102" s="355"/>
      <c r="V102" s="355"/>
      <c r="W102" s="355"/>
      <c r="X102" s="355"/>
      <c r="Y102" s="355"/>
      <c r="Z102" s="355"/>
    </row>
    <row r="103" spans="1:26" ht="13.5" customHeight="1" x14ac:dyDescent="0.25">
      <c r="A103" s="382"/>
      <c r="B103" s="355"/>
      <c r="C103" s="450"/>
      <c r="D103" s="450"/>
      <c r="E103" s="355"/>
      <c r="F103" s="355"/>
      <c r="G103" s="355"/>
      <c r="H103" s="355"/>
      <c r="I103" s="355"/>
      <c r="J103" s="355"/>
      <c r="K103" s="355"/>
      <c r="L103" s="355"/>
      <c r="M103" s="355"/>
      <c r="N103" s="355"/>
      <c r="O103" s="355"/>
      <c r="P103" s="355"/>
      <c r="Q103" s="355"/>
      <c r="R103" s="355"/>
      <c r="S103" s="355"/>
      <c r="T103" s="355"/>
      <c r="U103" s="355"/>
      <c r="V103" s="355"/>
      <c r="W103" s="355"/>
      <c r="X103" s="355"/>
      <c r="Y103" s="355"/>
      <c r="Z103" s="355"/>
    </row>
    <row r="104" spans="1:26" ht="13.5" customHeight="1" x14ac:dyDescent="0.25">
      <c r="A104" s="382"/>
      <c r="B104" s="355"/>
      <c r="C104" s="450"/>
      <c r="D104" s="450"/>
      <c r="E104" s="355"/>
      <c r="F104" s="355"/>
      <c r="G104" s="355"/>
      <c r="H104" s="355"/>
      <c r="I104" s="355"/>
      <c r="J104" s="355"/>
      <c r="K104" s="355"/>
      <c r="L104" s="355"/>
      <c r="M104" s="355"/>
      <c r="N104" s="355"/>
      <c r="O104" s="355"/>
      <c r="P104" s="355"/>
      <c r="Q104" s="355"/>
      <c r="R104" s="355"/>
      <c r="S104" s="355"/>
      <c r="T104" s="355"/>
      <c r="U104" s="355"/>
      <c r="V104" s="355"/>
      <c r="W104" s="355"/>
      <c r="X104" s="355"/>
      <c r="Y104" s="355"/>
      <c r="Z104" s="355"/>
    </row>
    <row r="105" spans="1:26" ht="13.5" customHeight="1" x14ac:dyDescent="0.25">
      <c r="A105" s="382"/>
      <c r="B105" s="355"/>
      <c r="C105" s="450"/>
      <c r="D105" s="450"/>
      <c r="E105" s="355"/>
      <c r="F105" s="355"/>
      <c r="G105" s="355"/>
      <c r="H105" s="355"/>
      <c r="I105" s="355"/>
      <c r="J105" s="355"/>
      <c r="K105" s="355"/>
      <c r="L105" s="355"/>
      <c r="M105" s="355"/>
      <c r="N105" s="355"/>
      <c r="O105" s="355"/>
      <c r="P105" s="355"/>
      <c r="Q105" s="355"/>
      <c r="R105" s="355"/>
      <c r="S105" s="355"/>
      <c r="T105" s="355"/>
      <c r="U105" s="355"/>
      <c r="V105" s="355"/>
      <c r="W105" s="355"/>
      <c r="X105" s="355"/>
      <c r="Y105" s="355"/>
      <c r="Z105" s="355"/>
    </row>
    <row r="106" spans="1:26" ht="13.5" customHeight="1" x14ac:dyDescent="0.25">
      <c r="A106" s="382"/>
      <c r="B106" s="355"/>
      <c r="C106" s="450"/>
      <c r="D106" s="450"/>
      <c r="E106" s="355"/>
      <c r="F106" s="355"/>
      <c r="G106" s="355"/>
      <c r="H106" s="355"/>
      <c r="I106" s="355"/>
      <c r="J106" s="355"/>
      <c r="K106" s="355"/>
      <c r="L106" s="355"/>
      <c r="M106" s="355"/>
      <c r="N106" s="355"/>
      <c r="O106" s="355"/>
      <c r="P106" s="355"/>
      <c r="Q106" s="355"/>
      <c r="R106" s="355"/>
      <c r="S106" s="355"/>
      <c r="T106" s="355"/>
      <c r="U106" s="355"/>
      <c r="V106" s="355"/>
      <c r="W106" s="355"/>
      <c r="X106" s="355"/>
      <c r="Y106" s="355"/>
      <c r="Z106" s="355"/>
    </row>
    <row r="107" spans="1:26" ht="13.5" customHeight="1" x14ac:dyDescent="0.25">
      <c r="A107" s="382"/>
      <c r="B107" s="355"/>
      <c r="C107" s="450"/>
      <c r="D107" s="450"/>
      <c r="E107" s="355"/>
      <c r="F107" s="355"/>
      <c r="G107" s="355"/>
      <c r="H107" s="355"/>
      <c r="I107" s="355"/>
      <c r="J107" s="355"/>
      <c r="K107" s="355"/>
      <c r="L107" s="355"/>
      <c r="M107" s="355"/>
      <c r="N107" s="355"/>
      <c r="O107" s="355"/>
      <c r="P107" s="355"/>
      <c r="Q107" s="355"/>
      <c r="R107" s="355"/>
      <c r="S107" s="355"/>
      <c r="T107" s="355"/>
      <c r="U107" s="355"/>
      <c r="V107" s="355"/>
      <c r="W107" s="355"/>
      <c r="X107" s="355"/>
      <c r="Y107" s="355"/>
      <c r="Z107" s="355"/>
    </row>
    <row r="108" spans="1:26" ht="13.5" customHeight="1" x14ac:dyDescent="0.25">
      <c r="A108" s="382"/>
      <c r="B108" s="355"/>
      <c r="C108" s="450"/>
      <c r="D108" s="450"/>
      <c r="E108" s="355"/>
      <c r="F108" s="355"/>
      <c r="G108" s="355"/>
      <c r="H108" s="355"/>
      <c r="I108" s="355"/>
      <c r="J108" s="355"/>
      <c r="K108" s="355"/>
      <c r="L108" s="355"/>
      <c r="M108" s="355"/>
      <c r="N108" s="355"/>
      <c r="O108" s="355"/>
      <c r="P108" s="355"/>
      <c r="Q108" s="355"/>
      <c r="R108" s="355"/>
      <c r="S108" s="355"/>
      <c r="T108" s="355"/>
      <c r="U108" s="355"/>
      <c r="V108" s="355"/>
      <c r="W108" s="355"/>
      <c r="X108" s="355"/>
      <c r="Y108" s="355"/>
      <c r="Z108" s="355"/>
    </row>
    <row r="109" spans="1:26" ht="13.5" customHeight="1" x14ac:dyDescent="0.25">
      <c r="A109" s="382"/>
      <c r="B109" s="355"/>
      <c r="C109" s="450"/>
      <c r="D109" s="450"/>
      <c r="E109" s="355"/>
      <c r="F109" s="355"/>
      <c r="G109" s="355"/>
      <c r="H109" s="355"/>
      <c r="I109" s="355"/>
      <c r="J109" s="355"/>
      <c r="K109" s="355"/>
      <c r="L109" s="355"/>
      <c r="M109" s="355"/>
      <c r="N109" s="355"/>
      <c r="O109" s="355"/>
      <c r="P109" s="355"/>
      <c r="Q109" s="355"/>
      <c r="R109" s="355"/>
      <c r="S109" s="355"/>
      <c r="T109" s="355"/>
      <c r="U109" s="355"/>
      <c r="V109" s="355"/>
      <c r="W109" s="355"/>
      <c r="X109" s="355"/>
      <c r="Y109" s="355"/>
      <c r="Z109" s="355"/>
    </row>
    <row r="110" spans="1:26" ht="13.5" customHeight="1" x14ac:dyDescent="0.25">
      <c r="A110" s="382"/>
      <c r="B110" s="355"/>
      <c r="C110" s="450"/>
      <c r="D110" s="450"/>
      <c r="E110" s="355"/>
      <c r="F110" s="355"/>
      <c r="G110" s="355"/>
      <c r="H110" s="355"/>
      <c r="I110" s="355"/>
      <c r="J110" s="355"/>
      <c r="K110" s="355"/>
      <c r="L110" s="355"/>
      <c r="M110" s="355"/>
      <c r="N110" s="355"/>
      <c r="O110" s="355"/>
      <c r="P110" s="355"/>
      <c r="Q110" s="355"/>
      <c r="R110" s="355"/>
      <c r="S110" s="355"/>
      <c r="T110" s="355"/>
      <c r="U110" s="355"/>
      <c r="V110" s="355"/>
      <c r="W110" s="355"/>
      <c r="X110" s="355"/>
      <c r="Y110" s="355"/>
      <c r="Z110" s="355"/>
    </row>
    <row r="111" spans="1:26" ht="13.5" customHeight="1" x14ac:dyDescent="0.25">
      <c r="A111" s="382"/>
      <c r="B111" s="355"/>
      <c r="C111" s="450"/>
      <c r="D111" s="450"/>
      <c r="E111" s="355"/>
      <c r="F111" s="355"/>
      <c r="G111" s="355"/>
      <c r="H111" s="355"/>
      <c r="I111" s="355"/>
      <c r="J111" s="355"/>
      <c r="K111" s="355"/>
      <c r="L111" s="355"/>
      <c r="M111" s="355"/>
      <c r="N111" s="355"/>
      <c r="O111" s="355"/>
      <c r="P111" s="355"/>
      <c r="Q111" s="355"/>
      <c r="R111" s="355"/>
      <c r="S111" s="355"/>
      <c r="T111" s="355"/>
      <c r="U111" s="355"/>
      <c r="V111" s="355"/>
      <c r="W111" s="355"/>
      <c r="X111" s="355"/>
      <c r="Y111" s="355"/>
      <c r="Z111" s="355"/>
    </row>
    <row r="112" spans="1:26" ht="13.5" customHeight="1" x14ac:dyDescent="0.25">
      <c r="A112" s="382"/>
      <c r="B112" s="355"/>
      <c r="C112" s="450"/>
      <c r="D112" s="450"/>
      <c r="E112" s="355"/>
      <c r="F112" s="355"/>
      <c r="G112" s="355"/>
      <c r="H112" s="355"/>
      <c r="I112" s="355"/>
      <c r="J112" s="355"/>
      <c r="K112" s="355"/>
      <c r="L112" s="355"/>
      <c r="M112" s="355"/>
      <c r="N112" s="355"/>
      <c r="O112" s="355"/>
      <c r="P112" s="355"/>
      <c r="Q112" s="355"/>
      <c r="R112" s="355"/>
      <c r="S112" s="355"/>
      <c r="T112" s="355"/>
      <c r="U112" s="355"/>
      <c r="V112" s="355"/>
      <c r="W112" s="355"/>
      <c r="X112" s="355"/>
      <c r="Y112" s="355"/>
      <c r="Z112" s="355"/>
    </row>
    <row r="113" spans="1:26" ht="13.5" customHeight="1" x14ac:dyDescent="0.25">
      <c r="A113" s="382"/>
      <c r="B113" s="355"/>
      <c r="C113" s="450"/>
      <c r="D113" s="450"/>
      <c r="E113" s="355"/>
      <c r="F113" s="355"/>
      <c r="G113" s="355"/>
      <c r="H113" s="355"/>
      <c r="I113" s="355"/>
      <c r="J113" s="355"/>
      <c r="K113" s="355"/>
      <c r="L113" s="355"/>
      <c r="M113" s="355"/>
      <c r="N113" s="355"/>
      <c r="O113" s="355"/>
      <c r="P113" s="355"/>
      <c r="Q113" s="355"/>
      <c r="R113" s="355"/>
      <c r="S113" s="355"/>
      <c r="T113" s="355"/>
      <c r="U113" s="355"/>
      <c r="V113" s="355"/>
      <c r="W113" s="355"/>
      <c r="X113" s="355"/>
      <c r="Y113" s="355"/>
      <c r="Z113" s="355"/>
    </row>
    <row r="114" spans="1:26" ht="13.5" customHeight="1" x14ac:dyDescent="0.25">
      <c r="A114" s="382"/>
      <c r="B114" s="355"/>
      <c r="C114" s="450"/>
      <c r="D114" s="450"/>
      <c r="E114" s="355"/>
      <c r="F114" s="355"/>
      <c r="G114" s="355"/>
      <c r="H114" s="355"/>
      <c r="I114" s="355"/>
      <c r="J114" s="355"/>
      <c r="K114" s="355"/>
      <c r="L114" s="355"/>
      <c r="M114" s="355"/>
      <c r="N114" s="355"/>
      <c r="O114" s="355"/>
      <c r="P114" s="355"/>
      <c r="Q114" s="355"/>
      <c r="R114" s="355"/>
      <c r="S114" s="355"/>
      <c r="T114" s="355"/>
      <c r="U114" s="355"/>
      <c r="V114" s="355"/>
      <c r="W114" s="355"/>
      <c r="X114" s="355"/>
      <c r="Y114" s="355"/>
      <c r="Z114" s="355"/>
    </row>
    <row r="115" spans="1:26" ht="13.5" customHeight="1" x14ac:dyDescent="0.25">
      <c r="A115" s="382"/>
      <c r="B115" s="355"/>
      <c r="C115" s="450"/>
      <c r="D115" s="450"/>
      <c r="E115" s="355"/>
      <c r="F115" s="355"/>
      <c r="G115" s="355"/>
      <c r="H115" s="355"/>
      <c r="I115" s="355"/>
      <c r="J115" s="355"/>
      <c r="K115" s="355"/>
      <c r="L115" s="355"/>
      <c r="M115" s="355"/>
      <c r="N115" s="355"/>
      <c r="O115" s="355"/>
      <c r="P115" s="355"/>
      <c r="Q115" s="355"/>
      <c r="R115" s="355"/>
      <c r="S115" s="355"/>
      <c r="T115" s="355"/>
      <c r="U115" s="355"/>
      <c r="V115" s="355"/>
      <c r="W115" s="355"/>
      <c r="X115" s="355"/>
      <c r="Y115" s="355"/>
      <c r="Z115" s="355"/>
    </row>
    <row r="116" spans="1:26" ht="13.5" customHeight="1" x14ac:dyDescent="0.25">
      <c r="A116" s="382"/>
      <c r="B116" s="355"/>
      <c r="C116" s="450"/>
      <c r="D116" s="450"/>
      <c r="E116" s="355"/>
      <c r="F116" s="355"/>
      <c r="G116" s="355"/>
      <c r="H116" s="355"/>
      <c r="I116" s="355"/>
      <c r="J116" s="355"/>
      <c r="K116" s="355"/>
      <c r="L116" s="355"/>
      <c r="M116" s="355"/>
      <c r="N116" s="355"/>
      <c r="O116" s="355"/>
      <c r="P116" s="355"/>
      <c r="Q116" s="355"/>
      <c r="R116" s="355"/>
      <c r="S116" s="355"/>
      <c r="T116" s="355"/>
      <c r="U116" s="355"/>
      <c r="V116" s="355"/>
      <c r="W116" s="355"/>
      <c r="X116" s="355"/>
      <c r="Y116" s="355"/>
      <c r="Z116" s="355"/>
    </row>
    <row r="117" spans="1:26" ht="13.5" customHeight="1" x14ac:dyDescent="0.25">
      <c r="A117" s="382"/>
      <c r="B117" s="355"/>
      <c r="C117" s="450"/>
      <c r="D117" s="450"/>
      <c r="E117" s="355"/>
      <c r="F117" s="355"/>
      <c r="G117" s="355"/>
      <c r="H117" s="355"/>
      <c r="I117" s="355"/>
      <c r="J117" s="355"/>
      <c r="K117" s="355"/>
      <c r="L117" s="355"/>
      <c r="M117" s="355"/>
      <c r="N117" s="355"/>
      <c r="O117" s="355"/>
      <c r="P117" s="355"/>
      <c r="Q117" s="355"/>
      <c r="R117" s="355"/>
      <c r="S117" s="355"/>
      <c r="T117" s="355"/>
      <c r="U117" s="355"/>
      <c r="V117" s="355"/>
      <c r="W117" s="355"/>
      <c r="X117" s="355"/>
      <c r="Y117" s="355"/>
      <c r="Z117" s="355"/>
    </row>
    <row r="118" spans="1:26" ht="13.5" customHeight="1" x14ac:dyDescent="0.25">
      <c r="A118" s="382"/>
      <c r="B118" s="355"/>
      <c r="C118" s="450"/>
      <c r="D118" s="450"/>
      <c r="E118" s="355"/>
      <c r="F118" s="355"/>
      <c r="G118" s="355"/>
      <c r="H118" s="355"/>
      <c r="I118" s="355"/>
      <c r="J118" s="355"/>
      <c r="K118" s="355"/>
      <c r="L118" s="355"/>
      <c r="M118" s="355"/>
      <c r="N118" s="355"/>
      <c r="O118" s="355"/>
      <c r="P118" s="355"/>
      <c r="Q118" s="355"/>
      <c r="R118" s="355"/>
      <c r="S118" s="355"/>
      <c r="T118" s="355"/>
      <c r="U118" s="355"/>
      <c r="V118" s="355"/>
      <c r="W118" s="355"/>
      <c r="X118" s="355"/>
      <c r="Y118" s="355"/>
      <c r="Z118" s="355"/>
    </row>
    <row r="119" spans="1:26" ht="13.5" customHeight="1" x14ac:dyDescent="0.25">
      <c r="A119" s="382"/>
      <c r="B119" s="355"/>
      <c r="C119" s="450"/>
      <c r="D119" s="450"/>
      <c r="E119" s="355"/>
      <c r="F119" s="355"/>
      <c r="G119" s="355"/>
      <c r="H119" s="355"/>
      <c r="I119" s="355"/>
      <c r="J119" s="355"/>
      <c r="K119" s="355"/>
      <c r="L119" s="355"/>
      <c r="M119" s="355"/>
      <c r="N119" s="355"/>
      <c r="O119" s="355"/>
      <c r="P119" s="355"/>
      <c r="Q119" s="355"/>
      <c r="R119" s="355"/>
      <c r="S119" s="355"/>
      <c r="T119" s="355"/>
      <c r="U119" s="355"/>
      <c r="V119" s="355"/>
      <c r="W119" s="355"/>
      <c r="X119" s="355"/>
      <c r="Y119" s="355"/>
      <c r="Z119" s="355"/>
    </row>
    <row r="120" spans="1:26" ht="13.5" customHeight="1" x14ac:dyDescent="0.25">
      <c r="A120" s="382"/>
      <c r="B120" s="355"/>
      <c r="C120" s="450"/>
      <c r="D120" s="450"/>
      <c r="E120" s="355"/>
      <c r="F120" s="355"/>
      <c r="G120" s="355"/>
      <c r="H120" s="355"/>
      <c r="I120" s="355"/>
      <c r="J120" s="355"/>
      <c r="K120" s="355"/>
      <c r="L120" s="355"/>
      <c r="M120" s="355"/>
      <c r="N120" s="355"/>
      <c r="O120" s="355"/>
      <c r="P120" s="355"/>
      <c r="Q120" s="355"/>
      <c r="R120" s="355"/>
      <c r="S120" s="355"/>
      <c r="T120" s="355"/>
      <c r="U120" s="355"/>
      <c r="V120" s="355"/>
      <c r="W120" s="355"/>
      <c r="X120" s="355"/>
      <c r="Y120" s="355"/>
      <c r="Z120" s="355"/>
    </row>
    <row r="121" spans="1:26" ht="13.5" customHeight="1" x14ac:dyDescent="0.25">
      <c r="A121" s="382"/>
      <c r="B121" s="355"/>
      <c r="C121" s="450"/>
      <c r="D121" s="450"/>
      <c r="E121" s="355"/>
      <c r="F121" s="355"/>
      <c r="G121" s="355"/>
      <c r="H121" s="355"/>
      <c r="I121" s="355"/>
      <c r="J121" s="355"/>
      <c r="K121" s="355"/>
      <c r="L121" s="355"/>
      <c r="M121" s="355"/>
      <c r="N121" s="355"/>
      <c r="O121" s="355"/>
      <c r="P121" s="355"/>
      <c r="Q121" s="355"/>
      <c r="R121" s="355"/>
      <c r="S121" s="355"/>
      <c r="T121" s="355"/>
      <c r="U121" s="355"/>
      <c r="V121" s="355"/>
      <c r="W121" s="355"/>
      <c r="X121" s="355"/>
      <c r="Y121" s="355"/>
      <c r="Z121" s="355"/>
    </row>
    <row r="122" spans="1:26" ht="13.5" customHeight="1" x14ac:dyDescent="0.25">
      <c r="A122" s="382"/>
      <c r="B122" s="355"/>
      <c r="C122" s="450"/>
      <c r="D122" s="450"/>
      <c r="E122" s="355"/>
      <c r="F122" s="355"/>
      <c r="G122" s="355"/>
      <c r="H122" s="355"/>
      <c r="I122" s="355"/>
      <c r="J122" s="355"/>
      <c r="K122" s="355"/>
      <c r="L122" s="355"/>
      <c r="M122" s="355"/>
      <c r="N122" s="355"/>
      <c r="O122" s="355"/>
      <c r="P122" s="355"/>
      <c r="Q122" s="355"/>
      <c r="R122" s="355"/>
      <c r="S122" s="355"/>
      <c r="T122" s="355"/>
      <c r="U122" s="355"/>
      <c r="V122" s="355"/>
      <c r="W122" s="355"/>
      <c r="X122" s="355"/>
      <c r="Y122" s="355"/>
      <c r="Z122" s="355"/>
    </row>
    <row r="123" spans="1:26" ht="13.5" customHeight="1" x14ac:dyDescent="0.25">
      <c r="A123" s="382"/>
      <c r="B123" s="355"/>
      <c r="C123" s="450"/>
      <c r="D123" s="450"/>
      <c r="E123" s="355"/>
      <c r="F123" s="355"/>
      <c r="G123" s="355"/>
      <c r="H123" s="355"/>
      <c r="I123" s="355"/>
      <c r="J123" s="355"/>
      <c r="K123" s="355"/>
      <c r="L123" s="355"/>
      <c r="M123" s="355"/>
      <c r="N123" s="355"/>
      <c r="O123" s="355"/>
      <c r="P123" s="355"/>
      <c r="Q123" s="355"/>
      <c r="R123" s="355"/>
      <c r="S123" s="355"/>
      <c r="T123" s="355"/>
      <c r="U123" s="355"/>
      <c r="V123" s="355"/>
      <c r="W123" s="355"/>
      <c r="X123" s="355"/>
      <c r="Y123" s="355"/>
      <c r="Z123" s="355"/>
    </row>
    <row r="124" spans="1:26" ht="13.5" customHeight="1" x14ac:dyDescent="0.25">
      <c r="A124" s="382"/>
      <c r="B124" s="355"/>
      <c r="C124" s="450"/>
      <c r="D124" s="450"/>
      <c r="E124" s="355"/>
      <c r="F124" s="355"/>
      <c r="G124" s="355"/>
      <c r="H124" s="355"/>
      <c r="I124" s="355"/>
      <c r="J124" s="355"/>
      <c r="K124" s="355"/>
      <c r="L124" s="355"/>
      <c r="M124" s="355"/>
      <c r="N124" s="355"/>
      <c r="O124" s="355"/>
      <c r="P124" s="355"/>
      <c r="Q124" s="355"/>
      <c r="R124" s="355"/>
      <c r="S124" s="355"/>
      <c r="T124" s="355"/>
      <c r="U124" s="355"/>
      <c r="V124" s="355"/>
      <c r="W124" s="355"/>
      <c r="X124" s="355"/>
      <c r="Y124" s="355"/>
      <c r="Z124" s="355"/>
    </row>
    <row r="125" spans="1:26" ht="13.5" customHeight="1" x14ac:dyDescent="0.25">
      <c r="A125" s="382"/>
      <c r="B125" s="355"/>
      <c r="C125" s="450"/>
      <c r="D125" s="450"/>
      <c r="E125" s="355"/>
      <c r="F125" s="355"/>
      <c r="G125" s="355"/>
      <c r="H125" s="355"/>
      <c r="I125" s="355"/>
      <c r="J125" s="355"/>
      <c r="K125" s="355"/>
      <c r="L125" s="355"/>
      <c r="M125" s="355"/>
      <c r="N125" s="355"/>
      <c r="O125" s="355"/>
      <c r="P125" s="355"/>
      <c r="Q125" s="355"/>
      <c r="R125" s="355"/>
      <c r="S125" s="355"/>
      <c r="T125" s="355"/>
      <c r="U125" s="355"/>
      <c r="V125" s="355"/>
      <c r="W125" s="355"/>
      <c r="X125" s="355"/>
      <c r="Y125" s="355"/>
      <c r="Z125" s="355"/>
    </row>
    <row r="126" spans="1:26" ht="13.5" customHeight="1" x14ac:dyDescent="0.25">
      <c r="A126" s="382"/>
      <c r="B126" s="355"/>
      <c r="C126" s="450"/>
      <c r="D126" s="450"/>
      <c r="E126" s="355"/>
      <c r="F126" s="355"/>
      <c r="G126" s="355"/>
      <c r="H126" s="355"/>
      <c r="I126" s="355"/>
      <c r="J126" s="355"/>
      <c r="K126" s="355"/>
      <c r="L126" s="355"/>
      <c r="M126" s="355"/>
      <c r="N126" s="355"/>
      <c r="O126" s="355"/>
      <c r="P126" s="355"/>
      <c r="Q126" s="355"/>
      <c r="R126" s="355"/>
      <c r="S126" s="355"/>
      <c r="T126" s="355"/>
      <c r="U126" s="355"/>
      <c r="V126" s="355"/>
      <c r="W126" s="355"/>
      <c r="X126" s="355"/>
      <c r="Y126" s="355"/>
      <c r="Z126" s="355"/>
    </row>
    <row r="127" spans="1:26" ht="13.5" customHeight="1" x14ac:dyDescent="0.25">
      <c r="A127" s="382"/>
      <c r="B127" s="355"/>
      <c r="C127" s="450"/>
      <c r="D127" s="450"/>
      <c r="E127" s="355"/>
      <c r="F127" s="355"/>
      <c r="G127" s="355"/>
      <c r="H127" s="355"/>
      <c r="I127" s="355"/>
      <c r="J127" s="355"/>
      <c r="K127" s="355"/>
      <c r="L127" s="355"/>
      <c r="M127" s="355"/>
      <c r="N127" s="355"/>
      <c r="O127" s="355"/>
      <c r="P127" s="355"/>
      <c r="Q127" s="355"/>
      <c r="R127" s="355"/>
      <c r="S127" s="355"/>
      <c r="T127" s="355"/>
      <c r="U127" s="355"/>
      <c r="V127" s="355"/>
      <c r="W127" s="355"/>
      <c r="X127" s="355"/>
      <c r="Y127" s="355"/>
      <c r="Z127" s="355"/>
    </row>
    <row r="128" spans="1:26" ht="13.5" customHeight="1" x14ac:dyDescent="0.25">
      <c r="A128" s="382"/>
      <c r="B128" s="355"/>
      <c r="C128" s="450"/>
      <c r="D128" s="450"/>
      <c r="E128" s="355"/>
      <c r="F128" s="355"/>
      <c r="G128" s="355"/>
      <c r="H128" s="355"/>
      <c r="I128" s="355"/>
      <c r="J128" s="355"/>
      <c r="K128" s="355"/>
      <c r="L128" s="355"/>
      <c r="M128" s="355"/>
      <c r="N128" s="355"/>
      <c r="O128" s="355"/>
      <c r="P128" s="355"/>
      <c r="Q128" s="355"/>
      <c r="R128" s="355"/>
      <c r="S128" s="355"/>
      <c r="T128" s="355"/>
      <c r="U128" s="355"/>
      <c r="V128" s="355"/>
      <c r="W128" s="355"/>
      <c r="X128" s="355"/>
      <c r="Y128" s="355"/>
      <c r="Z128" s="355"/>
    </row>
    <row r="129" spans="1:26" ht="13.5" customHeight="1" x14ac:dyDescent="0.25">
      <c r="A129" s="382"/>
      <c r="B129" s="355"/>
      <c r="C129" s="450"/>
      <c r="D129" s="450"/>
      <c r="E129" s="355"/>
      <c r="F129" s="355"/>
      <c r="G129" s="355"/>
      <c r="H129" s="355"/>
      <c r="I129" s="355"/>
      <c r="J129" s="355"/>
      <c r="K129" s="355"/>
      <c r="L129" s="355"/>
      <c r="M129" s="355"/>
      <c r="N129" s="355"/>
      <c r="O129" s="355"/>
      <c r="P129" s="355"/>
      <c r="Q129" s="355"/>
      <c r="R129" s="355"/>
      <c r="S129" s="355"/>
      <c r="T129" s="355"/>
      <c r="U129" s="355"/>
      <c r="V129" s="355"/>
      <c r="W129" s="355"/>
      <c r="X129" s="355"/>
      <c r="Y129" s="355"/>
      <c r="Z129" s="355"/>
    </row>
    <row r="130" spans="1:26" ht="13.5" customHeight="1" x14ac:dyDescent="0.25">
      <c r="A130" s="382"/>
      <c r="B130" s="355"/>
      <c r="C130" s="450"/>
      <c r="D130" s="450"/>
      <c r="E130" s="355"/>
      <c r="F130" s="355"/>
      <c r="G130" s="355"/>
      <c r="H130" s="355"/>
      <c r="I130" s="355"/>
      <c r="J130" s="355"/>
      <c r="K130" s="355"/>
      <c r="L130" s="355"/>
      <c r="M130" s="355"/>
      <c r="N130" s="355"/>
      <c r="O130" s="355"/>
      <c r="P130" s="355"/>
      <c r="Q130" s="355"/>
      <c r="R130" s="355"/>
      <c r="S130" s="355"/>
      <c r="T130" s="355"/>
      <c r="U130" s="355"/>
      <c r="V130" s="355"/>
      <c r="W130" s="355"/>
      <c r="X130" s="355"/>
      <c r="Y130" s="355"/>
      <c r="Z130" s="355"/>
    </row>
    <row r="131" spans="1:26" ht="13.5" customHeight="1" x14ac:dyDescent="0.25">
      <c r="A131" s="382"/>
      <c r="B131" s="355"/>
      <c r="C131" s="450"/>
      <c r="D131" s="450"/>
      <c r="E131" s="355"/>
      <c r="F131" s="355"/>
      <c r="G131" s="355"/>
      <c r="H131" s="355"/>
      <c r="I131" s="355"/>
      <c r="J131" s="355"/>
      <c r="K131" s="355"/>
      <c r="L131" s="355"/>
      <c r="M131" s="355"/>
      <c r="N131" s="355"/>
      <c r="O131" s="355"/>
      <c r="P131" s="355"/>
      <c r="Q131" s="355"/>
      <c r="R131" s="355"/>
      <c r="S131" s="355"/>
      <c r="T131" s="355"/>
      <c r="U131" s="355"/>
      <c r="V131" s="355"/>
      <c r="W131" s="355"/>
      <c r="X131" s="355"/>
      <c r="Y131" s="355"/>
      <c r="Z131" s="355"/>
    </row>
    <row r="132" spans="1:26" ht="13.5" customHeight="1" x14ac:dyDescent="0.25">
      <c r="A132" s="382"/>
      <c r="B132" s="355"/>
      <c r="C132" s="450"/>
      <c r="D132" s="450"/>
      <c r="E132" s="355"/>
      <c r="F132" s="355"/>
      <c r="G132" s="355"/>
      <c r="H132" s="355"/>
      <c r="I132" s="355"/>
      <c r="J132" s="355"/>
      <c r="K132" s="355"/>
      <c r="L132" s="355"/>
      <c r="M132" s="355"/>
      <c r="N132" s="355"/>
      <c r="O132" s="355"/>
      <c r="P132" s="355"/>
      <c r="Q132" s="355"/>
      <c r="R132" s="355"/>
      <c r="S132" s="355"/>
      <c r="T132" s="355"/>
      <c r="U132" s="355"/>
      <c r="V132" s="355"/>
      <c r="W132" s="355"/>
      <c r="X132" s="355"/>
      <c r="Y132" s="355"/>
      <c r="Z132" s="355"/>
    </row>
    <row r="133" spans="1:26" ht="13.5" customHeight="1" x14ac:dyDescent="0.25">
      <c r="A133" s="382"/>
      <c r="B133" s="355"/>
      <c r="C133" s="450"/>
      <c r="D133" s="450"/>
      <c r="E133" s="355"/>
      <c r="F133" s="355"/>
      <c r="G133" s="355"/>
      <c r="H133" s="355"/>
      <c r="I133" s="355"/>
      <c r="J133" s="355"/>
      <c r="K133" s="355"/>
      <c r="L133" s="355"/>
      <c r="M133" s="355"/>
      <c r="N133" s="355"/>
      <c r="O133" s="355"/>
      <c r="P133" s="355"/>
      <c r="Q133" s="355"/>
      <c r="R133" s="355"/>
      <c r="S133" s="355"/>
      <c r="T133" s="355"/>
      <c r="U133" s="355"/>
      <c r="V133" s="355"/>
      <c r="W133" s="355"/>
      <c r="X133" s="355"/>
      <c r="Y133" s="355"/>
      <c r="Z133" s="355"/>
    </row>
    <row r="134" spans="1:26" ht="13.5" customHeight="1" x14ac:dyDescent="0.25">
      <c r="A134" s="382"/>
      <c r="B134" s="355"/>
      <c r="C134" s="450"/>
      <c r="D134" s="450"/>
      <c r="E134" s="355"/>
      <c r="F134" s="355"/>
      <c r="G134" s="355"/>
      <c r="H134" s="355"/>
      <c r="I134" s="355"/>
      <c r="J134" s="355"/>
      <c r="K134" s="355"/>
      <c r="L134" s="355"/>
      <c r="M134" s="355"/>
      <c r="N134" s="355"/>
      <c r="O134" s="355"/>
      <c r="P134" s="355"/>
      <c r="Q134" s="355"/>
      <c r="R134" s="355"/>
      <c r="S134" s="355"/>
      <c r="T134" s="355"/>
      <c r="U134" s="355"/>
      <c r="V134" s="355"/>
      <c r="W134" s="355"/>
      <c r="X134" s="355"/>
      <c r="Y134" s="355"/>
      <c r="Z134" s="355"/>
    </row>
    <row r="135" spans="1:26" ht="13.5" customHeight="1" x14ac:dyDescent="0.25">
      <c r="A135" s="382"/>
      <c r="B135" s="355"/>
      <c r="C135" s="450"/>
      <c r="D135" s="450"/>
      <c r="E135" s="355"/>
      <c r="F135" s="355"/>
      <c r="G135" s="355"/>
      <c r="H135" s="355"/>
      <c r="I135" s="355"/>
      <c r="J135" s="355"/>
      <c r="K135" s="355"/>
      <c r="L135" s="355"/>
      <c r="M135" s="355"/>
      <c r="N135" s="355"/>
      <c r="O135" s="355"/>
      <c r="P135" s="355"/>
      <c r="Q135" s="355"/>
      <c r="R135" s="355"/>
      <c r="S135" s="355"/>
      <c r="T135" s="355"/>
      <c r="U135" s="355"/>
      <c r="V135" s="355"/>
      <c r="W135" s="355"/>
      <c r="X135" s="355"/>
      <c r="Y135" s="355"/>
      <c r="Z135" s="355"/>
    </row>
    <row r="136" spans="1:26" ht="13.5" customHeight="1" x14ac:dyDescent="0.25">
      <c r="A136" s="382"/>
      <c r="B136" s="355"/>
      <c r="C136" s="450"/>
      <c r="D136" s="450"/>
      <c r="E136" s="355"/>
      <c r="F136" s="355"/>
      <c r="G136" s="355"/>
      <c r="H136" s="355"/>
      <c r="I136" s="355"/>
      <c r="J136" s="355"/>
      <c r="K136" s="355"/>
      <c r="L136" s="355"/>
      <c r="M136" s="355"/>
      <c r="N136" s="355"/>
      <c r="O136" s="355"/>
      <c r="P136" s="355"/>
      <c r="Q136" s="355"/>
      <c r="R136" s="355"/>
      <c r="S136" s="355"/>
      <c r="T136" s="355"/>
      <c r="U136" s="355"/>
      <c r="V136" s="355"/>
      <c r="W136" s="355"/>
      <c r="X136" s="355"/>
      <c r="Y136" s="355"/>
      <c r="Z136" s="355"/>
    </row>
    <row r="137" spans="1:26" ht="13.5" customHeight="1" x14ac:dyDescent="0.25">
      <c r="A137" s="382"/>
      <c r="B137" s="355"/>
      <c r="C137" s="450"/>
      <c r="D137" s="450"/>
      <c r="E137" s="355"/>
      <c r="F137" s="355"/>
      <c r="G137" s="355"/>
      <c r="H137" s="355"/>
      <c r="I137" s="355"/>
      <c r="J137" s="355"/>
      <c r="K137" s="355"/>
      <c r="L137" s="355"/>
      <c r="M137" s="355"/>
      <c r="N137" s="355"/>
      <c r="O137" s="355"/>
      <c r="P137" s="355"/>
      <c r="Q137" s="355"/>
      <c r="R137" s="355"/>
      <c r="S137" s="355"/>
      <c r="T137" s="355"/>
      <c r="U137" s="355"/>
      <c r="V137" s="355"/>
      <c r="W137" s="355"/>
      <c r="X137" s="355"/>
      <c r="Y137" s="355"/>
      <c r="Z137" s="355"/>
    </row>
    <row r="138" spans="1:26" ht="13.5" customHeight="1" x14ac:dyDescent="0.25">
      <c r="A138" s="382"/>
      <c r="B138" s="355"/>
      <c r="C138" s="450"/>
      <c r="D138" s="450"/>
      <c r="E138" s="355"/>
      <c r="F138" s="355"/>
      <c r="G138" s="355"/>
      <c r="H138" s="355"/>
      <c r="I138" s="355"/>
      <c r="J138" s="355"/>
      <c r="K138" s="355"/>
      <c r="L138" s="355"/>
      <c r="M138" s="355"/>
      <c r="N138" s="355"/>
      <c r="O138" s="355"/>
      <c r="P138" s="355"/>
      <c r="Q138" s="355"/>
      <c r="R138" s="355"/>
      <c r="S138" s="355"/>
      <c r="T138" s="355"/>
      <c r="U138" s="355"/>
      <c r="V138" s="355"/>
      <c r="W138" s="355"/>
      <c r="X138" s="355"/>
      <c r="Y138" s="355"/>
      <c r="Z138" s="355"/>
    </row>
    <row r="139" spans="1:26" ht="13.5" customHeight="1" x14ac:dyDescent="0.25">
      <c r="A139" s="382"/>
      <c r="B139" s="355"/>
      <c r="C139" s="450"/>
      <c r="D139" s="450"/>
      <c r="E139" s="355"/>
      <c r="F139" s="355"/>
      <c r="G139" s="355"/>
      <c r="H139" s="355"/>
      <c r="I139" s="355"/>
      <c r="J139" s="355"/>
      <c r="K139" s="355"/>
      <c r="L139" s="355"/>
      <c r="M139" s="355"/>
      <c r="N139" s="355"/>
      <c r="O139" s="355"/>
      <c r="P139" s="355"/>
      <c r="Q139" s="355"/>
      <c r="R139" s="355"/>
      <c r="S139" s="355"/>
      <c r="T139" s="355"/>
      <c r="U139" s="355"/>
      <c r="V139" s="355"/>
      <c r="W139" s="355"/>
      <c r="X139" s="355"/>
      <c r="Y139" s="355"/>
      <c r="Z139" s="355"/>
    </row>
    <row r="140" spans="1:26" ht="13.5" customHeight="1" x14ac:dyDescent="0.25">
      <c r="A140" s="382"/>
      <c r="B140" s="355"/>
      <c r="C140" s="450"/>
      <c r="D140" s="450"/>
      <c r="E140" s="355"/>
      <c r="F140" s="355"/>
      <c r="G140" s="355"/>
      <c r="H140" s="355"/>
      <c r="I140" s="355"/>
      <c r="J140" s="355"/>
      <c r="K140" s="355"/>
      <c r="L140" s="355"/>
      <c r="M140" s="355"/>
      <c r="N140" s="355"/>
      <c r="O140" s="355"/>
      <c r="P140" s="355"/>
      <c r="Q140" s="355"/>
      <c r="R140" s="355"/>
      <c r="S140" s="355"/>
      <c r="T140" s="355"/>
      <c r="U140" s="355"/>
      <c r="V140" s="355"/>
      <c r="W140" s="355"/>
      <c r="X140" s="355"/>
      <c r="Y140" s="355"/>
      <c r="Z140" s="355"/>
    </row>
    <row r="141" spans="1:26" ht="13.5" customHeight="1" x14ac:dyDescent="0.25">
      <c r="A141" s="382"/>
      <c r="B141" s="355"/>
      <c r="C141" s="450"/>
      <c r="D141" s="450"/>
      <c r="E141" s="355"/>
      <c r="F141" s="355"/>
      <c r="G141" s="355"/>
      <c r="H141" s="355"/>
      <c r="I141" s="355"/>
      <c r="J141" s="355"/>
      <c r="K141" s="355"/>
      <c r="L141" s="355"/>
      <c r="M141" s="355"/>
      <c r="N141" s="355"/>
      <c r="O141" s="355"/>
      <c r="P141" s="355"/>
      <c r="Q141" s="355"/>
      <c r="R141" s="355"/>
      <c r="S141" s="355"/>
      <c r="T141" s="355"/>
      <c r="U141" s="355"/>
      <c r="V141" s="355"/>
      <c r="W141" s="355"/>
      <c r="X141" s="355"/>
      <c r="Y141" s="355"/>
      <c r="Z141" s="355"/>
    </row>
    <row r="142" spans="1:26" ht="13.5" customHeight="1" x14ac:dyDescent="0.25">
      <c r="A142" s="382"/>
      <c r="B142" s="355"/>
      <c r="C142" s="450"/>
      <c r="D142" s="450"/>
      <c r="E142" s="355"/>
      <c r="F142" s="355"/>
      <c r="G142" s="355"/>
      <c r="H142" s="355"/>
      <c r="I142" s="355"/>
      <c r="J142" s="355"/>
      <c r="K142" s="355"/>
      <c r="L142" s="355"/>
      <c r="M142" s="355"/>
      <c r="N142" s="355"/>
      <c r="O142" s="355"/>
      <c r="P142" s="355"/>
      <c r="Q142" s="355"/>
      <c r="R142" s="355"/>
      <c r="S142" s="355"/>
      <c r="T142" s="355"/>
      <c r="U142" s="355"/>
      <c r="V142" s="355"/>
      <c r="W142" s="355"/>
      <c r="X142" s="355"/>
      <c r="Y142" s="355"/>
      <c r="Z142" s="355"/>
    </row>
    <row r="143" spans="1:26" ht="13.5" customHeight="1" x14ac:dyDescent="0.25">
      <c r="A143" s="382"/>
      <c r="B143" s="355"/>
      <c r="C143" s="450"/>
      <c r="D143" s="450"/>
      <c r="E143" s="355"/>
      <c r="F143" s="355"/>
      <c r="G143" s="355"/>
      <c r="H143" s="355"/>
      <c r="I143" s="355"/>
      <c r="J143" s="355"/>
      <c r="K143" s="355"/>
      <c r="L143" s="355"/>
      <c r="M143" s="355"/>
      <c r="N143" s="355"/>
      <c r="O143" s="355"/>
      <c r="P143" s="355"/>
      <c r="Q143" s="355"/>
      <c r="R143" s="355"/>
      <c r="S143" s="355"/>
      <c r="T143" s="355"/>
      <c r="U143" s="355"/>
      <c r="V143" s="355"/>
      <c r="W143" s="355"/>
      <c r="X143" s="355"/>
      <c r="Y143" s="355"/>
      <c r="Z143" s="355"/>
    </row>
    <row r="144" spans="1:26" ht="13.5" customHeight="1" x14ac:dyDescent="0.25">
      <c r="A144" s="382"/>
      <c r="B144" s="355"/>
      <c r="C144" s="450"/>
      <c r="D144" s="450"/>
      <c r="E144" s="355"/>
      <c r="F144" s="355"/>
      <c r="G144" s="355"/>
      <c r="H144" s="355"/>
      <c r="I144" s="355"/>
      <c r="J144" s="355"/>
      <c r="K144" s="355"/>
      <c r="L144" s="355"/>
      <c r="M144" s="355"/>
      <c r="N144" s="355"/>
      <c r="O144" s="355"/>
      <c r="P144" s="355"/>
      <c r="Q144" s="355"/>
      <c r="R144" s="355"/>
      <c r="S144" s="355"/>
      <c r="T144" s="355"/>
      <c r="U144" s="355"/>
      <c r="V144" s="355"/>
      <c r="W144" s="355"/>
      <c r="X144" s="355"/>
      <c r="Y144" s="355"/>
      <c r="Z144" s="355"/>
    </row>
    <row r="145" spans="1:26" ht="13.5" customHeight="1" x14ac:dyDescent="0.25">
      <c r="A145" s="382"/>
      <c r="B145" s="355"/>
      <c r="C145" s="450"/>
      <c r="D145" s="450"/>
      <c r="E145" s="355"/>
      <c r="F145" s="355"/>
      <c r="G145" s="355"/>
      <c r="H145" s="355"/>
      <c r="I145" s="355"/>
      <c r="J145" s="355"/>
      <c r="K145" s="355"/>
      <c r="L145" s="355"/>
      <c r="M145" s="355"/>
      <c r="N145" s="355"/>
      <c r="O145" s="355"/>
      <c r="P145" s="355"/>
      <c r="Q145" s="355"/>
      <c r="R145" s="355"/>
      <c r="S145" s="355"/>
      <c r="T145" s="355"/>
      <c r="U145" s="355"/>
      <c r="V145" s="355"/>
      <c r="W145" s="355"/>
      <c r="X145" s="355"/>
      <c r="Y145" s="355"/>
      <c r="Z145" s="355"/>
    </row>
    <row r="146" spans="1:26" ht="13.5" customHeight="1" x14ac:dyDescent="0.25">
      <c r="A146" s="382"/>
      <c r="B146" s="355"/>
      <c r="C146" s="450"/>
      <c r="D146" s="450"/>
      <c r="E146" s="355"/>
      <c r="F146" s="355"/>
      <c r="G146" s="355"/>
      <c r="H146" s="355"/>
      <c r="I146" s="355"/>
      <c r="J146" s="355"/>
      <c r="K146" s="355"/>
      <c r="L146" s="355"/>
      <c r="M146" s="355"/>
      <c r="N146" s="355"/>
      <c r="O146" s="355"/>
      <c r="P146" s="355"/>
      <c r="Q146" s="355"/>
      <c r="R146" s="355"/>
      <c r="S146" s="355"/>
      <c r="T146" s="355"/>
      <c r="U146" s="355"/>
      <c r="V146" s="355"/>
      <c r="W146" s="355"/>
      <c r="X146" s="355"/>
      <c r="Y146" s="355"/>
      <c r="Z146" s="355"/>
    </row>
    <row r="147" spans="1:26" ht="13.5" customHeight="1" x14ac:dyDescent="0.25">
      <c r="A147" s="382"/>
      <c r="B147" s="355"/>
      <c r="C147" s="450"/>
      <c r="D147" s="450"/>
      <c r="E147" s="355"/>
      <c r="F147" s="355"/>
      <c r="G147" s="355"/>
      <c r="H147" s="355"/>
      <c r="I147" s="355"/>
      <c r="J147" s="355"/>
      <c r="K147" s="355"/>
      <c r="L147" s="355"/>
      <c r="M147" s="355"/>
      <c r="N147" s="355"/>
      <c r="O147" s="355"/>
      <c r="P147" s="355"/>
      <c r="Q147" s="355"/>
      <c r="R147" s="355"/>
      <c r="S147" s="355"/>
      <c r="T147" s="355"/>
      <c r="U147" s="355"/>
      <c r="V147" s="355"/>
      <c r="W147" s="355"/>
      <c r="X147" s="355"/>
      <c r="Y147" s="355"/>
      <c r="Z147" s="355"/>
    </row>
    <row r="148" spans="1:26" ht="13.5" customHeight="1" x14ac:dyDescent="0.25">
      <c r="A148" s="382"/>
      <c r="B148" s="355"/>
      <c r="C148" s="450"/>
      <c r="D148" s="450"/>
      <c r="E148" s="355"/>
      <c r="F148" s="355"/>
      <c r="G148" s="355"/>
      <c r="H148" s="355"/>
      <c r="I148" s="355"/>
      <c r="J148" s="355"/>
      <c r="K148" s="355"/>
      <c r="L148" s="355"/>
      <c r="M148" s="355"/>
      <c r="N148" s="355"/>
      <c r="O148" s="355"/>
      <c r="P148" s="355"/>
      <c r="Q148" s="355"/>
      <c r="R148" s="355"/>
      <c r="S148" s="355"/>
      <c r="T148" s="355"/>
      <c r="U148" s="355"/>
      <c r="V148" s="355"/>
      <c r="W148" s="355"/>
      <c r="X148" s="355"/>
      <c r="Y148" s="355"/>
      <c r="Z148" s="355"/>
    </row>
    <row r="149" spans="1:26" ht="13.5" customHeight="1" x14ac:dyDescent="0.25">
      <c r="A149" s="382"/>
      <c r="B149" s="355"/>
      <c r="C149" s="450"/>
      <c r="D149" s="450"/>
      <c r="E149" s="355"/>
      <c r="F149" s="355"/>
      <c r="G149" s="355"/>
      <c r="H149" s="355"/>
      <c r="I149" s="355"/>
      <c r="J149" s="355"/>
      <c r="K149" s="355"/>
      <c r="L149" s="355"/>
      <c r="M149" s="355"/>
      <c r="N149" s="355"/>
      <c r="O149" s="355"/>
      <c r="P149" s="355"/>
      <c r="Q149" s="355"/>
      <c r="R149" s="355"/>
      <c r="S149" s="355"/>
      <c r="T149" s="355"/>
      <c r="U149" s="355"/>
      <c r="V149" s="355"/>
      <c r="W149" s="355"/>
      <c r="X149" s="355"/>
      <c r="Y149" s="355"/>
      <c r="Z149" s="355"/>
    </row>
    <row r="150" spans="1:26" ht="13.5" customHeight="1" x14ac:dyDescent="0.25">
      <c r="A150" s="382"/>
      <c r="B150" s="355"/>
      <c r="C150" s="450"/>
      <c r="D150" s="450"/>
      <c r="E150" s="355"/>
      <c r="F150" s="355"/>
      <c r="G150" s="355"/>
      <c r="H150" s="355"/>
      <c r="I150" s="355"/>
      <c r="J150" s="355"/>
      <c r="K150" s="355"/>
      <c r="L150" s="355"/>
      <c r="M150" s="355"/>
      <c r="N150" s="355"/>
      <c r="O150" s="355"/>
      <c r="P150" s="355"/>
      <c r="Q150" s="355"/>
      <c r="R150" s="355"/>
      <c r="S150" s="355"/>
      <c r="T150" s="355"/>
      <c r="U150" s="355"/>
      <c r="V150" s="355"/>
      <c r="W150" s="355"/>
      <c r="X150" s="355"/>
      <c r="Y150" s="355"/>
      <c r="Z150" s="355"/>
    </row>
    <row r="151" spans="1:26" ht="13.5" customHeight="1" x14ac:dyDescent="0.25">
      <c r="A151" s="382"/>
      <c r="B151" s="355"/>
      <c r="C151" s="450"/>
      <c r="D151" s="450"/>
      <c r="E151" s="355"/>
      <c r="F151" s="355"/>
      <c r="G151" s="355"/>
      <c r="H151" s="355"/>
      <c r="I151" s="355"/>
      <c r="J151" s="355"/>
      <c r="K151" s="355"/>
      <c r="L151" s="355"/>
      <c r="M151" s="355"/>
      <c r="N151" s="355"/>
      <c r="O151" s="355"/>
      <c r="P151" s="355"/>
      <c r="Q151" s="355"/>
      <c r="R151" s="355"/>
      <c r="S151" s="355"/>
      <c r="T151" s="355"/>
      <c r="U151" s="355"/>
      <c r="V151" s="355"/>
      <c r="W151" s="355"/>
      <c r="X151" s="355"/>
      <c r="Y151" s="355"/>
      <c r="Z151" s="355"/>
    </row>
    <row r="152" spans="1:26" ht="13.5" customHeight="1" x14ac:dyDescent="0.25">
      <c r="A152" s="382"/>
      <c r="B152" s="355"/>
      <c r="C152" s="450"/>
      <c r="D152" s="450"/>
      <c r="E152" s="355"/>
      <c r="F152" s="355"/>
      <c r="G152" s="355"/>
      <c r="H152" s="355"/>
      <c r="I152" s="355"/>
      <c r="J152" s="355"/>
      <c r="K152" s="355"/>
      <c r="L152" s="355"/>
      <c r="M152" s="355"/>
      <c r="N152" s="355"/>
      <c r="O152" s="355"/>
      <c r="P152" s="355"/>
      <c r="Q152" s="355"/>
      <c r="R152" s="355"/>
      <c r="S152" s="355"/>
      <c r="T152" s="355"/>
      <c r="U152" s="355"/>
      <c r="V152" s="355"/>
      <c r="W152" s="355"/>
      <c r="X152" s="355"/>
      <c r="Y152" s="355"/>
      <c r="Z152" s="355"/>
    </row>
    <row r="153" spans="1:26" ht="13.5" customHeight="1" x14ac:dyDescent="0.25">
      <c r="A153" s="382"/>
      <c r="B153" s="355"/>
      <c r="C153" s="450"/>
      <c r="D153" s="450"/>
      <c r="E153" s="355"/>
      <c r="F153" s="355"/>
      <c r="G153" s="355"/>
      <c r="H153" s="355"/>
      <c r="I153" s="355"/>
      <c r="J153" s="355"/>
      <c r="K153" s="355"/>
      <c r="L153" s="355"/>
      <c r="M153" s="355"/>
      <c r="N153" s="355"/>
      <c r="O153" s="355"/>
      <c r="P153" s="355"/>
      <c r="Q153" s="355"/>
      <c r="R153" s="355"/>
      <c r="S153" s="355"/>
      <c r="T153" s="355"/>
      <c r="U153" s="355"/>
      <c r="V153" s="355"/>
      <c r="W153" s="355"/>
      <c r="X153" s="355"/>
      <c r="Y153" s="355"/>
      <c r="Z153" s="355"/>
    </row>
    <row r="154" spans="1:26" ht="13.5" customHeight="1" x14ac:dyDescent="0.25">
      <c r="A154" s="382"/>
      <c r="B154" s="355"/>
      <c r="C154" s="450"/>
      <c r="D154" s="450"/>
      <c r="E154" s="355"/>
      <c r="F154" s="355"/>
      <c r="G154" s="355"/>
      <c r="H154" s="355"/>
      <c r="I154" s="355"/>
      <c r="J154" s="355"/>
      <c r="K154" s="355"/>
      <c r="L154" s="355"/>
      <c r="M154" s="355"/>
      <c r="N154" s="355"/>
      <c r="O154" s="355"/>
      <c r="P154" s="355"/>
      <c r="Q154" s="355"/>
      <c r="R154" s="355"/>
      <c r="S154" s="355"/>
      <c r="T154" s="355"/>
      <c r="U154" s="355"/>
      <c r="V154" s="355"/>
      <c r="W154" s="355"/>
      <c r="X154" s="355"/>
      <c r="Y154" s="355"/>
      <c r="Z154" s="355"/>
    </row>
    <row r="155" spans="1:26" ht="13.5" customHeight="1" x14ac:dyDescent="0.25">
      <c r="A155" s="382"/>
      <c r="B155" s="355"/>
      <c r="C155" s="450"/>
      <c r="D155" s="450"/>
      <c r="E155" s="355"/>
      <c r="F155" s="355"/>
      <c r="G155" s="355"/>
      <c r="H155" s="355"/>
      <c r="I155" s="355"/>
      <c r="J155" s="355"/>
      <c r="K155" s="355"/>
      <c r="L155" s="355"/>
      <c r="M155" s="355"/>
      <c r="N155" s="355"/>
      <c r="O155" s="355"/>
      <c r="P155" s="355"/>
      <c r="Q155" s="355"/>
      <c r="R155" s="355"/>
      <c r="S155" s="355"/>
      <c r="T155" s="355"/>
      <c r="U155" s="355"/>
      <c r="V155" s="355"/>
      <c r="W155" s="355"/>
      <c r="X155" s="355"/>
      <c r="Y155" s="355"/>
      <c r="Z155" s="355"/>
    </row>
    <row r="156" spans="1:26" ht="13.5" customHeight="1" x14ac:dyDescent="0.25">
      <c r="A156" s="382"/>
      <c r="B156" s="355"/>
      <c r="C156" s="450"/>
      <c r="D156" s="450"/>
      <c r="E156" s="355"/>
      <c r="F156" s="355"/>
      <c r="G156" s="355"/>
      <c r="H156" s="355"/>
      <c r="I156" s="355"/>
      <c r="J156" s="355"/>
      <c r="K156" s="355"/>
      <c r="L156" s="355"/>
      <c r="M156" s="355"/>
      <c r="N156" s="355"/>
      <c r="O156" s="355"/>
      <c r="P156" s="355"/>
      <c r="Q156" s="355"/>
      <c r="R156" s="355"/>
      <c r="S156" s="355"/>
      <c r="T156" s="355"/>
      <c r="U156" s="355"/>
      <c r="V156" s="355"/>
      <c r="W156" s="355"/>
      <c r="X156" s="355"/>
      <c r="Y156" s="355"/>
      <c r="Z156" s="355"/>
    </row>
    <row r="157" spans="1:26" ht="13.5" customHeight="1" x14ac:dyDescent="0.25">
      <c r="A157" s="382"/>
      <c r="B157" s="355"/>
      <c r="C157" s="450"/>
      <c r="D157" s="450"/>
      <c r="E157" s="355"/>
      <c r="F157" s="355"/>
      <c r="G157" s="355"/>
      <c r="H157" s="355"/>
      <c r="I157" s="355"/>
      <c r="J157" s="355"/>
      <c r="K157" s="355"/>
      <c r="L157" s="355"/>
      <c r="M157" s="355"/>
      <c r="N157" s="355"/>
      <c r="O157" s="355"/>
      <c r="P157" s="355"/>
      <c r="Q157" s="355"/>
      <c r="R157" s="355"/>
      <c r="S157" s="355"/>
      <c r="T157" s="355"/>
      <c r="U157" s="355"/>
      <c r="V157" s="355"/>
      <c r="W157" s="355"/>
      <c r="X157" s="355"/>
      <c r="Y157" s="355"/>
      <c r="Z157" s="355"/>
    </row>
    <row r="158" spans="1:26" ht="13.5" customHeight="1" x14ac:dyDescent="0.25">
      <c r="A158" s="382"/>
      <c r="B158" s="355"/>
      <c r="C158" s="450"/>
      <c r="D158" s="450"/>
      <c r="E158" s="355"/>
      <c r="F158" s="355"/>
      <c r="G158" s="355"/>
      <c r="H158" s="355"/>
      <c r="I158" s="355"/>
      <c r="J158" s="355"/>
      <c r="K158" s="355"/>
      <c r="L158" s="355"/>
      <c r="M158" s="355"/>
      <c r="N158" s="355"/>
      <c r="O158" s="355"/>
      <c r="P158" s="355"/>
      <c r="Q158" s="355"/>
      <c r="R158" s="355"/>
      <c r="S158" s="355"/>
      <c r="T158" s="355"/>
      <c r="U158" s="355"/>
      <c r="V158" s="355"/>
      <c r="W158" s="355"/>
      <c r="X158" s="355"/>
      <c r="Y158" s="355"/>
      <c r="Z158" s="355"/>
    </row>
    <row r="159" spans="1:26" ht="13.5" customHeight="1" x14ac:dyDescent="0.25">
      <c r="A159" s="382"/>
      <c r="B159" s="355"/>
      <c r="C159" s="450"/>
      <c r="D159" s="450"/>
      <c r="E159" s="355"/>
      <c r="F159" s="355"/>
      <c r="G159" s="355"/>
      <c r="H159" s="355"/>
      <c r="I159" s="355"/>
      <c r="J159" s="355"/>
      <c r="K159" s="355"/>
      <c r="L159" s="355"/>
      <c r="M159" s="355"/>
      <c r="N159" s="355"/>
      <c r="O159" s="355"/>
      <c r="P159" s="355"/>
      <c r="Q159" s="355"/>
      <c r="R159" s="355"/>
      <c r="S159" s="355"/>
      <c r="T159" s="355"/>
      <c r="U159" s="355"/>
      <c r="V159" s="355"/>
      <c r="W159" s="355"/>
      <c r="X159" s="355"/>
      <c r="Y159" s="355"/>
      <c r="Z159" s="355"/>
    </row>
    <row r="160" spans="1:26" ht="13.5" customHeight="1" x14ac:dyDescent="0.25">
      <c r="A160" s="382"/>
      <c r="B160" s="355"/>
      <c r="C160" s="450"/>
      <c r="D160" s="450"/>
      <c r="E160" s="355"/>
      <c r="F160" s="355"/>
      <c r="G160" s="355"/>
      <c r="H160" s="355"/>
      <c r="I160" s="355"/>
      <c r="J160" s="355"/>
      <c r="K160" s="355"/>
      <c r="L160" s="355"/>
      <c r="M160" s="355"/>
      <c r="N160" s="355"/>
      <c r="O160" s="355"/>
      <c r="P160" s="355"/>
      <c r="Q160" s="355"/>
      <c r="R160" s="355"/>
      <c r="S160" s="355"/>
      <c r="T160" s="355"/>
      <c r="U160" s="355"/>
      <c r="V160" s="355"/>
      <c r="W160" s="355"/>
      <c r="X160" s="355"/>
      <c r="Y160" s="355"/>
      <c r="Z160" s="355"/>
    </row>
    <row r="161" spans="1:26" ht="13.5" customHeight="1" x14ac:dyDescent="0.25">
      <c r="A161" s="382"/>
      <c r="B161" s="355"/>
      <c r="C161" s="450"/>
      <c r="D161" s="450"/>
      <c r="E161" s="355"/>
      <c r="F161" s="355"/>
      <c r="G161" s="355"/>
      <c r="H161" s="355"/>
      <c r="I161" s="355"/>
      <c r="J161" s="355"/>
      <c r="K161" s="355"/>
      <c r="L161" s="355"/>
      <c r="M161" s="355"/>
      <c r="N161" s="355"/>
      <c r="O161" s="355"/>
      <c r="P161" s="355"/>
      <c r="Q161" s="355"/>
      <c r="R161" s="355"/>
      <c r="S161" s="355"/>
      <c r="T161" s="355"/>
      <c r="U161" s="355"/>
      <c r="V161" s="355"/>
      <c r="W161" s="355"/>
      <c r="X161" s="355"/>
      <c r="Y161" s="355"/>
      <c r="Z161" s="355"/>
    </row>
    <row r="162" spans="1:26" ht="13.5" customHeight="1" x14ac:dyDescent="0.25">
      <c r="A162" s="382"/>
      <c r="B162" s="355"/>
      <c r="C162" s="450"/>
      <c r="D162" s="450"/>
      <c r="E162" s="355"/>
      <c r="F162" s="355"/>
      <c r="G162" s="355"/>
      <c r="H162" s="355"/>
      <c r="I162" s="355"/>
      <c r="J162" s="355"/>
      <c r="K162" s="355"/>
      <c r="L162" s="355"/>
      <c r="M162" s="355"/>
      <c r="N162" s="355"/>
      <c r="O162" s="355"/>
      <c r="P162" s="355"/>
      <c r="Q162" s="355"/>
      <c r="R162" s="355"/>
      <c r="S162" s="355"/>
      <c r="T162" s="355"/>
      <c r="U162" s="355"/>
      <c r="V162" s="355"/>
      <c r="W162" s="355"/>
      <c r="X162" s="355"/>
      <c r="Y162" s="355"/>
      <c r="Z162" s="355"/>
    </row>
    <row r="163" spans="1:26" ht="13.5" customHeight="1" x14ac:dyDescent="0.25">
      <c r="A163" s="382"/>
      <c r="B163" s="355"/>
      <c r="C163" s="450"/>
      <c r="D163" s="450"/>
      <c r="E163" s="355"/>
      <c r="F163" s="355"/>
      <c r="G163" s="355"/>
      <c r="H163" s="355"/>
      <c r="I163" s="355"/>
      <c r="J163" s="355"/>
      <c r="K163" s="355"/>
      <c r="L163" s="355"/>
      <c r="M163" s="355"/>
      <c r="N163" s="355"/>
      <c r="O163" s="355"/>
      <c r="P163" s="355"/>
      <c r="Q163" s="355"/>
      <c r="R163" s="355"/>
      <c r="S163" s="355"/>
      <c r="T163" s="355"/>
      <c r="U163" s="355"/>
      <c r="V163" s="355"/>
      <c r="W163" s="355"/>
      <c r="X163" s="355"/>
      <c r="Y163" s="355"/>
      <c r="Z163" s="355"/>
    </row>
    <row r="164" spans="1:26" ht="13.5" customHeight="1" x14ac:dyDescent="0.25">
      <c r="A164" s="382"/>
      <c r="B164" s="355"/>
      <c r="C164" s="450"/>
      <c r="D164" s="450"/>
      <c r="E164" s="355"/>
      <c r="F164" s="355"/>
      <c r="G164" s="355"/>
      <c r="H164" s="355"/>
      <c r="I164" s="355"/>
      <c r="J164" s="355"/>
      <c r="K164" s="355"/>
      <c r="L164" s="355"/>
      <c r="M164" s="355"/>
      <c r="N164" s="355"/>
      <c r="O164" s="355"/>
      <c r="P164" s="355"/>
      <c r="Q164" s="355"/>
      <c r="R164" s="355"/>
      <c r="S164" s="355"/>
      <c r="T164" s="355"/>
      <c r="U164" s="355"/>
      <c r="V164" s="355"/>
      <c r="W164" s="355"/>
      <c r="X164" s="355"/>
      <c r="Y164" s="355"/>
      <c r="Z164" s="355"/>
    </row>
    <row r="165" spans="1:26" ht="13.5" customHeight="1" x14ac:dyDescent="0.25">
      <c r="A165" s="382"/>
      <c r="B165" s="355"/>
      <c r="C165" s="450"/>
      <c r="D165" s="450"/>
      <c r="E165" s="355"/>
      <c r="F165" s="355"/>
      <c r="G165" s="355"/>
      <c r="H165" s="355"/>
      <c r="I165" s="355"/>
      <c r="J165" s="355"/>
      <c r="K165" s="355"/>
      <c r="L165" s="355"/>
      <c r="M165" s="355"/>
      <c r="N165" s="355"/>
      <c r="O165" s="355"/>
      <c r="P165" s="355"/>
      <c r="Q165" s="355"/>
      <c r="R165" s="355"/>
      <c r="S165" s="355"/>
      <c r="T165" s="355"/>
      <c r="U165" s="355"/>
      <c r="V165" s="355"/>
      <c r="W165" s="355"/>
      <c r="X165" s="355"/>
      <c r="Y165" s="355"/>
      <c r="Z165" s="355"/>
    </row>
    <row r="166" spans="1:26" ht="13.5" customHeight="1" x14ac:dyDescent="0.25">
      <c r="A166" s="382"/>
      <c r="B166" s="355"/>
      <c r="C166" s="450"/>
      <c r="D166" s="450"/>
      <c r="E166" s="355"/>
      <c r="F166" s="355"/>
      <c r="G166" s="355"/>
      <c r="H166" s="355"/>
      <c r="I166" s="355"/>
      <c r="J166" s="355"/>
      <c r="K166" s="355"/>
      <c r="L166" s="355"/>
      <c r="M166" s="355"/>
      <c r="N166" s="355"/>
      <c r="O166" s="355"/>
      <c r="P166" s="355"/>
      <c r="Q166" s="355"/>
      <c r="R166" s="355"/>
      <c r="S166" s="355"/>
      <c r="T166" s="355"/>
      <c r="U166" s="355"/>
      <c r="V166" s="355"/>
      <c r="W166" s="355"/>
      <c r="X166" s="355"/>
      <c r="Y166" s="355"/>
      <c r="Z166" s="355"/>
    </row>
    <row r="167" spans="1:26" ht="13.5" customHeight="1" x14ac:dyDescent="0.25">
      <c r="A167" s="382"/>
      <c r="B167" s="355"/>
      <c r="C167" s="450"/>
      <c r="D167" s="450"/>
      <c r="E167" s="355"/>
      <c r="F167" s="355"/>
      <c r="G167" s="355"/>
      <c r="H167" s="355"/>
      <c r="I167" s="355"/>
      <c r="J167" s="355"/>
      <c r="K167" s="355"/>
      <c r="L167" s="355"/>
      <c r="M167" s="355"/>
      <c r="N167" s="355"/>
      <c r="O167" s="355"/>
      <c r="P167" s="355"/>
      <c r="Q167" s="355"/>
      <c r="R167" s="355"/>
      <c r="S167" s="355"/>
      <c r="T167" s="355"/>
      <c r="U167" s="355"/>
      <c r="V167" s="355"/>
      <c r="W167" s="355"/>
      <c r="X167" s="355"/>
      <c r="Y167" s="355"/>
      <c r="Z167" s="355"/>
    </row>
    <row r="168" spans="1:26" ht="13.5" customHeight="1" x14ac:dyDescent="0.25">
      <c r="A168" s="382"/>
      <c r="B168" s="355"/>
      <c r="C168" s="450"/>
      <c r="D168" s="450"/>
      <c r="E168" s="355"/>
      <c r="F168" s="355"/>
      <c r="G168" s="355"/>
      <c r="H168" s="355"/>
      <c r="I168" s="355"/>
      <c r="J168" s="355"/>
      <c r="K168" s="355"/>
      <c r="L168" s="355"/>
      <c r="M168" s="355"/>
      <c r="N168" s="355"/>
      <c r="O168" s="355"/>
      <c r="P168" s="355"/>
      <c r="Q168" s="355"/>
      <c r="R168" s="355"/>
      <c r="S168" s="355"/>
      <c r="T168" s="355"/>
      <c r="U168" s="355"/>
      <c r="V168" s="355"/>
      <c r="W168" s="355"/>
      <c r="X168" s="355"/>
      <c r="Y168" s="355"/>
      <c r="Z168" s="355"/>
    </row>
    <row r="169" spans="1:26" ht="13.5" customHeight="1" x14ac:dyDescent="0.25">
      <c r="A169" s="382"/>
      <c r="B169" s="355"/>
      <c r="C169" s="450"/>
      <c r="D169" s="450"/>
      <c r="E169" s="355"/>
      <c r="F169" s="355"/>
      <c r="G169" s="355"/>
      <c r="H169" s="355"/>
      <c r="I169" s="355"/>
      <c r="J169" s="355"/>
      <c r="K169" s="355"/>
      <c r="L169" s="355"/>
      <c r="M169" s="355"/>
      <c r="N169" s="355"/>
      <c r="O169" s="355"/>
      <c r="P169" s="355"/>
      <c r="Q169" s="355"/>
      <c r="R169" s="355"/>
      <c r="S169" s="355"/>
      <c r="T169" s="355"/>
      <c r="U169" s="355"/>
      <c r="V169" s="355"/>
      <c r="W169" s="355"/>
      <c r="X169" s="355"/>
      <c r="Y169" s="355"/>
      <c r="Z169" s="355"/>
    </row>
    <row r="170" spans="1:26" ht="13.5" customHeight="1" x14ac:dyDescent="0.25">
      <c r="A170" s="382"/>
      <c r="B170" s="355"/>
      <c r="C170" s="450"/>
      <c r="D170" s="450"/>
      <c r="E170" s="355"/>
      <c r="F170" s="355"/>
      <c r="G170" s="355"/>
      <c r="H170" s="355"/>
      <c r="I170" s="355"/>
      <c r="J170" s="355"/>
      <c r="K170" s="355"/>
      <c r="L170" s="355"/>
      <c r="M170" s="355"/>
      <c r="N170" s="355"/>
      <c r="O170" s="355"/>
      <c r="P170" s="355"/>
      <c r="Q170" s="355"/>
      <c r="R170" s="355"/>
      <c r="S170" s="355"/>
      <c r="T170" s="355"/>
      <c r="U170" s="355"/>
      <c r="V170" s="355"/>
      <c r="W170" s="355"/>
      <c r="X170" s="355"/>
      <c r="Y170" s="355"/>
      <c r="Z170" s="355"/>
    </row>
    <row r="171" spans="1:26" ht="13.5" customHeight="1" x14ac:dyDescent="0.25">
      <c r="A171" s="382"/>
      <c r="B171" s="355"/>
      <c r="C171" s="450"/>
      <c r="D171" s="450"/>
      <c r="E171" s="355"/>
      <c r="F171" s="355"/>
      <c r="G171" s="355"/>
      <c r="H171" s="355"/>
      <c r="I171" s="355"/>
      <c r="J171" s="355"/>
      <c r="K171" s="355"/>
      <c r="L171" s="355"/>
      <c r="M171" s="355"/>
      <c r="N171" s="355"/>
      <c r="O171" s="355"/>
      <c r="P171" s="355"/>
      <c r="Q171" s="355"/>
      <c r="R171" s="355"/>
      <c r="S171" s="355"/>
      <c r="T171" s="355"/>
      <c r="U171" s="355"/>
      <c r="V171" s="355"/>
      <c r="W171" s="355"/>
      <c r="X171" s="355"/>
      <c r="Y171" s="355"/>
      <c r="Z171" s="355"/>
    </row>
    <row r="172" spans="1:26" ht="13.5" customHeight="1" x14ac:dyDescent="0.25">
      <c r="A172" s="382"/>
      <c r="B172" s="355"/>
      <c r="C172" s="450"/>
      <c r="D172" s="450"/>
      <c r="E172" s="355"/>
      <c r="F172" s="355"/>
      <c r="G172" s="355"/>
      <c r="H172" s="355"/>
      <c r="I172" s="355"/>
      <c r="J172" s="355"/>
      <c r="K172" s="355"/>
      <c r="L172" s="355"/>
      <c r="M172" s="355"/>
      <c r="N172" s="355"/>
      <c r="O172" s="355"/>
      <c r="P172" s="355"/>
      <c r="Q172" s="355"/>
      <c r="R172" s="355"/>
      <c r="S172" s="355"/>
      <c r="T172" s="355"/>
      <c r="U172" s="355"/>
      <c r="V172" s="355"/>
      <c r="W172" s="355"/>
      <c r="X172" s="355"/>
      <c r="Y172" s="355"/>
      <c r="Z172" s="355"/>
    </row>
    <row r="173" spans="1:26" ht="13.5" customHeight="1" x14ac:dyDescent="0.25">
      <c r="A173" s="382"/>
      <c r="B173" s="355"/>
      <c r="C173" s="450"/>
      <c r="D173" s="450"/>
      <c r="E173" s="355"/>
      <c r="F173" s="355"/>
      <c r="G173" s="355"/>
      <c r="H173" s="355"/>
      <c r="I173" s="355"/>
      <c r="J173" s="355"/>
      <c r="K173" s="355"/>
      <c r="L173" s="355"/>
      <c r="M173" s="355"/>
      <c r="N173" s="355"/>
      <c r="O173" s="355"/>
      <c r="P173" s="355"/>
      <c r="Q173" s="355"/>
      <c r="R173" s="355"/>
      <c r="S173" s="355"/>
      <c r="T173" s="355"/>
      <c r="U173" s="355"/>
      <c r="V173" s="355"/>
      <c r="W173" s="355"/>
      <c r="X173" s="355"/>
      <c r="Y173" s="355"/>
      <c r="Z173" s="355"/>
    </row>
    <row r="174" spans="1:26" ht="13.5" customHeight="1" x14ac:dyDescent="0.25">
      <c r="A174" s="382"/>
      <c r="B174" s="355"/>
      <c r="C174" s="450"/>
      <c r="D174" s="450"/>
      <c r="E174" s="355"/>
      <c r="F174" s="355"/>
      <c r="G174" s="355"/>
      <c r="H174" s="355"/>
      <c r="I174" s="355"/>
      <c r="J174" s="355"/>
      <c r="K174" s="355"/>
      <c r="L174" s="355"/>
      <c r="M174" s="355"/>
      <c r="N174" s="355"/>
      <c r="O174" s="355"/>
      <c r="P174" s="355"/>
      <c r="Q174" s="355"/>
      <c r="R174" s="355"/>
      <c r="S174" s="355"/>
      <c r="T174" s="355"/>
      <c r="U174" s="355"/>
      <c r="V174" s="355"/>
      <c r="W174" s="355"/>
      <c r="X174" s="355"/>
      <c r="Y174" s="355"/>
      <c r="Z174" s="355"/>
    </row>
    <row r="175" spans="1:26" ht="13.5" customHeight="1" x14ac:dyDescent="0.25">
      <c r="A175" s="382"/>
      <c r="B175" s="355"/>
      <c r="C175" s="450"/>
      <c r="D175" s="450"/>
      <c r="E175" s="355"/>
      <c r="F175" s="355"/>
      <c r="G175" s="355"/>
      <c r="H175" s="355"/>
      <c r="I175" s="355"/>
      <c r="J175" s="355"/>
      <c r="K175" s="355"/>
      <c r="L175" s="355"/>
      <c r="M175" s="355"/>
      <c r="N175" s="355"/>
      <c r="O175" s="355"/>
      <c r="P175" s="355"/>
      <c r="Q175" s="355"/>
      <c r="R175" s="355"/>
      <c r="S175" s="355"/>
      <c r="T175" s="355"/>
      <c r="U175" s="355"/>
      <c r="V175" s="355"/>
      <c r="W175" s="355"/>
      <c r="X175" s="355"/>
      <c r="Y175" s="355"/>
      <c r="Z175" s="355"/>
    </row>
    <row r="176" spans="1:26" ht="13.5" customHeight="1" x14ac:dyDescent="0.25">
      <c r="A176" s="382"/>
      <c r="B176" s="355"/>
      <c r="C176" s="450"/>
      <c r="D176" s="450"/>
      <c r="E176" s="355"/>
      <c r="F176" s="355"/>
      <c r="G176" s="355"/>
      <c r="H176" s="355"/>
      <c r="I176" s="355"/>
      <c r="J176" s="355"/>
      <c r="K176" s="355"/>
      <c r="L176" s="355"/>
      <c r="M176" s="355"/>
      <c r="N176" s="355"/>
      <c r="O176" s="355"/>
      <c r="P176" s="355"/>
      <c r="Q176" s="355"/>
      <c r="R176" s="355"/>
      <c r="S176" s="355"/>
      <c r="T176" s="355"/>
      <c r="U176" s="355"/>
      <c r="V176" s="355"/>
      <c r="W176" s="355"/>
      <c r="X176" s="355"/>
      <c r="Y176" s="355"/>
      <c r="Z176" s="355"/>
    </row>
    <row r="177" spans="1:26" ht="13.5" customHeight="1" x14ac:dyDescent="0.25">
      <c r="A177" s="382"/>
      <c r="B177" s="355"/>
      <c r="C177" s="450"/>
      <c r="D177" s="450"/>
      <c r="E177" s="355"/>
      <c r="F177" s="355"/>
      <c r="G177" s="355"/>
      <c r="H177" s="355"/>
      <c r="I177" s="355"/>
      <c r="J177" s="355"/>
      <c r="K177" s="355"/>
      <c r="L177" s="355"/>
      <c r="M177" s="355"/>
      <c r="N177" s="355"/>
      <c r="O177" s="355"/>
      <c r="P177" s="355"/>
      <c r="Q177" s="355"/>
      <c r="R177" s="355"/>
      <c r="S177" s="355"/>
      <c r="T177" s="355"/>
      <c r="U177" s="355"/>
      <c r="V177" s="355"/>
      <c r="W177" s="355"/>
      <c r="X177" s="355"/>
      <c r="Y177" s="355"/>
      <c r="Z177" s="355"/>
    </row>
    <row r="178" spans="1:26" ht="13.5" customHeight="1" x14ac:dyDescent="0.25">
      <c r="A178" s="382"/>
      <c r="B178" s="355"/>
      <c r="C178" s="450"/>
      <c r="D178" s="450"/>
      <c r="E178" s="355"/>
      <c r="F178" s="355"/>
      <c r="G178" s="355"/>
      <c r="H178" s="355"/>
      <c r="I178" s="355"/>
      <c r="J178" s="355"/>
      <c r="K178" s="355"/>
      <c r="L178" s="355"/>
      <c r="M178" s="355"/>
      <c r="N178" s="355"/>
      <c r="O178" s="355"/>
      <c r="P178" s="355"/>
      <c r="Q178" s="355"/>
      <c r="R178" s="355"/>
      <c r="S178" s="355"/>
      <c r="T178" s="355"/>
      <c r="U178" s="355"/>
      <c r="V178" s="355"/>
      <c r="W178" s="355"/>
      <c r="X178" s="355"/>
      <c r="Y178" s="355"/>
      <c r="Z178" s="355"/>
    </row>
    <row r="179" spans="1:26" ht="13.5" customHeight="1" x14ac:dyDescent="0.25">
      <c r="A179" s="382"/>
      <c r="B179" s="355"/>
      <c r="C179" s="450"/>
      <c r="D179" s="450"/>
      <c r="E179" s="355"/>
      <c r="F179" s="355"/>
      <c r="G179" s="355"/>
      <c r="H179" s="355"/>
      <c r="I179" s="355"/>
      <c r="J179" s="355"/>
      <c r="K179" s="355"/>
      <c r="L179" s="355"/>
      <c r="M179" s="355"/>
      <c r="N179" s="355"/>
      <c r="O179" s="355"/>
      <c r="P179" s="355"/>
      <c r="Q179" s="355"/>
      <c r="R179" s="355"/>
      <c r="S179" s="355"/>
      <c r="T179" s="355"/>
      <c r="U179" s="355"/>
      <c r="V179" s="355"/>
      <c r="W179" s="355"/>
      <c r="X179" s="355"/>
      <c r="Y179" s="355"/>
      <c r="Z179" s="355"/>
    </row>
    <row r="180" spans="1:26" ht="13.5" customHeight="1" x14ac:dyDescent="0.25">
      <c r="A180" s="382"/>
      <c r="B180" s="355"/>
      <c r="C180" s="450"/>
      <c r="D180" s="450"/>
      <c r="E180" s="355"/>
      <c r="F180" s="355"/>
      <c r="G180" s="355"/>
      <c r="H180" s="355"/>
      <c r="I180" s="355"/>
      <c r="J180" s="355"/>
      <c r="K180" s="355"/>
      <c r="L180" s="355"/>
      <c r="M180" s="355"/>
      <c r="N180" s="355"/>
      <c r="O180" s="355"/>
      <c r="P180" s="355"/>
      <c r="Q180" s="355"/>
      <c r="R180" s="355"/>
      <c r="S180" s="355"/>
      <c r="T180" s="355"/>
      <c r="U180" s="355"/>
      <c r="V180" s="355"/>
      <c r="W180" s="355"/>
      <c r="X180" s="355"/>
      <c r="Y180" s="355"/>
      <c r="Z180" s="355"/>
    </row>
    <row r="181" spans="1:26" ht="13.5" customHeight="1" x14ac:dyDescent="0.25">
      <c r="A181" s="382"/>
      <c r="B181" s="355"/>
      <c r="C181" s="450"/>
      <c r="D181" s="450"/>
      <c r="E181" s="355"/>
      <c r="F181" s="355"/>
      <c r="G181" s="355"/>
      <c r="H181" s="355"/>
      <c r="I181" s="355"/>
      <c r="J181" s="355"/>
      <c r="K181" s="355"/>
      <c r="L181" s="355"/>
      <c r="M181" s="355"/>
      <c r="N181" s="355"/>
      <c r="O181" s="355"/>
      <c r="P181" s="355"/>
      <c r="Q181" s="355"/>
      <c r="R181" s="355"/>
      <c r="S181" s="355"/>
      <c r="T181" s="355"/>
      <c r="U181" s="355"/>
      <c r="V181" s="355"/>
      <c r="W181" s="355"/>
      <c r="X181" s="355"/>
      <c r="Y181" s="355"/>
      <c r="Z181" s="355"/>
    </row>
    <row r="182" spans="1:26" ht="13.5" customHeight="1" x14ac:dyDescent="0.25">
      <c r="A182" s="382"/>
      <c r="B182" s="355"/>
      <c r="C182" s="450"/>
      <c r="D182" s="450"/>
      <c r="E182" s="355"/>
      <c r="F182" s="355"/>
      <c r="G182" s="355"/>
      <c r="H182" s="355"/>
      <c r="I182" s="355"/>
      <c r="J182" s="355"/>
      <c r="K182" s="355"/>
      <c r="L182" s="355"/>
      <c r="M182" s="355"/>
      <c r="N182" s="355"/>
      <c r="O182" s="355"/>
      <c r="P182" s="355"/>
      <c r="Q182" s="355"/>
      <c r="R182" s="355"/>
      <c r="S182" s="355"/>
      <c r="T182" s="355"/>
      <c r="U182" s="355"/>
      <c r="V182" s="355"/>
      <c r="W182" s="355"/>
      <c r="X182" s="355"/>
      <c r="Y182" s="355"/>
      <c r="Z182" s="355"/>
    </row>
    <row r="183" spans="1:26" ht="13.5" customHeight="1" x14ac:dyDescent="0.25">
      <c r="A183" s="382"/>
      <c r="B183" s="355"/>
      <c r="C183" s="450"/>
      <c r="D183" s="450"/>
      <c r="E183" s="355"/>
      <c r="F183" s="355"/>
      <c r="G183" s="355"/>
      <c r="H183" s="355"/>
      <c r="I183" s="355"/>
      <c r="J183" s="355"/>
      <c r="K183" s="355"/>
      <c r="L183" s="355"/>
      <c r="M183" s="355"/>
      <c r="N183" s="355"/>
      <c r="O183" s="355"/>
      <c r="P183" s="355"/>
      <c r="Q183" s="355"/>
      <c r="R183" s="355"/>
      <c r="S183" s="355"/>
      <c r="T183" s="355"/>
      <c r="U183" s="355"/>
      <c r="V183" s="355"/>
      <c r="W183" s="355"/>
      <c r="X183" s="355"/>
      <c r="Y183" s="355"/>
      <c r="Z183" s="355"/>
    </row>
    <row r="184" spans="1:26" ht="13.5" customHeight="1" x14ac:dyDescent="0.25">
      <c r="A184" s="382"/>
      <c r="B184" s="355"/>
      <c r="C184" s="450"/>
      <c r="D184" s="450"/>
      <c r="E184" s="355"/>
      <c r="F184" s="355"/>
      <c r="G184" s="355"/>
      <c r="H184" s="355"/>
      <c r="I184" s="355"/>
      <c r="J184" s="355"/>
      <c r="K184" s="355"/>
      <c r="L184" s="355"/>
      <c r="M184" s="355"/>
      <c r="N184" s="355"/>
      <c r="O184" s="355"/>
      <c r="P184" s="355"/>
      <c r="Q184" s="355"/>
      <c r="R184" s="355"/>
      <c r="S184" s="355"/>
      <c r="T184" s="355"/>
      <c r="U184" s="355"/>
      <c r="V184" s="355"/>
      <c r="W184" s="355"/>
      <c r="X184" s="355"/>
      <c r="Y184" s="355"/>
      <c r="Z184" s="355"/>
    </row>
    <row r="185" spans="1:26" ht="13.5" customHeight="1" x14ac:dyDescent="0.25">
      <c r="A185" s="382"/>
      <c r="B185" s="355"/>
      <c r="C185" s="450"/>
      <c r="D185" s="450"/>
      <c r="E185" s="355"/>
      <c r="F185" s="355"/>
      <c r="G185" s="355"/>
      <c r="H185" s="355"/>
      <c r="I185" s="355"/>
      <c r="J185" s="355"/>
      <c r="K185" s="355"/>
      <c r="L185" s="355"/>
      <c r="M185" s="355"/>
      <c r="N185" s="355"/>
      <c r="O185" s="355"/>
      <c r="P185" s="355"/>
      <c r="Q185" s="355"/>
      <c r="R185" s="355"/>
      <c r="S185" s="355"/>
      <c r="T185" s="355"/>
      <c r="U185" s="355"/>
      <c r="V185" s="355"/>
      <c r="W185" s="355"/>
      <c r="X185" s="355"/>
      <c r="Y185" s="355"/>
      <c r="Z185" s="355"/>
    </row>
    <row r="186" spans="1:26" ht="13.5" customHeight="1" x14ac:dyDescent="0.25">
      <c r="A186" s="382"/>
      <c r="B186" s="355"/>
      <c r="C186" s="450"/>
      <c r="D186" s="450"/>
      <c r="E186" s="355"/>
      <c r="F186" s="355"/>
      <c r="G186" s="355"/>
      <c r="H186" s="355"/>
      <c r="I186" s="355"/>
      <c r="J186" s="355"/>
      <c r="K186" s="355"/>
      <c r="L186" s="355"/>
      <c r="M186" s="355"/>
      <c r="N186" s="355"/>
      <c r="O186" s="355"/>
      <c r="P186" s="355"/>
      <c r="Q186" s="355"/>
      <c r="R186" s="355"/>
      <c r="S186" s="355"/>
      <c r="T186" s="355"/>
      <c r="U186" s="355"/>
      <c r="V186" s="355"/>
      <c r="W186" s="355"/>
      <c r="X186" s="355"/>
      <c r="Y186" s="355"/>
      <c r="Z186" s="355"/>
    </row>
    <row r="187" spans="1:26" ht="13.5" customHeight="1" x14ac:dyDescent="0.25">
      <c r="A187" s="382"/>
      <c r="B187" s="355"/>
      <c r="C187" s="450"/>
      <c r="D187" s="450"/>
      <c r="E187" s="355"/>
      <c r="F187" s="355"/>
      <c r="G187" s="355"/>
      <c r="H187" s="355"/>
      <c r="I187" s="355"/>
      <c r="J187" s="355"/>
      <c r="K187" s="355"/>
      <c r="L187" s="355"/>
      <c r="M187" s="355"/>
      <c r="N187" s="355"/>
      <c r="O187" s="355"/>
      <c r="P187" s="355"/>
      <c r="Q187" s="355"/>
      <c r="R187" s="355"/>
      <c r="S187" s="355"/>
      <c r="T187" s="355"/>
      <c r="U187" s="355"/>
      <c r="V187" s="355"/>
      <c r="W187" s="355"/>
      <c r="X187" s="355"/>
      <c r="Y187" s="355"/>
      <c r="Z187" s="355"/>
    </row>
    <row r="188" spans="1:26" ht="13.5" customHeight="1" x14ac:dyDescent="0.25">
      <c r="A188" s="382"/>
      <c r="B188" s="355"/>
      <c r="C188" s="450"/>
      <c r="D188" s="450"/>
      <c r="E188" s="355"/>
      <c r="F188" s="355"/>
      <c r="G188" s="355"/>
      <c r="H188" s="355"/>
      <c r="I188" s="355"/>
      <c r="J188" s="355"/>
      <c r="K188" s="355"/>
      <c r="L188" s="355"/>
      <c r="M188" s="355"/>
      <c r="N188" s="355"/>
      <c r="O188" s="355"/>
      <c r="P188" s="355"/>
      <c r="Q188" s="355"/>
      <c r="R188" s="355"/>
      <c r="S188" s="355"/>
      <c r="T188" s="355"/>
      <c r="U188" s="355"/>
      <c r="V188" s="355"/>
      <c r="W188" s="355"/>
      <c r="X188" s="355"/>
      <c r="Y188" s="355"/>
      <c r="Z188" s="355"/>
    </row>
    <row r="189" spans="1:26" ht="13.5" customHeight="1" x14ac:dyDescent="0.25">
      <c r="A189" s="382"/>
      <c r="B189" s="355"/>
      <c r="C189" s="450"/>
      <c r="D189" s="450"/>
      <c r="E189" s="355"/>
      <c r="F189" s="355"/>
      <c r="G189" s="355"/>
      <c r="H189" s="355"/>
      <c r="I189" s="355"/>
      <c r="J189" s="355"/>
      <c r="K189" s="355"/>
      <c r="L189" s="355"/>
      <c r="M189" s="355"/>
      <c r="N189" s="355"/>
      <c r="O189" s="355"/>
      <c r="P189" s="355"/>
      <c r="Q189" s="355"/>
      <c r="R189" s="355"/>
      <c r="S189" s="355"/>
      <c r="T189" s="355"/>
      <c r="U189" s="355"/>
      <c r="V189" s="355"/>
      <c r="W189" s="355"/>
      <c r="X189" s="355"/>
      <c r="Y189" s="355"/>
      <c r="Z189" s="355"/>
    </row>
    <row r="190" spans="1:26" ht="13.5" customHeight="1" x14ac:dyDescent="0.25">
      <c r="A190" s="382"/>
      <c r="B190" s="355"/>
      <c r="C190" s="450"/>
      <c r="D190" s="450"/>
      <c r="E190" s="355"/>
      <c r="F190" s="355"/>
      <c r="G190" s="355"/>
      <c r="H190" s="355"/>
      <c r="I190" s="355"/>
      <c r="J190" s="355"/>
      <c r="K190" s="355"/>
      <c r="L190" s="355"/>
      <c r="M190" s="355"/>
      <c r="N190" s="355"/>
      <c r="O190" s="355"/>
      <c r="P190" s="355"/>
      <c r="Q190" s="355"/>
      <c r="R190" s="355"/>
      <c r="S190" s="355"/>
      <c r="T190" s="355"/>
      <c r="U190" s="355"/>
      <c r="V190" s="355"/>
      <c r="W190" s="355"/>
      <c r="X190" s="355"/>
      <c r="Y190" s="355"/>
      <c r="Z190" s="355"/>
    </row>
    <row r="191" spans="1:26" ht="13.5" customHeight="1" x14ac:dyDescent="0.25">
      <c r="A191" s="382"/>
      <c r="B191" s="355"/>
      <c r="C191" s="450"/>
      <c r="D191" s="450"/>
      <c r="E191" s="355"/>
      <c r="F191" s="355"/>
      <c r="G191" s="355"/>
      <c r="H191" s="355"/>
      <c r="I191" s="355"/>
      <c r="J191" s="355"/>
      <c r="K191" s="355"/>
      <c r="L191" s="355"/>
      <c r="M191" s="355"/>
      <c r="N191" s="355"/>
      <c r="O191" s="355"/>
      <c r="P191" s="355"/>
      <c r="Q191" s="355"/>
      <c r="R191" s="355"/>
      <c r="S191" s="355"/>
      <c r="T191" s="355"/>
      <c r="U191" s="355"/>
      <c r="V191" s="355"/>
      <c r="W191" s="355"/>
      <c r="X191" s="355"/>
      <c r="Y191" s="355"/>
      <c r="Z191" s="355"/>
    </row>
    <row r="192" spans="1:26" ht="13.5" customHeight="1" x14ac:dyDescent="0.25">
      <c r="A192" s="382"/>
      <c r="B192" s="355"/>
      <c r="C192" s="450"/>
      <c r="D192" s="450"/>
      <c r="E192" s="355"/>
      <c r="F192" s="355"/>
      <c r="G192" s="355"/>
      <c r="H192" s="355"/>
      <c r="I192" s="355"/>
      <c r="J192" s="355"/>
      <c r="K192" s="355"/>
      <c r="L192" s="355"/>
      <c r="M192" s="355"/>
      <c r="N192" s="355"/>
      <c r="O192" s="355"/>
      <c r="P192" s="355"/>
      <c r="Q192" s="355"/>
      <c r="R192" s="355"/>
      <c r="S192" s="355"/>
      <c r="T192" s="355"/>
      <c r="U192" s="355"/>
      <c r="V192" s="355"/>
      <c r="W192" s="355"/>
      <c r="X192" s="355"/>
      <c r="Y192" s="355"/>
      <c r="Z192" s="355"/>
    </row>
    <row r="193" spans="1:26" ht="13.5" customHeight="1" x14ac:dyDescent="0.25">
      <c r="A193" s="382"/>
      <c r="B193" s="355"/>
      <c r="C193" s="450"/>
      <c r="D193" s="450"/>
      <c r="E193" s="355"/>
      <c r="F193" s="355"/>
      <c r="G193" s="355"/>
      <c r="H193" s="355"/>
      <c r="I193" s="355"/>
      <c r="J193" s="355"/>
      <c r="K193" s="355"/>
      <c r="L193" s="355"/>
      <c r="M193" s="355"/>
      <c r="N193" s="355"/>
      <c r="O193" s="355"/>
      <c r="P193" s="355"/>
      <c r="Q193" s="355"/>
      <c r="R193" s="355"/>
      <c r="S193" s="355"/>
      <c r="T193" s="355"/>
      <c r="U193" s="355"/>
      <c r="V193" s="355"/>
      <c r="W193" s="355"/>
      <c r="X193" s="355"/>
      <c r="Y193" s="355"/>
      <c r="Z193" s="355"/>
    </row>
    <row r="194" spans="1:26" ht="13.5" customHeight="1" x14ac:dyDescent="0.25">
      <c r="A194" s="382"/>
      <c r="B194" s="355"/>
      <c r="C194" s="450"/>
      <c r="D194" s="450"/>
      <c r="E194" s="355"/>
      <c r="F194" s="355"/>
      <c r="G194" s="355"/>
      <c r="H194" s="355"/>
      <c r="I194" s="355"/>
      <c r="J194" s="355"/>
      <c r="K194" s="355"/>
      <c r="L194" s="355"/>
      <c r="M194" s="355"/>
      <c r="N194" s="355"/>
      <c r="O194" s="355"/>
      <c r="P194" s="355"/>
      <c r="Q194" s="355"/>
      <c r="R194" s="355"/>
      <c r="S194" s="355"/>
      <c r="T194" s="355"/>
      <c r="U194" s="355"/>
      <c r="V194" s="355"/>
      <c r="W194" s="355"/>
      <c r="X194" s="355"/>
      <c r="Y194" s="355"/>
      <c r="Z194" s="355"/>
    </row>
    <row r="195" spans="1:26" ht="13.5" customHeight="1" x14ac:dyDescent="0.25">
      <c r="A195" s="382"/>
      <c r="B195" s="355"/>
      <c r="C195" s="450"/>
      <c r="D195" s="450"/>
      <c r="E195" s="355"/>
      <c r="F195" s="355"/>
      <c r="G195" s="355"/>
      <c r="H195" s="355"/>
      <c r="I195" s="355"/>
      <c r="J195" s="355"/>
      <c r="K195" s="355"/>
      <c r="L195" s="355"/>
      <c r="M195" s="355"/>
      <c r="N195" s="355"/>
      <c r="O195" s="355"/>
      <c r="P195" s="355"/>
      <c r="Q195" s="355"/>
      <c r="R195" s="355"/>
      <c r="S195" s="355"/>
      <c r="T195" s="355"/>
      <c r="U195" s="355"/>
      <c r="V195" s="355"/>
      <c r="W195" s="355"/>
      <c r="X195" s="355"/>
      <c r="Y195" s="355"/>
      <c r="Z195" s="355"/>
    </row>
    <row r="196" spans="1:26" ht="13.5" customHeight="1" x14ac:dyDescent="0.25">
      <c r="A196" s="382"/>
      <c r="B196" s="355"/>
      <c r="C196" s="450"/>
      <c r="D196" s="450"/>
      <c r="E196" s="355"/>
      <c r="F196" s="355"/>
      <c r="G196" s="355"/>
      <c r="H196" s="355"/>
      <c r="I196" s="355"/>
      <c r="J196" s="355"/>
      <c r="K196" s="355"/>
      <c r="L196" s="355"/>
      <c r="M196" s="355"/>
      <c r="N196" s="355"/>
      <c r="O196" s="355"/>
      <c r="P196" s="355"/>
      <c r="Q196" s="355"/>
      <c r="R196" s="355"/>
      <c r="S196" s="355"/>
      <c r="T196" s="355"/>
      <c r="U196" s="355"/>
      <c r="V196" s="355"/>
      <c r="W196" s="355"/>
      <c r="X196" s="355"/>
      <c r="Y196" s="355"/>
      <c r="Z196" s="355"/>
    </row>
    <row r="197" spans="1:26" ht="13.5" customHeight="1" x14ac:dyDescent="0.25">
      <c r="A197" s="382"/>
      <c r="B197" s="355"/>
      <c r="C197" s="450"/>
      <c r="D197" s="450"/>
      <c r="E197" s="355"/>
      <c r="F197" s="355"/>
      <c r="G197" s="355"/>
      <c r="H197" s="355"/>
      <c r="I197" s="355"/>
      <c r="J197" s="355"/>
      <c r="K197" s="355"/>
      <c r="L197" s="355"/>
      <c r="M197" s="355"/>
      <c r="N197" s="355"/>
      <c r="O197" s="355"/>
      <c r="P197" s="355"/>
      <c r="Q197" s="355"/>
      <c r="R197" s="355"/>
      <c r="S197" s="355"/>
      <c r="T197" s="355"/>
      <c r="U197" s="355"/>
      <c r="V197" s="355"/>
      <c r="W197" s="355"/>
      <c r="X197" s="355"/>
      <c r="Y197" s="355"/>
      <c r="Z197" s="355"/>
    </row>
    <row r="198" spans="1:26" ht="13.5" customHeight="1" x14ac:dyDescent="0.25">
      <c r="A198" s="382"/>
      <c r="B198" s="355"/>
      <c r="C198" s="450"/>
      <c r="D198" s="450"/>
      <c r="E198" s="355"/>
      <c r="F198" s="355"/>
      <c r="G198" s="355"/>
      <c r="H198" s="355"/>
      <c r="I198" s="355"/>
      <c r="J198" s="355"/>
      <c r="K198" s="355"/>
      <c r="L198" s="355"/>
      <c r="M198" s="355"/>
      <c r="N198" s="355"/>
      <c r="O198" s="355"/>
      <c r="P198" s="355"/>
      <c r="Q198" s="355"/>
      <c r="R198" s="355"/>
      <c r="S198" s="355"/>
      <c r="T198" s="355"/>
      <c r="U198" s="355"/>
      <c r="V198" s="355"/>
      <c r="W198" s="355"/>
      <c r="X198" s="355"/>
      <c r="Y198" s="355"/>
      <c r="Z198" s="355"/>
    </row>
    <row r="199" spans="1:26" ht="13.5" customHeight="1" x14ac:dyDescent="0.25">
      <c r="A199" s="382"/>
      <c r="B199" s="355"/>
      <c r="C199" s="450"/>
      <c r="D199" s="450"/>
      <c r="E199" s="355"/>
      <c r="F199" s="355"/>
      <c r="G199" s="355"/>
      <c r="H199" s="355"/>
      <c r="I199" s="355"/>
      <c r="J199" s="355"/>
      <c r="K199" s="355"/>
      <c r="L199" s="355"/>
      <c r="M199" s="355"/>
      <c r="N199" s="355"/>
      <c r="O199" s="355"/>
      <c r="P199" s="355"/>
      <c r="Q199" s="355"/>
      <c r="R199" s="355"/>
      <c r="S199" s="355"/>
      <c r="T199" s="355"/>
      <c r="U199" s="355"/>
      <c r="V199" s="355"/>
      <c r="W199" s="355"/>
      <c r="X199" s="355"/>
      <c r="Y199" s="355"/>
      <c r="Z199" s="355"/>
    </row>
    <row r="200" spans="1:26" ht="13.5" customHeight="1" x14ac:dyDescent="0.25">
      <c r="A200" s="382"/>
      <c r="B200" s="355"/>
      <c r="C200" s="450"/>
      <c r="D200" s="450"/>
      <c r="E200" s="355"/>
      <c r="F200" s="355"/>
      <c r="G200" s="355"/>
      <c r="H200" s="355"/>
      <c r="I200" s="355"/>
      <c r="J200" s="355"/>
      <c r="K200" s="355"/>
      <c r="L200" s="355"/>
      <c r="M200" s="355"/>
      <c r="N200" s="355"/>
      <c r="O200" s="355"/>
      <c r="P200" s="355"/>
      <c r="Q200" s="355"/>
      <c r="R200" s="355"/>
      <c r="S200" s="355"/>
      <c r="T200" s="355"/>
      <c r="U200" s="355"/>
      <c r="V200" s="355"/>
      <c r="W200" s="355"/>
      <c r="X200" s="355"/>
      <c r="Y200" s="355"/>
      <c r="Z200" s="355"/>
    </row>
    <row r="201" spans="1:26" ht="13.5" customHeight="1" x14ac:dyDescent="0.25">
      <c r="A201" s="382"/>
      <c r="B201" s="355"/>
      <c r="C201" s="450"/>
      <c r="D201" s="450"/>
      <c r="E201" s="355"/>
      <c r="F201" s="355"/>
      <c r="G201" s="355"/>
      <c r="H201" s="355"/>
      <c r="I201" s="355"/>
      <c r="J201" s="355"/>
      <c r="K201" s="355"/>
      <c r="L201" s="355"/>
      <c r="M201" s="355"/>
      <c r="N201" s="355"/>
      <c r="O201" s="355"/>
      <c r="P201" s="355"/>
      <c r="Q201" s="355"/>
      <c r="R201" s="355"/>
      <c r="S201" s="355"/>
      <c r="T201" s="355"/>
      <c r="U201" s="355"/>
      <c r="V201" s="355"/>
      <c r="W201" s="355"/>
      <c r="X201" s="355"/>
      <c r="Y201" s="355"/>
      <c r="Z201" s="355"/>
    </row>
    <row r="202" spans="1:26" ht="13.5" customHeight="1" x14ac:dyDescent="0.25">
      <c r="A202" s="382"/>
      <c r="B202" s="355"/>
      <c r="C202" s="450"/>
      <c r="D202" s="450"/>
      <c r="E202" s="355"/>
      <c r="F202" s="355"/>
      <c r="G202" s="355"/>
      <c r="H202" s="355"/>
      <c r="I202" s="355"/>
      <c r="J202" s="355"/>
      <c r="K202" s="355"/>
      <c r="L202" s="355"/>
      <c r="M202" s="355"/>
      <c r="N202" s="355"/>
      <c r="O202" s="355"/>
      <c r="P202" s="355"/>
      <c r="Q202" s="355"/>
      <c r="R202" s="355"/>
      <c r="S202" s="355"/>
      <c r="T202" s="355"/>
      <c r="U202" s="355"/>
      <c r="V202" s="355"/>
      <c r="W202" s="355"/>
      <c r="X202" s="355"/>
      <c r="Y202" s="355"/>
      <c r="Z202" s="355"/>
    </row>
    <row r="203" spans="1:26" ht="13.5" customHeight="1" x14ac:dyDescent="0.25">
      <c r="A203" s="382"/>
      <c r="B203" s="355"/>
      <c r="C203" s="450"/>
      <c r="D203" s="450"/>
      <c r="E203" s="355"/>
      <c r="F203" s="355"/>
      <c r="G203" s="355"/>
      <c r="H203" s="355"/>
      <c r="I203" s="355"/>
      <c r="J203" s="355"/>
      <c r="K203" s="355"/>
      <c r="L203" s="355"/>
      <c r="M203" s="355"/>
      <c r="N203" s="355"/>
      <c r="O203" s="355"/>
      <c r="P203" s="355"/>
      <c r="Q203" s="355"/>
      <c r="R203" s="355"/>
      <c r="S203" s="355"/>
      <c r="T203" s="355"/>
      <c r="U203" s="355"/>
      <c r="V203" s="355"/>
      <c r="W203" s="355"/>
      <c r="X203" s="355"/>
      <c r="Y203" s="355"/>
      <c r="Z203" s="355"/>
    </row>
    <row r="204" spans="1:26" ht="13.5" customHeight="1" x14ac:dyDescent="0.25">
      <c r="A204" s="382"/>
      <c r="B204" s="355"/>
      <c r="C204" s="450"/>
      <c r="D204" s="450"/>
      <c r="E204" s="355"/>
      <c r="F204" s="355"/>
      <c r="G204" s="355"/>
      <c r="H204" s="355"/>
      <c r="I204" s="355"/>
      <c r="J204" s="355"/>
      <c r="K204" s="355"/>
      <c r="L204" s="355"/>
      <c r="M204" s="355"/>
      <c r="N204" s="355"/>
      <c r="O204" s="355"/>
      <c r="P204" s="355"/>
      <c r="Q204" s="355"/>
      <c r="R204" s="355"/>
      <c r="S204" s="355"/>
      <c r="T204" s="355"/>
      <c r="U204" s="355"/>
      <c r="V204" s="355"/>
      <c r="W204" s="355"/>
      <c r="X204" s="355"/>
      <c r="Y204" s="355"/>
      <c r="Z204" s="355"/>
    </row>
    <row r="205" spans="1:26" ht="13.5" customHeight="1" x14ac:dyDescent="0.25">
      <c r="A205" s="382"/>
      <c r="B205" s="355"/>
      <c r="C205" s="450"/>
      <c r="D205" s="450"/>
      <c r="E205" s="355"/>
      <c r="F205" s="355"/>
      <c r="G205" s="355"/>
      <c r="H205" s="355"/>
      <c r="I205" s="355"/>
      <c r="J205" s="355"/>
      <c r="K205" s="355"/>
      <c r="L205" s="355"/>
      <c r="M205" s="355"/>
      <c r="N205" s="355"/>
      <c r="O205" s="355"/>
      <c r="P205" s="355"/>
      <c r="Q205" s="355"/>
      <c r="R205" s="355"/>
      <c r="S205" s="355"/>
      <c r="T205" s="355"/>
      <c r="U205" s="355"/>
      <c r="V205" s="355"/>
      <c r="W205" s="355"/>
      <c r="X205" s="355"/>
      <c r="Y205" s="355"/>
      <c r="Z205" s="355"/>
    </row>
    <row r="206" spans="1:26" ht="13.5" customHeight="1" x14ac:dyDescent="0.25">
      <c r="A206" s="382"/>
      <c r="B206" s="355"/>
      <c r="C206" s="450"/>
      <c r="D206" s="450"/>
      <c r="E206" s="355"/>
      <c r="F206" s="355"/>
      <c r="G206" s="355"/>
      <c r="H206" s="355"/>
      <c r="I206" s="355"/>
      <c r="J206" s="355"/>
      <c r="K206" s="355"/>
      <c r="L206" s="355"/>
      <c r="M206" s="355"/>
      <c r="N206" s="355"/>
      <c r="O206" s="355"/>
      <c r="P206" s="355"/>
      <c r="Q206" s="355"/>
      <c r="R206" s="355"/>
      <c r="S206" s="355"/>
      <c r="T206" s="355"/>
      <c r="U206" s="355"/>
      <c r="V206" s="355"/>
      <c r="W206" s="355"/>
      <c r="X206" s="355"/>
      <c r="Y206" s="355"/>
      <c r="Z206" s="355"/>
    </row>
    <row r="207" spans="1:26" ht="13.5" customHeight="1" x14ac:dyDescent="0.25">
      <c r="A207" s="382"/>
      <c r="B207" s="355"/>
      <c r="C207" s="450"/>
      <c r="D207" s="450"/>
      <c r="E207" s="355"/>
      <c r="F207" s="355"/>
      <c r="G207" s="355"/>
      <c r="H207" s="355"/>
      <c r="I207" s="355"/>
      <c r="J207" s="355"/>
      <c r="K207" s="355"/>
      <c r="L207" s="355"/>
      <c r="M207" s="355"/>
      <c r="N207" s="355"/>
      <c r="O207" s="355"/>
      <c r="P207" s="355"/>
      <c r="Q207" s="355"/>
      <c r="R207" s="355"/>
      <c r="S207" s="355"/>
      <c r="T207" s="355"/>
      <c r="U207" s="355"/>
      <c r="V207" s="355"/>
      <c r="W207" s="355"/>
      <c r="X207" s="355"/>
      <c r="Y207" s="355"/>
      <c r="Z207" s="355"/>
    </row>
    <row r="208" spans="1:26" ht="13.5" customHeight="1" x14ac:dyDescent="0.25">
      <c r="A208" s="382"/>
      <c r="B208" s="355"/>
      <c r="C208" s="450"/>
      <c r="D208" s="450"/>
      <c r="E208" s="355"/>
      <c r="F208" s="355"/>
      <c r="G208" s="355"/>
      <c r="H208" s="355"/>
      <c r="I208" s="355"/>
      <c r="J208" s="355"/>
      <c r="K208" s="355"/>
      <c r="L208" s="355"/>
      <c r="M208" s="355"/>
      <c r="N208" s="355"/>
      <c r="O208" s="355"/>
      <c r="P208" s="355"/>
      <c r="Q208" s="355"/>
      <c r="R208" s="355"/>
      <c r="S208" s="355"/>
      <c r="T208" s="355"/>
      <c r="U208" s="355"/>
      <c r="V208" s="355"/>
      <c r="W208" s="355"/>
      <c r="X208" s="355"/>
      <c r="Y208" s="355"/>
      <c r="Z208" s="355"/>
    </row>
    <row r="209" spans="1:26" ht="13.5" customHeight="1" x14ac:dyDescent="0.25">
      <c r="A209" s="382"/>
      <c r="B209" s="355"/>
      <c r="C209" s="450"/>
      <c r="D209" s="450"/>
      <c r="E209" s="355"/>
      <c r="F209" s="355"/>
      <c r="G209" s="355"/>
      <c r="H209" s="355"/>
      <c r="I209" s="355"/>
      <c r="J209" s="355"/>
      <c r="K209" s="355"/>
      <c r="L209" s="355"/>
      <c r="M209" s="355"/>
      <c r="N209" s="355"/>
      <c r="O209" s="355"/>
      <c r="P209" s="355"/>
      <c r="Q209" s="355"/>
      <c r="R209" s="355"/>
      <c r="S209" s="355"/>
      <c r="T209" s="355"/>
      <c r="U209" s="355"/>
      <c r="V209" s="355"/>
      <c r="W209" s="355"/>
      <c r="X209" s="355"/>
      <c r="Y209" s="355"/>
      <c r="Z209" s="355"/>
    </row>
    <row r="210" spans="1:26" ht="13.5" customHeight="1" x14ac:dyDescent="0.25">
      <c r="A210" s="382"/>
      <c r="B210" s="355"/>
      <c r="C210" s="450"/>
      <c r="D210" s="450"/>
      <c r="E210" s="355"/>
      <c r="F210" s="355"/>
      <c r="G210" s="355"/>
      <c r="H210" s="355"/>
      <c r="I210" s="355"/>
      <c r="J210" s="355"/>
      <c r="K210" s="355"/>
      <c r="L210" s="355"/>
      <c r="M210" s="355"/>
      <c r="N210" s="355"/>
      <c r="O210" s="355"/>
      <c r="P210" s="355"/>
      <c r="Q210" s="355"/>
      <c r="R210" s="355"/>
      <c r="S210" s="355"/>
      <c r="T210" s="355"/>
      <c r="U210" s="355"/>
      <c r="V210" s="355"/>
      <c r="W210" s="355"/>
      <c r="X210" s="355"/>
      <c r="Y210" s="355"/>
      <c r="Z210" s="355"/>
    </row>
    <row r="211" spans="1:26" ht="13.5" customHeight="1" x14ac:dyDescent="0.25">
      <c r="A211" s="382"/>
      <c r="B211" s="355"/>
      <c r="C211" s="450"/>
      <c r="D211" s="450"/>
      <c r="E211" s="355"/>
      <c r="F211" s="355"/>
      <c r="G211" s="355"/>
      <c r="H211" s="355"/>
      <c r="I211" s="355"/>
      <c r="J211" s="355"/>
      <c r="K211" s="355"/>
      <c r="L211" s="355"/>
      <c r="M211" s="355"/>
      <c r="N211" s="355"/>
      <c r="O211" s="355"/>
      <c r="P211" s="355"/>
      <c r="Q211" s="355"/>
      <c r="R211" s="355"/>
      <c r="S211" s="355"/>
      <c r="T211" s="355"/>
      <c r="U211" s="355"/>
      <c r="V211" s="355"/>
      <c r="W211" s="355"/>
      <c r="X211" s="355"/>
      <c r="Y211" s="355"/>
      <c r="Z211" s="355"/>
    </row>
    <row r="212" spans="1:26" ht="13.5" customHeight="1" x14ac:dyDescent="0.25">
      <c r="A212" s="382"/>
      <c r="B212" s="355"/>
      <c r="C212" s="450"/>
      <c r="D212" s="450"/>
      <c r="E212" s="355"/>
      <c r="F212" s="355"/>
      <c r="G212" s="355"/>
      <c r="H212" s="355"/>
      <c r="I212" s="355"/>
      <c r="J212" s="355"/>
      <c r="K212" s="355"/>
      <c r="L212" s="355"/>
      <c r="M212" s="355"/>
      <c r="N212" s="355"/>
      <c r="O212" s="355"/>
      <c r="P212" s="355"/>
      <c r="Q212" s="355"/>
      <c r="R212" s="355"/>
      <c r="S212" s="355"/>
      <c r="T212" s="355"/>
      <c r="U212" s="355"/>
      <c r="V212" s="355"/>
      <c r="W212" s="355"/>
      <c r="X212" s="355"/>
      <c r="Y212" s="355"/>
      <c r="Z212" s="355"/>
    </row>
    <row r="213" spans="1:26" ht="13.5" customHeight="1" x14ac:dyDescent="0.25">
      <c r="A213" s="382"/>
      <c r="B213" s="355"/>
      <c r="C213" s="450"/>
      <c r="D213" s="450"/>
      <c r="E213" s="355"/>
      <c r="F213" s="355"/>
      <c r="G213" s="355"/>
      <c r="H213" s="355"/>
      <c r="I213" s="355"/>
      <c r="J213" s="355"/>
      <c r="K213" s="355"/>
      <c r="L213" s="355"/>
      <c r="M213" s="355"/>
      <c r="N213" s="355"/>
      <c r="O213" s="355"/>
      <c r="P213" s="355"/>
      <c r="Q213" s="355"/>
      <c r="R213" s="355"/>
      <c r="S213" s="355"/>
      <c r="T213" s="355"/>
      <c r="U213" s="355"/>
      <c r="V213" s="355"/>
      <c r="W213" s="355"/>
      <c r="X213" s="355"/>
      <c r="Y213" s="355"/>
      <c r="Z213" s="355"/>
    </row>
    <row r="214" spans="1:26" ht="13.5" customHeight="1" x14ac:dyDescent="0.25">
      <c r="A214" s="382"/>
      <c r="B214" s="355"/>
      <c r="C214" s="450"/>
      <c r="D214" s="450"/>
      <c r="E214" s="355"/>
      <c r="F214" s="355"/>
      <c r="G214" s="355"/>
      <c r="H214" s="355"/>
      <c r="I214" s="355"/>
      <c r="J214" s="355"/>
      <c r="K214" s="355"/>
      <c r="L214" s="355"/>
      <c r="M214" s="355"/>
      <c r="N214" s="355"/>
      <c r="O214" s="355"/>
      <c r="P214" s="355"/>
      <c r="Q214" s="355"/>
      <c r="R214" s="355"/>
      <c r="S214" s="355"/>
      <c r="T214" s="355"/>
      <c r="U214" s="355"/>
      <c r="V214" s="355"/>
      <c r="W214" s="355"/>
      <c r="X214" s="355"/>
      <c r="Y214" s="355"/>
      <c r="Z214" s="355"/>
    </row>
    <row r="215" spans="1:26" ht="13.5" customHeight="1" x14ac:dyDescent="0.25">
      <c r="A215" s="382"/>
      <c r="B215" s="355"/>
      <c r="C215" s="450"/>
      <c r="D215" s="450"/>
      <c r="E215" s="355"/>
      <c r="F215" s="355"/>
      <c r="G215" s="355"/>
      <c r="H215" s="355"/>
      <c r="I215" s="355"/>
      <c r="J215" s="355"/>
      <c r="K215" s="355"/>
      <c r="L215" s="355"/>
      <c r="M215" s="355"/>
      <c r="N215" s="355"/>
      <c r="O215" s="355"/>
      <c r="P215" s="355"/>
      <c r="Q215" s="355"/>
      <c r="R215" s="355"/>
      <c r="S215" s="355"/>
      <c r="T215" s="355"/>
      <c r="U215" s="355"/>
      <c r="V215" s="355"/>
      <c r="W215" s="355"/>
      <c r="X215" s="355"/>
      <c r="Y215" s="355"/>
      <c r="Z215" s="355"/>
    </row>
    <row r="216" spans="1:26" ht="13.5" customHeight="1" x14ac:dyDescent="0.25">
      <c r="A216" s="382"/>
      <c r="B216" s="355"/>
      <c r="C216" s="450"/>
      <c r="D216" s="450"/>
      <c r="E216" s="355"/>
      <c r="F216" s="355"/>
      <c r="G216" s="355"/>
      <c r="H216" s="355"/>
      <c r="I216" s="355"/>
      <c r="J216" s="355"/>
      <c r="K216" s="355"/>
      <c r="L216" s="355"/>
      <c r="M216" s="355"/>
      <c r="N216" s="355"/>
      <c r="O216" s="355"/>
      <c r="P216" s="355"/>
      <c r="Q216" s="355"/>
      <c r="R216" s="355"/>
      <c r="S216" s="355"/>
      <c r="T216" s="355"/>
      <c r="U216" s="355"/>
      <c r="V216" s="355"/>
      <c r="W216" s="355"/>
      <c r="X216" s="355"/>
      <c r="Y216" s="355"/>
      <c r="Z216" s="355"/>
    </row>
    <row r="217" spans="1:26" ht="13.5" customHeight="1" x14ac:dyDescent="0.25">
      <c r="A217" s="382"/>
      <c r="B217" s="355"/>
      <c r="C217" s="450"/>
      <c r="D217" s="450"/>
      <c r="E217" s="355"/>
      <c r="F217" s="355"/>
      <c r="G217" s="355"/>
      <c r="H217" s="355"/>
      <c r="I217" s="355"/>
      <c r="J217" s="355"/>
      <c r="K217" s="355"/>
      <c r="L217" s="355"/>
      <c r="M217" s="355"/>
      <c r="N217" s="355"/>
      <c r="O217" s="355"/>
      <c r="P217" s="355"/>
      <c r="Q217" s="355"/>
      <c r="R217" s="355"/>
      <c r="S217" s="355"/>
      <c r="T217" s="355"/>
      <c r="U217" s="355"/>
      <c r="V217" s="355"/>
      <c r="W217" s="355"/>
      <c r="X217" s="355"/>
      <c r="Y217" s="355"/>
      <c r="Z217" s="355"/>
    </row>
    <row r="218" spans="1:26" ht="13.5" customHeight="1" x14ac:dyDescent="0.25">
      <c r="A218" s="382"/>
      <c r="B218" s="355"/>
      <c r="C218" s="450"/>
      <c r="D218" s="450"/>
      <c r="E218" s="355"/>
      <c r="F218" s="355"/>
      <c r="G218" s="355"/>
      <c r="H218" s="355"/>
      <c r="I218" s="355"/>
      <c r="J218" s="355"/>
      <c r="K218" s="355"/>
      <c r="L218" s="355"/>
      <c r="M218" s="355"/>
      <c r="N218" s="355"/>
      <c r="O218" s="355"/>
      <c r="P218" s="355"/>
      <c r="Q218" s="355"/>
      <c r="R218" s="355"/>
      <c r="S218" s="355"/>
      <c r="T218" s="355"/>
      <c r="U218" s="355"/>
      <c r="V218" s="355"/>
      <c r="W218" s="355"/>
      <c r="X218" s="355"/>
      <c r="Y218" s="355"/>
      <c r="Z218" s="355"/>
    </row>
    <row r="219" spans="1:26" ht="13.5" customHeight="1" x14ac:dyDescent="0.25">
      <c r="A219" s="382"/>
      <c r="B219" s="355"/>
      <c r="C219" s="450"/>
      <c r="D219" s="450"/>
      <c r="E219" s="355"/>
      <c r="F219" s="355"/>
      <c r="G219" s="355"/>
      <c r="H219" s="355"/>
      <c r="I219" s="355"/>
      <c r="J219" s="355"/>
      <c r="K219" s="355"/>
      <c r="L219" s="355"/>
      <c r="M219" s="355"/>
      <c r="N219" s="355"/>
      <c r="O219" s="355"/>
      <c r="P219" s="355"/>
      <c r="Q219" s="355"/>
      <c r="R219" s="355"/>
      <c r="S219" s="355"/>
      <c r="T219" s="355"/>
      <c r="U219" s="355"/>
      <c r="V219" s="355"/>
      <c r="W219" s="355"/>
      <c r="X219" s="355"/>
      <c r="Y219" s="355"/>
      <c r="Z219" s="355"/>
    </row>
    <row r="220" spans="1:26" ht="13.5" customHeight="1" x14ac:dyDescent="0.25">
      <c r="A220" s="382"/>
      <c r="B220" s="355"/>
      <c r="C220" s="450"/>
      <c r="D220" s="450"/>
      <c r="E220" s="355"/>
      <c r="F220" s="355"/>
      <c r="G220" s="355"/>
      <c r="H220" s="355"/>
      <c r="I220" s="355"/>
      <c r="J220" s="355"/>
      <c r="K220" s="355"/>
      <c r="L220" s="355"/>
      <c r="M220" s="355"/>
      <c r="N220" s="355"/>
      <c r="O220" s="355"/>
      <c r="P220" s="355"/>
      <c r="Q220" s="355"/>
      <c r="R220" s="355"/>
      <c r="S220" s="355"/>
      <c r="T220" s="355"/>
      <c r="U220" s="355"/>
      <c r="V220" s="355"/>
      <c r="W220" s="355"/>
      <c r="X220" s="355"/>
      <c r="Y220" s="355"/>
      <c r="Z220" s="355"/>
    </row>
    <row r="221" spans="1:26" ht="13.5" customHeight="1" x14ac:dyDescent="0.25">
      <c r="A221" s="382"/>
      <c r="B221" s="355"/>
      <c r="C221" s="450"/>
      <c r="D221" s="450"/>
      <c r="E221" s="355"/>
      <c r="F221" s="355"/>
      <c r="G221" s="355"/>
      <c r="H221" s="355"/>
      <c r="I221" s="355"/>
      <c r="J221" s="355"/>
      <c r="K221" s="355"/>
      <c r="L221" s="355"/>
      <c r="M221" s="355"/>
      <c r="N221" s="355"/>
      <c r="O221" s="355"/>
      <c r="P221" s="355"/>
      <c r="Q221" s="355"/>
      <c r="R221" s="355"/>
      <c r="S221" s="355"/>
      <c r="T221" s="355"/>
      <c r="U221" s="355"/>
      <c r="V221" s="355"/>
      <c r="W221" s="355"/>
      <c r="X221" s="355"/>
      <c r="Y221" s="355"/>
      <c r="Z221" s="355"/>
    </row>
    <row r="222" spans="1:26" ht="13.5" customHeight="1" x14ac:dyDescent="0.25">
      <c r="A222" s="382"/>
      <c r="B222" s="355"/>
      <c r="C222" s="450"/>
      <c r="D222" s="450"/>
      <c r="E222" s="355"/>
      <c r="F222" s="355"/>
      <c r="G222" s="355"/>
      <c r="H222" s="355"/>
      <c r="I222" s="355"/>
      <c r="J222" s="355"/>
      <c r="K222" s="355"/>
      <c r="L222" s="355"/>
      <c r="M222" s="355"/>
      <c r="N222" s="355"/>
      <c r="O222" s="355"/>
      <c r="P222" s="355"/>
      <c r="Q222" s="355"/>
      <c r="R222" s="355"/>
      <c r="S222" s="355"/>
      <c r="T222" s="355"/>
      <c r="U222" s="355"/>
      <c r="V222" s="355"/>
      <c r="W222" s="355"/>
      <c r="X222" s="355"/>
      <c r="Y222" s="355"/>
      <c r="Z222" s="355"/>
    </row>
    <row r="223" spans="1:26" ht="13.5" customHeight="1" x14ac:dyDescent="0.25">
      <c r="A223" s="382"/>
      <c r="B223" s="355"/>
      <c r="C223" s="450"/>
      <c r="D223" s="450"/>
      <c r="E223" s="355"/>
      <c r="F223" s="355"/>
      <c r="G223" s="355"/>
      <c r="H223" s="355"/>
      <c r="I223" s="355"/>
      <c r="J223" s="355"/>
      <c r="K223" s="355"/>
      <c r="L223" s="355"/>
      <c r="M223" s="355"/>
      <c r="N223" s="355"/>
      <c r="O223" s="355"/>
      <c r="P223" s="355"/>
      <c r="Q223" s="355"/>
      <c r="R223" s="355"/>
      <c r="S223" s="355"/>
      <c r="T223" s="355"/>
      <c r="U223" s="355"/>
      <c r="V223" s="355"/>
      <c r="W223" s="355"/>
      <c r="X223" s="355"/>
      <c r="Y223" s="355"/>
      <c r="Z223" s="355"/>
    </row>
    <row r="224" spans="1:26" ht="13.5" customHeight="1" x14ac:dyDescent="0.25">
      <c r="A224" s="382"/>
      <c r="B224" s="355"/>
      <c r="C224" s="450"/>
      <c r="D224" s="450"/>
      <c r="E224" s="355"/>
      <c r="F224" s="355"/>
      <c r="G224" s="355"/>
      <c r="H224" s="355"/>
      <c r="I224" s="355"/>
      <c r="J224" s="355"/>
      <c r="K224" s="355"/>
      <c r="L224" s="355"/>
      <c r="M224" s="355"/>
      <c r="N224" s="355"/>
      <c r="O224" s="355"/>
      <c r="P224" s="355"/>
      <c r="Q224" s="355"/>
      <c r="R224" s="355"/>
      <c r="S224" s="355"/>
      <c r="T224" s="355"/>
      <c r="U224" s="355"/>
      <c r="V224" s="355"/>
      <c r="W224" s="355"/>
      <c r="X224" s="355"/>
      <c r="Y224" s="355"/>
      <c r="Z224" s="355"/>
    </row>
    <row r="225" spans="1:26" ht="13.5" customHeight="1" x14ac:dyDescent="0.25">
      <c r="A225" s="382"/>
      <c r="B225" s="355"/>
      <c r="C225" s="450"/>
      <c r="D225" s="450"/>
      <c r="E225" s="355"/>
      <c r="F225" s="355"/>
      <c r="G225" s="355"/>
      <c r="H225" s="355"/>
      <c r="I225" s="355"/>
      <c r="J225" s="355"/>
      <c r="K225" s="355"/>
      <c r="L225" s="355"/>
      <c r="M225" s="355"/>
      <c r="N225" s="355"/>
      <c r="O225" s="355"/>
      <c r="P225" s="355"/>
      <c r="Q225" s="355"/>
      <c r="R225" s="355"/>
      <c r="S225" s="355"/>
      <c r="T225" s="355"/>
      <c r="U225" s="355"/>
      <c r="V225" s="355"/>
      <c r="W225" s="355"/>
      <c r="X225" s="355"/>
      <c r="Y225" s="355"/>
      <c r="Z225" s="355"/>
    </row>
    <row r="226" spans="1:26" ht="13.5" customHeight="1" x14ac:dyDescent="0.25">
      <c r="A226" s="382"/>
      <c r="B226" s="355"/>
      <c r="C226" s="450"/>
      <c r="D226" s="450"/>
      <c r="E226" s="355"/>
      <c r="F226" s="355"/>
      <c r="G226" s="355"/>
      <c r="H226" s="355"/>
      <c r="I226" s="355"/>
      <c r="J226" s="355"/>
      <c r="K226" s="355"/>
      <c r="L226" s="355"/>
      <c r="M226" s="355"/>
      <c r="N226" s="355"/>
      <c r="O226" s="355"/>
      <c r="P226" s="355"/>
      <c r="Q226" s="355"/>
      <c r="R226" s="355"/>
      <c r="S226" s="355"/>
      <c r="T226" s="355"/>
      <c r="U226" s="355"/>
      <c r="V226" s="355"/>
      <c r="W226" s="355"/>
      <c r="X226" s="355"/>
      <c r="Y226" s="355"/>
      <c r="Z226" s="355"/>
    </row>
    <row r="227" spans="1:26" ht="13.5" customHeight="1" x14ac:dyDescent="0.25">
      <c r="A227" s="382"/>
      <c r="B227" s="355"/>
      <c r="C227" s="450"/>
      <c r="D227" s="450"/>
      <c r="E227" s="355"/>
      <c r="F227" s="355"/>
      <c r="G227" s="355"/>
      <c r="H227" s="355"/>
      <c r="I227" s="355"/>
      <c r="J227" s="355"/>
      <c r="K227" s="355"/>
      <c r="L227" s="355"/>
      <c r="M227" s="355"/>
      <c r="N227" s="355"/>
      <c r="O227" s="355"/>
      <c r="P227" s="355"/>
      <c r="Q227" s="355"/>
      <c r="R227" s="355"/>
      <c r="S227" s="355"/>
      <c r="T227" s="355"/>
      <c r="U227" s="355"/>
      <c r="V227" s="355"/>
      <c r="W227" s="355"/>
      <c r="X227" s="355"/>
      <c r="Y227" s="355"/>
      <c r="Z227" s="355"/>
    </row>
    <row r="228" spans="1:26" ht="13.5" customHeight="1" x14ac:dyDescent="0.25">
      <c r="A228" s="382"/>
      <c r="B228" s="355"/>
      <c r="C228" s="450"/>
      <c r="D228" s="450"/>
      <c r="E228" s="355"/>
      <c r="F228" s="355"/>
      <c r="G228" s="355"/>
      <c r="H228" s="355"/>
      <c r="I228" s="355"/>
      <c r="J228" s="355"/>
      <c r="K228" s="355"/>
      <c r="L228" s="355"/>
      <c r="M228" s="355"/>
      <c r="N228" s="355"/>
      <c r="O228" s="355"/>
      <c r="P228" s="355"/>
      <c r="Q228" s="355"/>
      <c r="R228" s="355"/>
      <c r="S228" s="355"/>
      <c r="T228" s="355"/>
      <c r="U228" s="355"/>
      <c r="V228" s="355"/>
      <c r="W228" s="355"/>
      <c r="X228" s="355"/>
      <c r="Y228" s="355"/>
      <c r="Z228" s="355"/>
    </row>
    <row r="229" spans="1:26" ht="13.5" customHeight="1" x14ac:dyDescent="0.25">
      <c r="A229" s="382"/>
      <c r="B229" s="355"/>
      <c r="C229" s="450"/>
      <c r="D229" s="450"/>
      <c r="E229" s="355"/>
      <c r="F229" s="355"/>
      <c r="G229" s="355"/>
      <c r="H229" s="355"/>
      <c r="I229" s="355"/>
      <c r="J229" s="355"/>
      <c r="K229" s="355"/>
      <c r="L229" s="355"/>
      <c r="M229" s="355"/>
      <c r="N229" s="355"/>
      <c r="O229" s="355"/>
      <c r="P229" s="355"/>
      <c r="Q229" s="355"/>
      <c r="R229" s="355"/>
      <c r="S229" s="355"/>
      <c r="T229" s="355"/>
      <c r="U229" s="355"/>
      <c r="V229" s="355"/>
      <c r="W229" s="355"/>
      <c r="X229" s="355"/>
      <c r="Y229" s="355"/>
      <c r="Z229" s="355"/>
    </row>
    <row r="230" spans="1:26" ht="13.5" customHeight="1" x14ac:dyDescent="0.25">
      <c r="A230" s="382"/>
      <c r="B230" s="355"/>
      <c r="C230" s="450"/>
      <c r="D230" s="450"/>
      <c r="E230" s="355"/>
      <c r="F230" s="355"/>
      <c r="G230" s="355"/>
      <c r="H230" s="355"/>
      <c r="I230" s="355"/>
      <c r="J230" s="355"/>
      <c r="K230" s="355"/>
      <c r="L230" s="355"/>
      <c r="M230" s="355"/>
      <c r="N230" s="355"/>
      <c r="O230" s="355"/>
      <c r="P230" s="355"/>
      <c r="Q230" s="355"/>
      <c r="R230" s="355"/>
      <c r="S230" s="355"/>
      <c r="T230" s="355"/>
      <c r="U230" s="355"/>
      <c r="V230" s="355"/>
      <c r="W230" s="355"/>
      <c r="X230" s="355"/>
      <c r="Y230" s="355"/>
      <c r="Z230" s="355"/>
    </row>
    <row r="231" spans="1:26" ht="13.5" customHeight="1" x14ac:dyDescent="0.25">
      <c r="A231" s="382"/>
      <c r="B231" s="355"/>
      <c r="C231" s="450"/>
      <c r="D231" s="450"/>
      <c r="E231" s="355"/>
      <c r="F231" s="355"/>
      <c r="G231" s="355"/>
      <c r="H231" s="355"/>
      <c r="I231" s="355"/>
      <c r="J231" s="355"/>
      <c r="K231" s="355"/>
      <c r="L231" s="355"/>
      <c r="M231" s="355"/>
      <c r="N231" s="355"/>
      <c r="O231" s="355"/>
      <c r="P231" s="355"/>
      <c r="Q231" s="355"/>
      <c r="R231" s="355"/>
      <c r="S231" s="355"/>
      <c r="T231" s="355"/>
      <c r="U231" s="355"/>
      <c r="V231" s="355"/>
      <c r="W231" s="355"/>
      <c r="X231" s="355"/>
      <c r="Y231" s="355"/>
      <c r="Z231" s="355"/>
    </row>
    <row r="232" spans="1:26" ht="13.5" customHeight="1" x14ac:dyDescent="0.25">
      <c r="A232" s="382"/>
      <c r="B232" s="355"/>
      <c r="C232" s="450"/>
      <c r="D232" s="450"/>
      <c r="E232" s="355"/>
      <c r="F232" s="355"/>
      <c r="G232" s="355"/>
      <c r="H232" s="355"/>
      <c r="I232" s="355"/>
      <c r="J232" s="355"/>
      <c r="K232" s="355"/>
      <c r="L232" s="355"/>
      <c r="M232" s="355"/>
      <c r="N232" s="355"/>
      <c r="O232" s="355"/>
      <c r="P232" s="355"/>
      <c r="Q232" s="355"/>
      <c r="R232" s="355"/>
      <c r="S232" s="355"/>
      <c r="T232" s="355"/>
      <c r="U232" s="355"/>
      <c r="V232" s="355"/>
      <c r="W232" s="355"/>
      <c r="X232" s="355"/>
      <c r="Y232" s="355"/>
      <c r="Z232" s="355"/>
    </row>
    <row r="233" spans="1:26" ht="13.5" customHeight="1" x14ac:dyDescent="0.25">
      <c r="A233" s="382"/>
      <c r="B233" s="355"/>
      <c r="C233" s="450"/>
      <c r="D233" s="450"/>
      <c r="E233" s="355"/>
      <c r="F233" s="355"/>
      <c r="G233" s="355"/>
      <c r="H233" s="355"/>
      <c r="I233" s="355"/>
      <c r="J233" s="355"/>
      <c r="K233" s="355"/>
      <c r="L233" s="355"/>
      <c r="M233" s="355"/>
      <c r="N233" s="355"/>
      <c r="O233" s="355"/>
      <c r="P233" s="355"/>
      <c r="Q233" s="355"/>
      <c r="R233" s="355"/>
      <c r="S233" s="355"/>
      <c r="T233" s="355"/>
      <c r="U233" s="355"/>
      <c r="V233" s="355"/>
      <c r="W233" s="355"/>
      <c r="X233" s="355"/>
      <c r="Y233" s="355"/>
      <c r="Z233" s="355"/>
    </row>
    <row r="234" spans="1:26" ht="13.5" customHeight="1" x14ac:dyDescent="0.25">
      <c r="A234" s="382"/>
      <c r="B234" s="355"/>
      <c r="C234" s="450"/>
      <c r="D234" s="450"/>
      <c r="E234" s="355"/>
      <c r="F234" s="355"/>
      <c r="G234" s="355"/>
      <c r="H234" s="355"/>
      <c r="I234" s="355"/>
      <c r="J234" s="355"/>
      <c r="K234" s="355"/>
      <c r="L234" s="355"/>
      <c r="M234" s="355"/>
      <c r="N234" s="355"/>
      <c r="O234" s="355"/>
      <c r="P234" s="355"/>
      <c r="Q234" s="355"/>
      <c r="R234" s="355"/>
      <c r="S234" s="355"/>
      <c r="T234" s="355"/>
      <c r="U234" s="355"/>
      <c r="V234" s="355"/>
      <c r="W234" s="355"/>
      <c r="X234" s="355"/>
      <c r="Y234" s="355"/>
      <c r="Z234" s="355"/>
    </row>
    <row r="235" spans="1:26" ht="13.5" customHeight="1" x14ac:dyDescent="0.25">
      <c r="A235" s="382"/>
      <c r="B235" s="355"/>
      <c r="C235" s="450"/>
      <c r="D235" s="450"/>
      <c r="E235" s="355"/>
      <c r="F235" s="355"/>
      <c r="G235" s="355"/>
      <c r="H235" s="355"/>
      <c r="I235" s="355"/>
      <c r="J235" s="355"/>
      <c r="K235" s="355"/>
      <c r="L235" s="355"/>
      <c r="M235" s="355"/>
      <c r="N235" s="355"/>
      <c r="O235" s="355"/>
      <c r="P235" s="355"/>
      <c r="Q235" s="355"/>
      <c r="R235" s="355"/>
      <c r="S235" s="355"/>
      <c r="T235" s="355"/>
      <c r="U235" s="355"/>
      <c r="V235" s="355"/>
      <c r="W235" s="355"/>
      <c r="X235" s="355"/>
      <c r="Y235" s="355"/>
      <c r="Z235" s="355"/>
    </row>
    <row r="236" spans="1:26" ht="13.5" customHeight="1" x14ac:dyDescent="0.25">
      <c r="A236" s="382"/>
      <c r="B236" s="355"/>
      <c r="C236" s="450"/>
      <c r="D236" s="450"/>
      <c r="E236" s="355"/>
      <c r="F236" s="355"/>
      <c r="G236" s="355"/>
      <c r="H236" s="355"/>
      <c r="I236" s="355"/>
      <c r="J236" s="355"/>
      <c r="K236" s="355"/>
      <c r="L236" s="355"/>
      <c r="M236" s="355"/>
      <c r="N236" s="355"/>
      <c r="O236" s="355"/>
      <c r="P236" s="355"/>
      <c r="Q236" s="355"/>
      <c r="R236" s="355"/>
      <c r="S236" s="355"/>
      <c r="T236" s="355"/>
      <c r="U236" s="355"/>
      <c r="V236" s="355"/>
      <c r="W236" s="355"/>
      <c r="X236" s="355"/>
      <c r="Y236" s="355"/>
      <c r="Z236" s="355"/>
    </row>
    <row r="237" spans="1:26" ht="13.5" customHeight="1" x14ac:dyDescent="0.25">
      <c r="A237" s="382"/>
      <c r="B237" s="355"/>
      <c r="C237" s="450"/>
      <c r="D237" s="450"/>
      <c r="E237" s="355"/>
      <c r="F237" s="355"/>
      <c r="G237" s="355"/>
      <c r="H237" s="355"/>
      <c r="I237" s="355"/>
      <c r="J237" s="355"/>
      <c r="K237" s="355"/>
      <c r="L237" s="355"/>
      <c r="M237" s="355"/>
      <c r="N237" s="355"/>
      <c r="O237" s="355"/>
      <c r="P237" s="355"/>
      <c r="Q237" s="355"/>
      <c r="R237" s="355"/>
      <c r="S237" s="355"/>
      <c r="T237" s="355"/>
      <c r="U237" s="355"/>
      <c r="V237" s="355"/>
      <c r="W237" s="355"/>
      <c r="X237" s="355"/>
      <c r="Y237" s="355"/>
      <c r="Z237" s="355"/>
    </row>
    <row r="238" spans="1:26" ht="13.5" customHeight="1" x14ac:dyDescent="0.25">
      <c r="A238" s="382"/>
      <c r="B238" s="355"/>
      <c r="C238" s="450"/>
      <c r="D238" s="450"/>
      <c r="E238" s="355"/>
      <c r="F238" s="355"/>
      <c r="G238" s="355"/>
      <c r="H238" s="355"/>
      <c r="I238" s="355"/>
      <c r="J238" s="355"/>
      <c r="K238" s="355"/>
      <c r="L238" s="355"/>
      <c r="M238" s="355"/>
      <c r="N238" s="355"/>
      <c r="O238" s="355"/>
      <c r="P238" s="355"/>
      <c r="Q238" s="355"/>
      <c r="R238" s="355"/>
      <c r="S238" s="355"/>
      <c r="T238" s="355"/>
      <c r="U238" s="355"/>
      <c r="V238" s="355"/>
      <c r="W238" s="355"/>
      <c r="X238" s="355"/>
      <c r="Y238" s="355"/>
      <c r="Z238" s="355"/>
    </row>
    <row r="239" spans="1:26" ht="13.5" customHeight="1" x14ac:dyDescent="0.25">
      <c r="A239" s="382"/>
      <c r="B239" s="355"/>
      <c r="C239" s="450"/>
      <c r="D239" s="450"/>
      <c r="E239" s="355"/>
      <c r="F239" s="355"/>
      <c r="G239" s="355"/>
      <c r="H239" s="355"/>
      <c r="I239" s="355"/>
      <c r="J239" s="355"/>
      <c r="K239" s="355"/>
      <c r="L239" s="355"/>
      <c r="M239" s="355"/>
      <c r="N239" s="355"/>
      <c r="O239" s="355"/>
      <c r="P239" s="355"/>
      <c r="Q239" s="355"/>
      <c r="R239" s="355"/>
      <c r="S239" s="355"/>
      <c r="T239" s="355"/>
      <c r="U239" s="355"/>
      <c r="V239" s="355"/>
      <c r="W239" s="355"/>
      <c r="X239" s="355"/>
      <c r="Y239" s="355"/>
      <c r="Z239" s="355"/>
    </row>
    <row r="240" spans="1:26" ht="13.5" customHeight="1" x14ac:dyDescent="0.25">
      <c r="A240" s="382"/>
      <c r="B240" s="355"/>
      <c r="C240" s="450"/>
      <c r="D240" s="450"/>
      <c r="E240" s="355"/>
      <c r="F240" s="355"/>
      <c r="G240" s="355"/>
      <c r="H240" s="355"/>
      <c r="I240" s="355"/>
      <c r="J240" s="355"/>
      <c r="K240" s="355"/>
      <c r="L240" s="355"/>
      <c r="M240" s="355"/>
      <c r="N240" s="355"/>
      <c r="O240" s="355"/>
      <c r="P240" s="355"/>
      <c r="Q240" s="355"/>
      <c r="R240" s="355"/>
      <c r="S240" s="355"/>
      <c r="T240" s="355"/>
      <c r="U240" s="355"/>
      <c r="V240" s="355"/>
      <c r="W240" s="355"/>
      <c r="X240" s="355"/>
      <c r="Y240" s="355"/>
      <c r="Z240" s="355"/>
    </row>
    <row r="241" spans="1:26" ht="13.5" customHeight="1" x14ac:dyDescent="0.25">
      <c r="A241" s="382"/>
      <c r="B241" s="355"/>
      <c r="C241" s="450"/>
      <c r="D241" s="450"/>
      <c r="E241" s="355"/>
      <c r="F241" s="355"/>
      <c r="G241" s="355"/>
      <c r="H241" s="355"/>
      <c r="I241" s="355"/>
      <c r="J241" s="355"/>
      <c r="K241" s="355"/>
      <c r="L241" s="355"/>
      <c r="M241" s="355"/>
      <c r="N241" s="355"/>
      <c r="O241" s="355"/>
      <c r="P241" s="355"/>
      <c r="Q241" s="355"/>
      <c r="R241" s="355"/>
      <c r="S241" s="355"/>
      <c r="T241" s="355"/>
      <c r="U241" s="355"/>
      <c r="V241" s="355"/>
      <c r="W241" s="355"/>
      <c r="X241" s="355"/>
      <c r="Y241" s="355"/>
      <c r="Z241" s="355"/>
    </row>
    <row r="242" spans="1:26" ht="13.5" customHeight="1" x14ac:dyDescent="0.25">
      <c r="A242" s="382"/>
      <c r="B242" s="355"/>
      <c r="C242" s="450"/>
      <c r="D242" s="450"/>
      <c r="E242" s="355"/>
      <c r="F242" s="355"/>
      <c r="G242" s="355"/>
      <c r="H242" s="355"/>
      <c r="I242" s="355"/>
      <c r="J242" s="355"/>
      <c r="K242" s="355"/>
      <c r="L242" s="355"/>
      <c r="M242" s="355"/>
      <c r="N242" s="355"/>
      <c r="O242" s="355"/>
      <c r="P242" s="355"/>
      <c r="Q242" s="355"/>
      <c r="R242" s="355"/>
      <c r="S242" s="355"/>
      <c r="T242" s="355"/>
      <c r="U242" s="355"/>
      <c r="V242" s="355"/>
      <c r="W242" s="355"/>
      <c r="X242" s="355"/>
      <c r="Y242" s="355"/>
      <c r="Z242" s="355"/>
    </row>
    <row r="243" spans="1:26" ht="13.5" customHeight="1" x14ac:dyDescent="0.25">
      <c r="A243" s="382"/>
      <c r="B243" s="355"/>
      <c r="C243" s="450"/>
      <c r="D243" s="450"/>
      <c r="E243" s="355"/>
      <c r="F243" s="355"/>
      <c r="G243" s="355"/>
      <c r="H243" s="355"/>
      <c r="I243" s="355"/>
      <c r="J243" s="355"/>
      <c r="K243" s="355"/>
      <c r="L243" s="355"/>
      <c r="M243" s="355"/>
      <c r="N243" s="355"/>
      <c r="O243" s="355"/>
      <c r="P243" s="355"/>
      <c r="Q243" s="355"/>
      <c r="R243" s="355"/>
      <c r="S243" s="355"/>
      <c r="T243" s="355"/>
      <c r="U243" s="355"/>
      <c r="V243" s="355"/>
      <c r="W243" s="355"/>
      <c r="X243" s="355"/>
      <c r="Y243" s="355"/>
      <c r="Z243" s="355"/>
    </row>
    <row r="244" spans="1:26" ht="13.5" customHeight="1" x14ac:dyDescent="0.25">
      <c r="A244" s="382"/>
      <c r="B244" s="355"/>
      <c r="C244" s="450"/>
      <c r="D244" s="450"/>
      <c r="E244" s="355"/>
      <c r="F244" s="355"/>
      <c r="G244" s="355"/>
      <c r="H244" s="355"/>
      <c r="I244" s="355"/>
      <c r="J244" s="355"/>
      <c r="K244" s="355"/>
      <c r="L244" s="355"/>
      <c r="M244" s="355"/>
      <c r="N244" s="355"/>
      <c r="O244" s="355"/>
      <c r="P244" s="355"/>
      <c r="Q244" s="355"/>
      <c r="R244" s="355"/>
      <c r="S244" s="355"/>
      <c r="T244" s="355"/>
      <c r="U244" s="355"/>
      <c r="V244" s="355"/>
      <c r="W244" s="355"/>
      <c r="X244" s="355"/>
      <c r="Y244" s="355"/>
      <c r="Z244" s="355"/>
    </row>
    <row r="245" spans="1:26" ht="13.5" customHeight="1" x14ac:dyDescent="0.25">
      <c r="A245" s="382"/>
      <c r="B245" s="355"/>
      <c r="C245" s="450"/>
      <c r="D245" s="450"/>
      <c r="E245" s="355"/>
      <c r="F245" s="355"/>
      <c r="G245" s="355"/>
      <c r="H245" s="355"/>
      <c r="I245" s="355"/>
      <c r="J245" s="355"/>
      <c r="K245" s="355"/>
      <c r="L245" s="355"/>
      <c r="M245" s="355"/>
      <c r="N245" s="355"/>
      <c r="O245" s="355"/>
      <c r="P245" s="355"/>
      <c r="Q245" s="355"/>
      <c r="R245" s="355"/>
      <c r="S245" s="355"/>
      <c r="T245" s="355"/>
      <c r="U245" s="355"/>
      <c r="V245" s="355"/>
      <c r="W245" s="355"/>
      <c r="X245" s="355"/>
      <c r="Y245" s="355"/>
      <c r="Z245" s="355"/>
    </row>
    <row r="246" spans="1:26" ht="13.5" customHeight="1" x14ac:dyDescent="0.25">
      <c r="A246" s="382"/>
      <c r="B246" s="355"/>
      <c r="C246" s="450"/>
      <c r="D246" s="450"/>
      <c r="E246" s="355"/>
      <c r="F246" s="355"/>
      <c r="G246" s="355"/>
      <c r="H246" s="355"/>
      <c r="I246" s="355"/>
      <c r="J246" s="355"/>
      <c r="K246" s="355"/>
      <c r="L246" s="355"/>
      <c r="M246" s="355"/>
      <c r="N246" s="355"/>
      <c r="O246" s="355"/>
      <c r="P246" s="355"/>
      <c r="Q246" s="355"/>
      <c r="R246" s="355"/>
      <c r="S246" s="355"/>
      <c r="T246" s="355"/>
      <c r="U246" s="355"/>
      <c r="V246" s="355"/>
      <c r="W246" s="355"/>
      <c r="X246" s="355"/>
      <c r="Y246" s="355"/>
      <c r="Z246" s="355"/>
    </row>
    <row r="247" spans="1:26" ht="13.5" customHeight="1" x14ac:dyDescent="0.25">
      <c r="A247" s="382"/>
      <c r="B247" s="355"/>
      <c r="C247" s="450"/>
      <c r="D247" s="450"/>
      <c r="E247" s="355"/>
      <c r="F247" s="355"/>
      <c r="G247" s="355"/>
      <c r="H247" s="355"/>
      <c r="I247" s="355"/>
      <c r="J247" s="355"/>
      <c r="K247" s="355"/>
      <c r="L247" s="355"/>
      <c r="M247" s="355"/>
      <c r="N247" s="355"/>
      <c r="O247" s="355"/>
      <c r="P247" s="355"/>
      <c r="Q247" s="355"/>
      <c r="R247" s="355"/>
      <c r="S247" s="355"/>
      <c r="T247" s="355"/>
      <c r="U247" s="355"/>
      <c r="V247" s="355"/>
      <c r="W247" s="355"/>
      <c r="X247" s="355"/>
      <c r="Y247" s="355"/>
      <c r="Z247" s="355"/>
    </row>
    <row r="248" spans="1:26" ht="13.5" customHeight="1" x14ac:dyDescent="0.25">
      <c r="A248" s="382"/>
      <c r="B248" s="355"/>
      <c r="C248" s="450"/>
      <c r="D248" s="450"/>
      <c r="E248" s="355"/>
      <c r="F248" s="355"/>
      <c r="G248" s="355"/>
      <c r="H248" s="355"/>
      <c r="I248" s="355"/>
      <c r="J248" s="355"/>
      <c r="K248" s="355"/>
      <c r="L248" s="355"/>
      <c r="M248" s="355"/>
      <c r="N248" s="355"/>
      <c r="O248" s="355"/>
      <c r="P248" s="355"/>
      <c r="Q248" s="355"/>
      <c r="R248" s="355"/>
      <c r="S248" s="355"/>
      <c r="T248" s="355"/>
      <c r="U248" s="355"/>
      <c r="V248" s="355"/>
      <c r="W248" s="355"/>
      <c r="X248" s="355"/>
      <c r="Y248" s="355"/>
      <c r="Z248" s="355"/>
    </row>
    <row r="249" spans="1:26" ht="13.5" customHeight="1" x14ac:dyDescent="0.25">
      <c r="A249" s="382"/>
      <c r="B249" s="355"/>
      <c r="C249" s="450"/>
      <c r="D249" s="450"/>
      <c r="E249" s="355"/>
      <c r="F249" s="355"/>
      <c r="G249" s="355"/>
      <c r="H249" s="355"/>
      <c r="I249" s="355"/>
      <c r="J249" s="355"/>
      <c r="K249" s="355"/>
      <c r="L249" s="355"/>
      <c r="M249" s="355"/>
      <c r="N249" s="355"/>
      <c r="O249" s="355"/>
      <c r="P249" s="355"/>
      <c r="Q249" s="355"/>
      <c r="R249" s="355"/>
      <c r="S249" s="355"/>
      <c r="T249" s="355"/>
      <c r="U249" s="355"/>
      <c r="V249" s="355"/>
      <c r="W249" s="355"/>
      <c r="X249" s="355"/>
      <c r="Y249" s="355"/>
      <c r="Z249" s="355"/>
    </row>
    <row r="250" spans="1:26" ht="13.5" customHeight="1" x14ac:dyDescent="0.25">
      <c r="A250" s="382"/>
      <c r="B250" s="355"/>
      <c r="C250" s="450"/>
      <c r="D250" s="450"/>
      <c r="E250" s="355"/>
      <c r="F250" s="355"/>
      <c r="G250" s="355"/>
      <c r="H250" s="355"/>
      <c r="I250" s="355"/>
      <c r="J250" s="355"/>
      <c r="K250" s="355"/>
      <c r="L250" s="355"/>
      <c r="M250" s="355"/>
      <c r="N250" s="355"/>
      <c r="O250" s="355"/>
      <c r="P250" s="355"/>
      <c r="Q250" s="355"/>
      <c r="R250" s="355"/>
      <c r="S250" s="355"/>
      <c r="T250" s="355"/>
      <c r="U250" s="355"/>
      <c r="V250" s="355"/>
      <c r="W250" s="355"/>
      <c r="X250" s="355"/>
      <c r="Y250" s="355"/>
      <c r="Z250" s="355"/>
    </row>
    <row r="251" spans="1:26" ht="13.5" customHeight="1" x14ac:dyDescent="0.25">
      <c r="A251" s="382"/>
      <c r="B251" s="355"/>
      <c r="C251" s="450"/>
      <c r="D251" s="450"/>
      <c r="E251" s="355"/>
      <c r="F251" s="355"/>
      <c r="G251" s="355"/>
      <c r="H251" s="355"/>
      <c r="I251" s="355"/>
      <c r="J251" s="355"/>
      <c r="K251" s="355"/>
      <c r="L251" s="355"/>
      <c r="M251" s="355"/>
      <c r="N251" s="355"/>
      <c r="O251" s="355"/>
      <c r="P251" s="355"/>
      <c r="Q251" s="355"/>
      <c r="R251" s="355"/>
      <c r="S251" s="355"/>
      <c r="T251" s="355"/>
      <c r="U251" s="355"/>
      <c r="V251" s="355"/>
      <c r="W251" s="355"/>
      <c r="X251" s="355"/>
      <c r="Y251" s="355"/>
      <c r="Z251" s="355"/>
    </row>
    <row r="252" spans="1:26" ht="13.5" customHeight="1" x14ac:dyDescent="0.25">
      <c r="A252" s="382"/>
      <c r="B252" s="355"/>
      <c r="C252" s="450"/>
      <c r="D252" s="450"/>
      <c r="E252" s="355"/>
      <c r="F252" s="355"/>
      <c r="G252" s="355"/>
      <c r="H252" s="355"/>
      <c r="I252" s="355"/>
      <c r="J252" s="355"/>
      <c r="K252" s="355"/>
      <c r="L252" s="355"/>
      <c r="M252" s="355"/>
      <c r="N252" s="355"/>
      <c r="O252" s="355"/>
      <c r="P252" s="355"/>
      <c r="Q252" s="355"/>
      <c r="R252" s="355"/>
      <c r="S252" s="355"/>
      <c r="T252" s="355"/>
      <c r="U252" s="355"/>
      <c r="V252" s="355"/>
      <c r="W252" s="355"/>
      <c r="X252" s="355"/>
      <c r="Y252" s="355"/>
      <c r="Z252" s="355"/>
    </row>
    <row r="253" spans="1:26" ht="13.5" customHeight="1" x14ac:dyDescent="0.25">
      <c r="A253" s="382"/>
      <c r="B253" s="355"/>
      <c r="C253" s="450"/>
      <c r="D253" s="450"/>
      <c r="E253" s="355"/>
      <c r="F253" s="355"/>
      <c r="G253" s="355"/>
      <c r="H253" s="355"/>
      <c r="I253" s="355"/>
      <c r="J253" s="355"/>
      <c r="K253" s="355"/>
      <c r="L253" s="355"/>
      <c r="M253" s="355"/>
      <c r="N253" s="355"/>
      <c r="O253" s="355"/>
      <c r="P253" s="355"/>
      <c r="Q253" s="355"/>
      <c r="R253" s="355"/>
      <c r="S253" s="355"/>
      <c r="T253" s="355"/>
      <c r="U253" s="355"/>
      <c r="V253" s="355"/>
      <c r="W253" s="355"/>
      <c r="X253" s="355"/>
      <c r="Y253" s="355"/>
      <c r="Z253" s="355"/>
    </row>
    <row r="254" spans="1:26" ht="13.5" customHeight="1" x14ac:dyDescent="0.25">
      <c r="A254" s="382"/>
      <c r="B254" s="355"/>
      <c r="C254" s="450"/>
      <c r="D254" s="450"/>
      <c r="E254" s="355"/>
      <c r="F254" s="355"/>
      <c r="G254" s="355"/>
      <c r="H254" s="355"/>
      <c r="I254" s="355"/>
      <c r="J254" s="355"/>
      <c r="K254" s="355"/>
      <c r="L254" s="355"/>
      <c r="M254" s="355"/>
      <c r="N254" s="355"/>
      <c r="O254" s="355"/>
      <c r="P254" s="355"/>
      <c r="Q254" s="355"/>
      <c r="R254" s="355"/>
      <c r="S254" s="355"/>
      <c r="T254" s="355"/>
      <c r="U254" s="355"/>
      <c r="V254" s="355"/>
      <c r="W254" s="355"/>
      <c r="X254" s="355"/>
      <c r="Y254" s="355"/>
      <c r="Z254" s="355"/>
    </row>
    <row r="255" spans="1:26" ht="13.5" customHeight="1" x14ac:dyDescent="0.25">
      <c r="A255" s="382"/>
      <c r="B255" s="355"/>
      <c r="C255" s="450"/>
      <c r="D255" s="450"/>
      <c r="E255" s="355"/>
      <c r="F255" s="355"/>
      <c r="G255" s="355"/>
      <c r="H255" s="355"/>
      <c r="I255" s="355"/>
      <c r="J255" s="355"/>
      <c r="K255" s="355"/>
      <c r="L255" s="355"/>
      <c r="M255" s="355"/>
      <c r="N255" s="355"/>
      <c r="O255" s="355"/>
      <c r="P255" s="355"/>
      <c r="Q255" s="355"/>
      <c r="R255" s="355"/>
      <c r="S255" s="355"/>
      <c r="T255" s="355"/>
      <c r="U255" s="355"/>
      <c r="V255" s="355"/>
      <c r="W255" s="355"/>
      <c r="X255" s="355"/>
      <c r="Y255" s="355"/>
      <c r="Z255" s="355"/>
    </row>
    <row r="256" spans="1:26" ht="13.5" customHeight="1" x14ac:dyDescent="0.25">
      <c r="A256" s="382"/>
      <c r="B256" s="355"/>
      <c r="C256" s="450"/>
      <c r="D256" s="450"/>
      <c r="E256" s="355"/>
      <c r="F256" s="355"/>
      <c r="G256" s="355"/>
      <c r="H256" s="355"/>
      <c r="I256" s="355"/>
      <c r="J256" s="355"/>
      <c r="K256" s="355"/>
      <c r="L256" s="355"/>
      <c r="M256" s="355"/>
      <c r="N256" s="355"/>
      <c r="O256" s="355"/>
      <c r="P256" s="355"/>
      <c r="Q256" s="355"/>
      <c r="R256" s="355"/>
      <c r="S256" s="355"/>
      <c r="T256" s="355"/>
      <c r="U256" s="355"/>
      <c r="V256" s="355"/>
      <c r="W256" s="355"/>
      <c r="X256" s="355"/>
      <c r="Y256" s="355"/>
      <c r="Z256" s="355"/>
    </row>
    <row r="257" spans="1:26" ht="13.5" customHeight="1" x14ac:dyDescent="0.25">
      <c r="A257" s="382"/>
      <c r="B257" s="355"/>
      <c r="C257" s="450"/>
      <c r="D257" s="450"/>
      <c r="E257" s="355"/>
      <c r="F257" s="355"/>
      <c r="G257" s="355"/>
      <c r="H257" s="355"/>
      <c r="I257" s="355"/>
      <c r="J257" s="355"/>
      <c r="K257" s="355"/>
      <c r="L257" s="355"/>
      <c r="M257" s="355"/>
      <c r="N257" s="355"/>
      <c r="O257" s="355"/>
      <c r="P257" s="355"/>
      <c r="Q257" s="355"/>
      <c r="R257" s="355"/>
      <c r="S257" s="355"/>
      <c r="T257" s="355"/>
      <c r="U257" s="355"/>
      <c r="V257" s="355"/>
      <c r="W257" s="355"/>
      <c r="X257" s="355"/>
      <c r="Y257" s="355"/>
      <c r="Z257" s="355"/>
    </row>
    <row r="258" spans="1:26" ht="13.5" customHeight="1" x14ac:dyDescent="0.25">
      <c r="A258" s="382"/>
      <c r="B258" s="355"/>
      <c r="C258" s="450"/>
      <c r="D258" s="450"/>
      <c r="E258" s="355"/>
      <c r="F258" s="355"/>
      <c r="G258" s="355"/>
      <c r="H258" s="355"/>
      <c r="I258" s="355"/>
      <c r="J258" s="355"/>
      <c r="K258" s="355"/>
      <c r="L258" s="355"/>
      <c r="M258" s="355"/>
      <c r="N258" s="355"/>
      <c r="O258" s="355"/>
      <c r="P258" s="355"/>
      <c r="Q258" s="355"/>
      <c r="R258" s="355"/>
      <c r="S258" s="355"/>
      <c r="T258" s="355"/>
      <c r="U258" s="355"/>
      <c r="V258" s="355"/>
      <c r="W258" s="355"/>
      <c r="X258" s="355"/>
      <c r="Y258" s="355"/>
      <c r="Z258" s="355"/>
    </row>
    <row r="259" spans="1:26" ht="13.5" customHeight="1" x14ac:dyDescent="0.25">
      <c r="A259" s="382"/>
      <c r="B259" s="355"/>
      <c r="C259" s="450"/>
      <c r="D259" s="450"/>
      <c r="E259" s="355"/>
      <c r="F259" s="355"/>
      <c r="G259" s="355"/>
      <c r="H259" s="355"/>
      <c r="I259" s="355"/>
      <c r="J259" s="355"/>
      <c r="K259" s="355"/>
      <c r="L259" s="355"/>
      <c r="M259" s="355"/>
      <c r="N259" s="355"/>
      <c r="O259" s="355"/>
      <c r="P259" s="355"/>
      <c r="Q259" s="355"/>
      <c r="R259" s="355"/>
      <c r="S259" s="355"/>
      <c r="T259" s="355"/>
      <c r="U259" s="355"/>
      <c r="V259" s="355"/>
      <c r="W259" s="355"/>
      <c r="X259" s="355"/>
      <c r="Y259" s="355"/>
      <c r="Z259" s="355"/>
    </row>
    <row r="260" spans="1:26" ht="13.5" customHeight="1" x14ac:dyDescent="0.25">
      <c r="A260" s="382"/>
      <c r="B260" s="355"/>
      <c r="C260" s="450"/>
      <c r="D260" s="450"/>
      <c r="E260" s="355"/>
      <c r="F260" s="355"/>
      <c r="G260" s="355"/>
      <c r="H260" s="355"/>
      <c r="I260" s="355"/>
      <c r="J260" s="355"/>
      <c r="K260" s="355"/>
      <c r="L260" s="355"/>
      <c r="M260" s="355"/>
      <c r="N260" s="355"/>
      <c r="O260" s="355"/>
      <c r="P260" s="355"/>
      <c r="Q260" s="355"/>
      <c r="R260" s="355"/>
      <c r="S260" s="355"/>
      <c r="T260" s="355"/>
      <c r="U260" s="355"/>
      <c r="V260" s="355"/>
      <c r="W260" s="355"/>
      <c r="X260" s="355"/>
      <c r="Y260" s="355"/>
      <c r="Z260" s="355"/>
    </row>
    <row r="261" spans="1:26" ht="13.5" customHeight="1" x14ac:dyDescent="0.25">
      <c r="A261" s="382"/>
      <c r="B261" s="355"/>
      <c r="C261" s="450"/>
      <c r="D261" s="450"/>
      <c r="E261" s="355"/>
      <c r="F261" s="355"/>
      <c r="G261" s="355"/>
      <c r="H261" s="355"/>
      <c r="I261" s="355"/>
      <c r="J261" s="355"/>
      <c r="K261" s="355"/>
      <c r="L261" s="355"/>
      <c r="M261" s="355"/>
      <c r="N261" s="355"/>
      <c r="O261" s="355"/>
      <c r="P261" s="355"/>
      <c r="Q261" s="355"/>
      <c r="R261" s="355"/>
      <c r="S261" s="355"/>
      <c r="T261" s="355"/>
      <c r="U261" s="355"/>
      <c r="V261" s="355"/>
      <c r="W261" s="355"/>
      <c r="X261" s="355"/>
      <c r="Y261" s="355"/>
      <c r="Z261" s="355"/>
    </row>
    <row r="262" spans="1:26" ht="13.5" customHeight="1" x14ac:dyDescent="0.25">
      <c r="A262" s="382"/>
      <c r="B262" s="355"/>
      <c r="C262" s="450"/>
      <c r="D262" s="450"/>
      <c r="E262" s="355"/>
      <c r="F262" s="355"/>
      <c r="G262" s="355"/>
      <c r="H262" s="355"/>
      <c r="I262" s="355"/>
      <c r="J262" s="355"/>
      <c r="K262" s="355"/>
      <c r="L262" s="355"/>
      <c r="M262" s="355"/>
      <c r="N262" s="355"/>
      <c r="O262" s="355"/>
      <c r="P262" s="355"/>
      <c r="Q262" s="355"/>
      <c r="R262" s="355"/>
      <c r="S262" s="355"/>
      <c r="T262" s="355"/>
      <c r="U262" s="355"/>
      <c r="V262" s="355"/>
      <c r="W262" s="355"/>
      <c r="X262" s="355"/>
      <c r="Y262" s="355"/>
      <c r="Z262" s="355"/>
    </row>
    <row r="263" spans="1:26" ht="13.5" customHeight="1" x14ac:dyDescent="0.25">
      <c r="A263" s="382"/>
      <c r="B263" s="355"/>
      <c r="C263" s="450"/>
      <c r="D263" s="450"/>
      <c r="E263" s="355"/>
      <c r="F263" s="355"/>
      <c r="G263" s="355"/>
      <c r="H263" s="355"/>
      <c r="I263" s="355"/>
      <c r="J263" s="355"/>
      <c r="K263" s="355"/>
      <c r="L263" s="355"/>
      <c r="M263" s="355"/>
      <c r="N263" s="355"/>
      <c r="O263" s="355"/>
      <c r="P263" s="355"/>
      <c r="Q263" s="355"/>
      <c r="R263" s="355"/>
      <c r="S263" s="355"/>
      <c r="T263" s="355"/>
      <c r="U263" s="355"/>
      <c r="V263" s="355"/>
      <c r="W263" s="355"/>
      <c r="X263" s="355"/>
      <c r="Y263" s="355"/>
      <c r="Z263" s="355"/>
    </row>
    <row r="264" spans="1:26" ht="13.5" customHeight="1" x14ac:dyDescent="0.25">
      <c r="A264" s="382"/>
      <c r="B264" s="355"/>
      <c r="C264" s="450"/>
      <c r="D264" s="450"/>
      <c r="E264" s="355"/>
      <c r="F264" s="355"/>
      <c r="G264" s="355"/>
      <c r="H264" s="355"/>
      <c r="I264" s="355"/>
      <c r="J264" s="355"/>
      <c r="K264" s="355"/>
      <c r="L264" s="355"/>
      <c r="M264" s="355"/>
      <c r="N264" s="355"/>
      <c r="O264" s="355"/>
      <c r="P264" s="355"/>
      <c r="Q264" s="355"/>
      <c r="R264" s="355"/>
      <c r="S264" s="355"/>
      <c r="T264" s="355"/>
      <c r="U264" s="355"/>
      <c r="V264" s="355"/>
      <c r="W264" s="355"/>
      <c r="X264" s="355"/>
      <c r="Y264" s="355"/>
      <c r="Z264" s="355"/>
    </row>
    <row r="265" spans="1:26" ht="13.5" customHeight="1" x14ac:dyDescent="0.25">
      <c r="A265" s="382"/>
      <c r="B265" s="355"/>
      <c r="C265" s="450"/>
      <c r="D265" s="450"/>
      <c r="E265" s="355"/>
      <c r="F265" s="355"/>
      <c r="G265" s="355"/>
      <c r="H265" s="355"/>
      <c r="I265" s="355"/>
      <c r="J265" s="355"/>
      <c r="K265" s="355"/>
      <c r="L265" s="355"/>
      <c r="M265" s="355"/>
      <c r="N265" s="355"/>
      <c r="O265" s="355"/>
      <c r="P265" s="355"/>
      <c r="Q265" s="355"/>
      <c r="R265" s="355"/>
      <c r="S265" s="355"/>
      <c r="T265" s="355"/>
      <c r="U265" s="355"/>
      <c r="V265" s="355"/>
      <c r="W265" s="355"/>
      <c r="X265" s="355"/>
      <c r="Y265" s="355"/>
      <c r="Z265" s="355"/>
    </row>
    <row r="266" spans="1:26" ht="13.5" customHeight="1" x14ac:dyDescent="0.25">
      <c r="A266" s="382"/>
      <c r="B266" s="355"/>
      <c r="C266" s="450"/>
      <c r="D266" s="450"/>
      <c r="E266" s="355"/>
      <c r="F266" s="355"/>
      <c r="G266" s="355"/>
      <c r="H266" s="355"/>
      <c r="I266" s="355"/>
      <c r="J266" s="355"/>
      <c r="K266" s="355"/>
      <c r="L266" s="355"/>
      <c r="M266" s="355"/>
      <c r="N266" s="355"/>
      <c r="O266" s="355"/>
      <c r="P266" s="355"/>
      <c r="Q266" s="355"/>
      <c r="R266" s="355"/>
      <c r="S266" s="355"/>
      <c r="T266" s="355"/>
      <c r="U266" s="355"/>
      <c r="V266" s="355"/>
      <c r="W266" s="355"/>
      <c r="X266" s="355"/>
      <c r="Y266" s="355"/>
      <c r="Z266" s="355"/>
    </row>
    <row r="267" spans="1:26" ht="13.5" customHeight="1" x14ac:dyDescent="0.25">
      <c r="A267" s="382"/>
      <c r="B267" s="355"/>
      <c r="C267" s="450"/>
      <c r="D267" s="450"/>
      <c r="E267" s="355"/>
      <c r="F267" s="355"/>
      <c r="G267" s="355"/>
      <c r="H267" s="355"/>
      <c r="I267" s="355"/>
      <c r="J267" s="355"/>
      <c r="K267" s="355"/>
      <c r="L267" s="355"/>
      <c r="M267" s="355"/>
      <c r="N267" s="355"/>
      <c r="O267" s="355"/>
      <c r="P267" s="355"/>
      <c r="Q267" s="355"/>
      <c r="R267" s="355"/>
      <c r="S267" s="355"/>
      <c r="T267" s="355"/>
      <c r="U267" s="355"/>
      <c r="V267" s="355"/>
      <c r="W267" s="355"/>
      <c r="X267" s="355"/>
      <c r="Y267" s="355"/>
      <c r="Z267" s="355"/>
    </row>
    <row r="268" spans="1:26" ht="13.5" customHeight="1" x14ac:dyDescent="0.25">
      <c r="A268" s="382"/>
      <c r="B268" s="355"/>
      <c r="C268" s="450"/>
      <c r="D268" s="450"/>
      <c r="E268" s="355"/>
      <c r="F268" s="355"/>
      <c r="G268" s="355"/>
      <c r="H268" s="355"/>
      <c r="I268" s="355"/>
      <c r="J268" s="355"/>
      <c r="K268" s="355"/>
      <c r="L268" s="355"/>
      <c r="M268" s="355"/>
      <c r="N268" s="355"/>
      <c r="O268" s="355"/>
      <c r="P268" s="355"/>
      <c r="Q268" s="355"/>
      <c r="R268" s="355"/>
      <c r="S268" s="355"/>
      <c r="T268" s="355"/>
      <c r="U268" s="355"/>
      <c r="V268" s="355"/>
      <c r="W268" s="355"/>
      <c r="X268" s="355"/>
      <c r="Y268" s="355"/>
      <c r="Z268" s="355"/>
    </row>
    <row r="269" spans="1:26" ht="13.5" customHeight="1" x14ac:dyDescent="0.25">
      <c r="A269" s="382"/>
      <c r="B269" s="355"/>
      <c r="C269" s="450"/>
      <c r="D269" s="450"/>
      <c r="E269" s="355"/>
      <c r="F269" s="355"/>
      <c r="G269" s="355"/>
      <c r="H269" s="355"/>
      <c r="I269" s="355"/>
      <c r="J269" s="355"/>
      <c r="K269" s="355"/>
      <c r="L269" s="355"/>
      <c r="M269" s="355"/>
      <c r="N269" s="355"/>
      <c r="O269" s="355"/>
      <c r="P269" s="355"/>
      <c r="Q269" s="355"/>
      <c r="R269" s="355"/>
      <c r="S269" s="355"/>
      <c r="T269" s="355"/>
      <c r="U269" s="355"/>
      <c r="V269" s="355"/>
      <c r="W269" s="355"/>
      <c r="X269" s="355"/>
      <c r="Y269" s="355"/>
      <c r="Z269" s="355"/>
    </row>
    <row r="270" spans="1:26" ht="13.5" customHeight="1" x14ac:dyDescent="0.25">
      <c r="A270" s="382"/>
      <c r="B270" s="355"/>
      <c r="C270" s="450"/>
      <c r="D270" s="450"/>
      <c r="E270" s="355"/>
      <c r="F270" s="355"/>
      <c r="G270" s="355"/>
      <c r="H270" s="355"/>
      <c r="I270" s="355"/>
      <c r="J270" s="355"/>
      <c r="K270" s="355"/>
      <c r="L270" s="355"/>
      <c r="M270" s="355"/>
      <c r="N270" s="355"/>
      <c r="O270" s="355"/>
      <c r="P270" s="355"/>
      <c r="Q270" s="355"/>
      <c r="R270" s="355"/>
      <c r="S270" s="355"/>
      <c r="T270" s="355"/>
      <c r="U270" s="355"/>
      <c r="V270" s="355"/>
      <c r="W270" s="355"/>
      <c r="X270" s="355"/>
      <c r="Y270" s="355"/>
      <c r="Z270" s="355"/>
    </row>
    <row r="271" spans="1:26" ht="13.5" customHeight="1" x14ac:dyDescent="0.25">
      <c r="A271" s="382"/>
      <c r="B271" s="355"/>
      <c r="C271" s="450"/>
      <c r="D271" s="450"/>
      <c r="E271" s="355"/>
      <c r="F271" s="355"/>
      <c r="G271" s="355"/>
      <c r="H271" s="355"/>
      <c r="I271" s="355"/>
      <c r="J271" s="355"/>
      <c r="K271" s="355"/>
      <c r="L271" s="355"/>
      <c r="M271" s="355"/>
      <c r="N271" s="355"/>
      <c r="O271" s="355"/>
      <c r="P271" s="355"/>
      <c r="Q271" s="355"/>
      <c r="R271" s="355"/>
      <c r="S271" s="355"/>
      <c r="T271" s="355"/>
      <c r="U271" s="355"/>
      <c r="V271" s="355"/>
      <c r="W271" s="355"/>
      <c r="X271" s="355"/>
      <c r="Y271" s="355"/>
      <c r="Z271" s="355"/>
    </row>
    <row r="272" spans="1:26" ht="13.5" customHeight="1" x14ac:dyDescent="0.25">
      <c r="A272" s="382"/>
      <c r="B272" s="355"/>
      <c r="C272" s="450"/>
      <c r="D272" s="450"/>
      <c r="E272" s="355"/>
      <c r="F272" s="355"/>
      <c r="G272" s="355"/>
      <c r="H272" s="355"/>
      <c r="I272" s="355"/>
      <c r="J272" s="355"/>
      <c r="K272" s="355"/>
      <c r="L272" s="355"/>
      <c r="M272" s="355"/>
      <c r="N272" s="355"/>
      <c r="O272" s="355"/>
      <c r="P272" s="355"/>
      <c r="Q272" s="355"/>
      <c r="R272" s="355"/>
      <c r="S272" s="355"/>
      <c r="T272" s="355"/>
      <c r="U272" s="355"/>
      <c r="V272" s="355"/>
      <c r="W272" s="355"/>
      <c r="X272" s="355"/>
      <c r="Y272" s="355"/>
      <c r="Z272" s="355"/>
    </row>
    <row r="273" spans="1:26" ht="13.5" customHeight="1" x14ac:dyDescent="0.25">
      <c r="A273" s="382"/>
      <c r="B273" s="355"/>
      <c r="C273" s="450"/>
      <c r="D273" s="450"/>
      <c r="E273" s="355"/>
      <c r="F273" s="355"/>
      <c r="G273" s="355"/>
      <c r="H273" s="355"/>
      <c r="I273" s="355"/>
      <c r="J273" s="355"/>
      <c r="K273" s="355"/>
      <c r="L273" s="355"/>
      <c r="M273" s="355"/>
      <c r="N273" s="355"/>
      <c r="O273" s="355"/>
      <c r="P273" s="355"/>
      <c r="Q273" s="355"/>
      <c r="R273" s="355"/>
      <c r="S273" s="355"/>
      <c r="T273" s="355"/>
      <c r="U273" s="355"/>
      <c r="V273" s="355"/>
      <c r="W273" s="355"/>
      <c r="X273" s="355"/>
      <c r="Y273" s="355"/>
      <c r="Z273" s="355"/>
    </row>
    <row r="274" spans="1:26" ht="13.5" customHeight="1" x14ac:dyDescent="0.25">
      <c r="A274" s="382"/>
      <c r="B274" s="355"/>
      <c r="C274" s="450"/>
      <c r="D274" s="450"/>
      <c r="E274" s="355"/>
      <c r="F274" s="355"/>
      <c r="G274" s="355"/>
      <c r="H274" s="355"/>
      <c r="I274" s="355"/>
      <c r="J274" s="355"/>
      <c r="K274" s="355"/>
      <c r="L274" s="355"/>
      <c r="M274" s="355"/>
      <c r="N274" s="355"/>
      <c r="O274" s="355"/>
      <c r="P274" s="355"/>
      <c r="Q274" s="355"/>
      <c r="R274" s="355"/>
      <c r="S274" s="355"/>
      <c r="T274" s="355"/>
      <c r="U274" s="355"/>
      <c r="V274" s="355"/>
      <c r="W274" s="355"/>
      <c r="X274" s="355"/>
      <c r="Y274" s="355"/>
      <c r="Z274" s="355"/>
    </row>
    <row r="275" spans="1:26" ht="13.5" customHeight="1" x14ac:dyDescent="0.25">
      <c r="A275" s="382"/>
      <c r="B275" s="355"/>
      <c r="C275" s="450"/>
      <c r="D275" s="450"/>
      <c r="E275" s="355"/>
      <c r="F275" s="355"/>
      <c r="G275" s="355"/>
      <c r="H275" s="355"/>
      <c r="I275" s="355"/>
      <c r="J275" s="355"/>
      <c r="K275" s="355"/>
      <c r="L275" s="355"/>
      <c r="M275" s="355"/>
      <c r="N275" s="355"/>
      <c r="O275" s="355"/>
      <c r="P275" s="355"/>
      <c r="Q275" s="355"/>
      <c r="R275" s="355"/>
      <c r="S275" s="355"/>
      <c r="T275" s="355"/>
      <c r="U275" s="355"/>
      <c r="V275" s="355"/>
      <c r="W275" s="355"/>
      <c r="X275" s="355"/>
      <c r="Y275" s="355"/>
      <c r="Z275" s="355"/>
    </row>
    <row r="276" spans="1:26" ht="13.5" customHeight="1" x14ac:dyDescent="0.25">
      <c r="A276" s="382"/>
      <c r="B276" s="355"/>
      <c r="C276" s="450"/>
      <c r="D276" s="450"/>
      <c r="E276" s="355"/>
      <c r="F276" s="355"/>
      <c r="G276" s="355"/>
      <c r="H276" s="355"/>
      <c r="I276" s="355"/>
      <c r="J276" s="355"/>
      <c r="K276" s="355"/>
      <c r="L276" s="355"/>
      <c r="M276" s="355"/>
      <c r="N276" s="355"/>
      <c r="O276" s="355"/>
      <c r="P276" s="355"/>
      <c r="Q276" s="355"/>
      <c r="R276" s="355"/>
      <c r="S276" s="355"/>
      <c r="T276" s="355"/>
      <c r="U276" s="355"/>
      <c r="V276" s="355"/>
      <c r="W276" s="355"/>
      <c r="X276" s="355"/>
      <c r="Y276" s="355"/>
      <c r="Z276" s="355"/>
    </row>
    <row r="277" spans="1:26" ht="13.5" customHeight="1" x14ac:dyDescent="0.25">
      <c r="A277" s="382"/>
      <c r="B277" s="355"/>
      <c r="C277" s="450"/>
      <c r="D277" s="450"/>
      <c r="E277" s="355"/>
      <c r="F277" s="355"/>
      <c r="G277" s="355"/>
      <c r="H277" s="355"/>
      <c r="I277" s="355"/>
      <c r="J277" s="355"/>
      <c r="K277" s="355"/>
      <c r="L277" s="355"/>
      <c r="M277" s="355"/>
      <c r="N277" s="355"/>
      <c r="O277" s="355"/>
      <c r="P277" s="355"/>
      <c r="Q277" s="355"/>
      <c r="R277" s="355"/>
      <c r="S277" s="355"/>
      <c r="T277" s="355"/>
      <c r="U277" s="355"/>
      <c r="V277" s="355"/>
      <c r="W277" s="355"/>
      <c r="X277" s="355"/>
      <c r="Y277" s="355"/>
      <c r="Z277" s="355"/>
    </row>
    <row r="278" spans="1:26" ht="13.5" customHeight="1" x14ac:dyDescent="0.25">
      <c r="A278" s="382"/>
      <c r="B278" s="355"/>
      <c r="C278" s="450"/>
      <c r="D278" s="450"/>
      <c r="E278" s="355"/>
      <c r="F278" s="355"/>
      <c r="G278" s="355"/>
      <c r="H278" s="355"/>
      <c r="I278" s="355"/>
      <c r="J278" s="355"/>
      <c r="K278" s="355"/>
      <c r="L278" s="355"/>
      <c r="M278" s="355"/>
      <c r="N278" s="355"/>
      <c r="O278" s="355"/>
      <c r="P278" s="355"/>
      <c r="Q278" s="355"/>
      <c r="R278" s="355"/>
      <c r="S278" s="355"/>
      <c r="T278" s="355"/>
      <c r="U278" s="355"/>
      <c r="V278" s="355"/>
      <c r="W278" s="355"/>
      <c r="X278" s="355"/>
      <c r="Y278" s="355"/>
      <c r="Z278" s="355"/>
    </row>
    <row r="279" spans="1:26" ht="13.5" customHeight="1" x14ac:dyDescent="0.25">
      <c r="A279" s="382"/>
      <c r="B279" s="355"/>
      <c r="C279" s="450"/>
      <c r="D279" s="450"/>
      <c r="E279" s="355"/>
      <c r="F279" s="355"/>
      <c r="G279" s="355"/>
      <c r="H279" s="355"/>
      <c r="I279" s="355"/>
      <c r="J279" s="355"/>
      <c r="K279" s="355"/>
      <c r="L279" s="355"/>
      <c r="M279" s="355"/>
      <c r="N279" s="355"/>
      <c r="O279" s="355"/>
      <c r="P279" s="355"/>
      <c r="Q279" s="355"/>
      <c r="R279" s="355"/>
      <c r="S279" s="355"/>
      <c r="T279" s="355"/>
      <c r="U279" s="355"/>
      <c r="V279" s="355"/>
      <c r="W279" s="355"/>
      <c r="X279" s="355"/>
      <c r="Y279" s="355"/>
      <c r="Z279" s="355"/>
    </row>
    <row r="280" spans="1:26" ht="13.5" customHeight="1" x14ac:dyDescent="0.25">
      <c r="A280" s="382"/>
      <c r="B280" s="355"/>
      <c r="C280" s="450"/>
      <c r="D280" s="450"/>
      <c r="E280" s="355"/>
      <c r="F280" s="355"/>
      <c r="G280" s="355"/>
      <c r="H280" s="355"/>
      <c r="I280" s="355"/>
      <c r="J280" s="355"/>
      <c r="K280" s="355"/>
      <c r="L280" s="355"/>
      <c r="M280" s="355"/>
      <c r="N280" s="355"/>
      <c r="O280" s="355"/>
      <c r="P280" s="355"/>
      <c r="Q280" s="355"/>
      <c r="R280" s="355"/>
      <c r="S280" s="355"/>
      <c r="T280" s="355"/>
      <c r="U280" s="355"/>
      <c r="V280" s="355"/>
      <c r="W280" s="355"/>
      <c r="X280" s="355"/>
      <c r="Y280" s="355"/>
      <c r="Z280" s="355"/>
    </row>
    <row r="281" spans="1:26" ht="13.5" customHeight="1" x14ac:dyDescent="0.25">
      <c r="A281" s="382"/>
      <c r="B281" s="355"/>
      <c r="C281" s="450"/>
      <c r="D281" s="450"/>
      <c r="E281" s="355"/>
      <c r="F281" s="355"/>
      <c r="G281" s="355"/>
      <c r="H281" s="355"/>
      <c r="I281" s="355"/>
      <c r="J281" s="355"/>
      <c r="K281" s="355"/>
      <c r="L281" s="355"/>
      <c r="M281" s="355"/>
      <c r="N281" s="355"/>
      <c r="O281" s="355"/>
      <c r="P281" s="355"/>
      <c r="Q281" s="355"/>
      <c r="R281" s="355"/>
      <c r="S281" s="355"/>
      <c r="T281" s="355"/>
      <c r="U281" s="355"/>
      <c r="V281" s="355"/>
      <c r="W281" s="355"/>
      <c r="X281" s="355"/>
      <c r="Y281" s="355"/>
      <c r="Z281" s="355"/>
    </row>
    <row r="282" spans="1:26" ht="13.5" customHeight="1" x14ac:dyDescent="0.25">
      <c r="A282" s="382"/>
      <c r="B282" s="355"/>
      <c r="C282" s="450"/>
      <c r="D282" s="450"/>
      <c r="E282" s="355"/>
      <c r="F282" s="355"/>
      <c r="G282" s="355"/>
      <c r="H282" s="355"/>
      <c r="I282" s="355"/>
      <c r="J282" s="355"/>
      <c r="K282" s="355"/>
      <c r="L282" s="355"/>
      <c r="M282" s="355"/>
      <c r="N282" s="355"/>
      <c r="O282" s="355"/>
      <c r="P282" s="355"/>
      <c r="Q282" s="355"/>
      <c r="R282" s="355"/>
      <c r="S282" s="355"/>
      <c r="T282" s="355"/>
      <c r="U282" s="355"/>
      <c r="V282" s="355"/>
      <c r="W282" s="355"/>
      <c r="X282" s="355"/>
      <c r="Y282" s="355"/>
      <c r="Z282" s="355"/>
    </row>
    <row r="283" spans="1:26" ht="13.5" customHeight="1" x14ac:dyDescent="0.25">
      <c r="A283" s="382"/>
      <c r="B283" s="355"/>
      <c r="C283" s="450"/>
      <c r="D283" s="450"/>
      <c r="E283" s="355"/>
      <c r="F283" s="355"/>
      <c r="G283" s="355"/>
      <c r="H283" s="355"/>
      <c r="I283" s="355"/>
      <c r="J283" s="355"/>
      <c r="K283" s="355"/>
      <c r="L283" s="355"/>
      <c r="M283" s="355"/>
      <c r="N283" s="355"/>
      <c r="O283" s="355"/>
      <c r="P283" s="355"/>
      <c r="Q283" s="355"/>
      <c r="R283" s="355"/>
      <c r="S283" s="355"/>
      <c r="T283" s="355"/>
      <c r="U283" s="355"/>
      <c r="V283" s="355"/>
      <c r="W283" s="355"/>
      <c r="X283" s="355"/>
      <c r="Y283" s="355"/>
      <c r="Z283" s="355"/>
    </row>
    <row r="284" spans="1:26" ht="13.5" customHeight="1" x14ac:dyDescent="0.25">
      <c r="A284" s="382"/>
      <c r="B284" s="355"/>
      <c r="C284" s="450"/>
      <c r="D284" s="450"/>
      <c r="E284" s="355"/>
      <c r="F284" s="355"/>
      <c r="G284" s="355"/>
      <c r="H284" s="355"/>
      <c r="I284" s="355"/>
      <c r="J284" s="355"/>
      <c r="K284" s="355"/>
      <c r="L284" s="355"/>
      <c r="M284" s="355"/>
      <c r="N284" s="355"/>
      <c r="O284" s="355"/>
      <c r="P284" s="355"/>
      <c r="Q284" s="355"/>
      <c r="R284" s="355"/>
      <c r="S284" s="355"/>
      <c r="T284" s="355"/>
      <c r="U284" s="355"/>
      <c r="V284" s="355"/>
      <c r="W284" s="355"/>
      <c r="X284" s="355"/>
      <c r="Y284" s="355"/>
      <c r="Z284" s="355"/>
    </row>
    <row r="285" spans="1:26" ht="13.5" customHeight="1" x14ac:dyDescent="0.25">
      <c r="A285" s="382"/>
      <c r="B285" s="355"/>
      <c r="C285" s="450"/>
      <c r="D285" s="450"/>
      <c r="E285" s="355"/>
      <c r="F285" s="355"/>
      <c r="G285" s="355"/>
      <c r="H285" s="355"/>
      <c r="I285" s="355"/>
      <c r="J285" s="355"/>
      <c r="K285" s="355"/>
      <c r="L285" s="355"/>
      <c r="M285" s="355"/>
      <c r="N285" s="355"/>
      <c r="O285" s="355"/>
      <c r="P285" s="355"/>
      <c r="Q285" s="355"/>
      <c r="R285" s="355"/>
      <c r="S285" s="355"/>
      <c r="T285" s="355"/>
      <c r="U285" s="355"/>
      <c r="V285" s="355"/>
      <c r="W285" s="355"/>
      <c r="X285" s="355"/>
      <c r="Y285" s="355"/>
      <c r="Z285" s="355"/>
    </row>
    <row r="286" spans="1:26" ht="13.5" customHeight="1" x14ac:dyDescent="0.25">
      <c r="A286" s="382"/>
      <c r="B286" s="355"/>
      <c r="C286" s="450"/>
      <c r="D286" s="450"/>
      <c r="E286" s="355"/>
      <c r="F286" s="355"/>
      <c r="G286" s="355"/>
      <c r="H286" s="355"/>
      <c r="I286" s="355"/>
      <c r="J286" s="355"/>
      <c r="K286" s="355"/>
      <c r="L286" s="355"/>
      <c r="M286" s="355"/>
      <c r="N286" s="355"/>
      <c r="O286" s="355"/>
      <c r="P286" s="355"/>
      <c r="Q286" s="355"/>
      <c r="R286" s="355"/>
      <c r="S286" s="355"/>
      <c r="T286" s="355"/>
      <c r="U286" s="355"/>
      <c r="V286" s="355"/>
      <c r="W286" s="355"/>
      <c r="X286" s="355"/>
      <c r="Y286" s="355"/>
      <c r="Z286" s="355"/>
    </row>
    <row r="287" spans="1:26" ht="13.5" customHeight="1" x14ac:dyDescent="0.25">
      <c r="A287" s="382"/>
      <c r="B287" s="355"/>
      <c r="C287" s="450"/>
      <c r="D287" s="450"/>
      <c r="E287" s="355"/>
      <c r="F287" s="355"/>
      <c r="G287" s="355"/>
      <c r="H287" s="355"/>
      <c r="I287" s="355"/>
      <c r="J287" s="355"/>
      <c r="K287" s="355"/>
      <c r="L287" s="355"/>
      <c r="M287" s="355"/>
      <c r="N287" s="355"/>
      <c r="O287" s="355"/>
      <c r="P287" s="355"/>
      <c r="Q287" s="355"/>
      <c r="R287" s="355"/>
      <c r="S287" s="355"/>
      <c r="T287" s="355"/>
      <c r="U287" s="355"/>
      <c r="V287" s="355"/>
      <c r="W287" s="355"/>
      <c r="X287" s="355"/>
      <c r="Y287" s="355"/>
      <c r="Z287" s="355"/>
    </row>
    <row r="288" spans="1:26" ht="13.5" customHeight="1" x14ac:dyDescent="0.25">
      <c r="A288" s="382"/>
      <c r="B288" s="355"/>
      <c r="C288" s="450"/>
      <c r="D288" s="450"/>
      <c r="E288" s="355"/>
      <c r="F288" s="355"/>
      <c r="G288" s="355"/>
      <c r="H288" s="355"/>
      <c r="I288" s="355"/>
      <c r="J288" s="355"/>
      <c r="K288" s="355"/>
      <c r="L288" s="355"/>
      <c r="M288" s="355"/>
      <c r="N288" s="355"/>
      <c r="O288" s="355"/>
      <c r="P288" s="355"/>
      <c r="Q288" s="355"/>
      <c r="R288" s="355"/>
      <c r="S288" s="355"/>
      <c r="T288" s="355"/>
      <c r="U288" s="355"/>
      <c r="V288" s="355"/>
      <c r="W288" s="355"/>
      <c r="X288" s="355"/>
      <c r="Y288" s="355"/>
      <c r="Z288" s="355"/>
    </row>
    <row r="289" spans="1:26" ht="13.5" customHeight="1" x14ac:dyDescent="0.25">
      <c r="A289" s="382"/>
      <c r="B289" s="355"/>
      <c r="C289" s="450"/>
      <c r="D289" s="450"/>
      <c r="E289" s="355"/>
      <c r="F289" s="355"/>
      <c r="G289" s="355"/>
      <c r="H289" s="355"/>
      <c r="I289" s="355"/>
      <c r="J289" s="355"/>
      <c r="K289" s="355"/>
      <c r="L289" s="355"/>
      <c r="M289" s="355"/>
      <c r="N289" s="355"/>
      <c r="O289" s="355"/>
      <c r="P289" s="355"/>
      <c r="Q289" s="355"/>
      <c r="R289" s="355"/>
      <c r="S289" s="355"/>
      <c r="T289" s="355"/>
      <c r="U289" s="355"/>
      <c r="V289" s="355"/>
      <c r="W289" s="355"/>
      <c r="X289" s="355"/>
      <c r="Y289" s="355"/>
      <c r="Z289" s="355"/>
    </row>
    <row r="290" spans="1:26" ht="13.5" customHeight="1" x14ac:dyDescent="0.25">
      <c r="A290" s="382"/>
      <c r="B290" s="355"/>
      <c r="C290" s="450"/>
      <c r="D290" s="450"/>
      <c r="E290" s="355"/>
      <c r="F290" s="355"/>
      <c r="G290" s="355"/>
      <c r="H290" s="355"/>
      <c r="I290" s="355"/>
      <c r="J290" s="355"/>
      <c r="K290" s="355"/>
      <c r="L290" s="355"/>
      <c r="M290" s="355"/>
      <c r="N290" s="355"/>
      <c r="O290" s="355"/>
      <c r="P290" s="355"/>
      <c r="Q290" s="355"/>
      <c r="R290" s="355"/>
      <c r="S290" s="355"/>
      <c r="T290" s="355"/>
      <c r="U290" s="355"/>
      <c r="V290" s="355"/>
      <c r="W290" s="355"/>
      <c r="X290" s="355"/>
      <c r="Y290" s="355"/>
      <c r="Z290" s="355"/>
    </row>
    <row r="291" spans="1:26" ht="13.5" customHeight="1" x14ac:dyDescent="0.25">
      <c r="A291" s="382"/>
      <c r="B291" s="355"/>
      <c r="C291" s="450"/>
      <c r="D291" s="450"/>
      <c r="E291" s="355"/>
      <c r="F291" s="355"/>
      <c r="G291" s="355"/>
      <c r="H291" s="355"/>
      <c r="I291" s="355"/>
      <c r="J291" s="355"/>
      <c r="K291" s="355"/>
      <c r="L291" s="355"/>
      <c r="M291" s="355"/>
      <c r="N291" s="355"/>
      <c r="O291" s="355"/>
      <c r="P291" s="355"/>
      <c r="Q291" s="355"/>
      <c r="R291" s="355"/>
      <c r="S291" s="355"/>
      <c r="T291" s="355"/>
      <c r="U291" s="355"/>
      <c r="V291" s="355"/>
      <c r="W291" s="355"/>
      <c r="X291" s="355"/>
      <c r="Y291" s="355"/>
      <c r="Z291" s="355"/>
    </row>
    <row r="292" spans="1:26" ht="13.5" customHeight="1" x14ac:dyDescent="0.25">
      <c r="A292" s="382"/>
      <c r="B292" s="355"/>
      <c r="C292" s="450"/>
      <c r="D292" s="450"/>
      <c r="E292" s="355"/>
      <c r="F292" s="355"/>
      <c r="G292" s="355"/>
      <c r="H292" s="355"/>
      <c r="I292" s="355"/>
      <c r="J292" s="355"/>
      <c r="K292" s="355"/>
      <c r="L292" s="355"/>
      <c r="M292" s="355"/>
      <c r="N292" s="355"/>
      <c r="O292" s="355"/>
      <c r="P292" s="355"/>
      <c r="Q292" s="355"/>
      <c r="R292" s="355"/>
      <c r="S292" s="355"/>
      <c r="T292" s="355"/>
      <c r="U292" s="355"/>
      <c r="V292" s="355"/>
      <c r="W292" s="355"/>
      <c r="X292" s="355"/>
      <c r="Y292" s="355"/>
      <c r="Z292" s="355"/>
    </row>
    <row r="293" spans="1:26" ht="13.5" customHeight="1" x14ac:dyDescent="0.25">
      <c r="A293" s="382"/>
      <c r="B293" s="355"/>
      <c r="C293" s="450"/>
      <c r="D293" s="450"/>
      <c r="E293" s="355"/>
      <c r="F293" s="355"/>
      <c r="G293" s="355"/>
      <c r="H293" s="355"/>
      <c r="I293" s="355"/>
      <c r="J293" s="355"/>
      <c r="K293" s="355"/>
      <c r="L293" s="355"/>
      <c r="M293" s="355"/>
      <c r="N293" s="355"/>
      <c r="O293" s="355"/>
      <c r="P293" s="355"/>
      <c r="Q293" s="355"/>
      <c r="R293" s="355"/>
      <c r="S293" s="355"/>
      <c r="T293" s="355"/>
      <c r="U293" s="355"/>
      <c r="V293" s="355"/>
      <c r="W293" s="355"/>
      <c r="X293" s="355"/>
      <c r="Y293" s="355"/>
      <c r="Z293" s="355"/>
    </row>
    <row r="294" spans="1:26" ht="13.5" customHeight="1" x14ac:dyDescent="0.25">
      <c r="A294" s="382"/>
      <c r="B294" s="355"/>
      <c r="C294" s="450"/>
      <c r="D294" s="450"/>
      <c r="E294" s="355"/>
      <c r="F294" s="355"/>
      <c r="G294" s="355"/>
      <c r="H294" s="355"/>
      <c r="I294" s="355"/>
      <c r="J294" s="355"/>
      <c r="K294" s="355"/>
      <c r="L294" s="355"/>
      <c r="M294" s="355"/>
      <c r="N294" s="355"/>
      <c r="O294" s="355"/>
      <c r="P294" s="355"/>
      <c r="Q294" s="355"/>
      <c r="R294" s="355"/>
      <c r="S294" s="355"/>
      <c r="T294" s="355"/>
      <c r="U294" s="355"/>
      <c r="V294" s="355"/>
      <c r="W294" s="355"/>
      <c r="X294" s="355"/>
      <c r="Y294" s="355"/>
      <c r="Z294" s="355"/>
    </row>
    <row r="295" spans="1:26" ht="13.5" customHeight="1" x14ac:dyDescent="0.25">
      <c r="A295" s="382"/>
      <c r="B295" s="355"/>
      <c r="C295" s="450"/>
      <c r="D295" s="450"/>
      <c r="E295" s="355"/>
      <c r="F295" s="355"/>
      <c r="G295" s="355"/>
      <c r="H295" s="355"/>
      <c r="I295" s="355"/>
      <c r="J295" s="355"/>
      <c r="K295" s="355"/>
      <c r="L295" s="355"/>
      <c r="M295" s="355"/>
      <c r="N295" s="355"/>
      <c r="O295" s="355"/>
      <c r="P295" s="355"/>
      <c r="Q295" s="355"/>
      <c r="R295" s="355"/>
      <c r="S295" s="355"/>
      <c r="T295" s="355"/>
      <c r="U295" s="355"/>
      <c r="V295" s="355"/>
      <c r="W295" s="355"/>
      <c r="X295" s="355"/>
      <c r="Y295" s="355"/>
      <c r="Z295" s="355"/>
    </row>
    <row r="296" spans="1:26" ht="13.5" customHeight="1" x14ac:dyDescent="0.25">
      <c r="A296" s="382"/>
      <c r="B296" s="355"/>
      <c r="C296" s="450"/>
      <c r="D296" s="450"/>
      <c r="E296" s="355"/>
      <c r="F296" s="355"/>
      <c r="G296" s="355"/>
      <c r="H296" s="355"/>
      <c r="I296" s="355"/>
      <c r="J296" s="355"/>
      <c r="K296" s="355"/>
      <c r="L296" s="355"/>
      <c r="M296" s="355"/>
      <c r="N296" s="355"/>
      <c r="O296" s="355"/>
      <c r="P296" s="355"/>
      <c r="Q296" s="355"/>
      <c r="R296" s="355"/>
      <c r="S296" s="355"/>
      <c r="T296" s="355"/>
      <c r="U296" s="355"/>
      <c r="V296" s="355"/>
      <c r="W296" s="355"/>
      <c r="X296" s="355"/>
      <c r="Y296" s="355"/>
      <c r="Z296" s="355"/>
    </row>
    <row r="297" spans="1:26" ht="13.5" customHeight="1" x14ac:dyDescent="0.25">
      <c r="A297" s="382"/>
      <c r="B297" s="355"/>
      <c r="C297" s="450"/>
      <c r="D297" s="450"/>
      <c r="E297" s="355"/>
      <c r="F297" s="355"/>
      <c r="G297" s="355"/>
      <c r="H297" s="355"/>
      <c r="I297" s="355"/>
      <c r="J297" s="355"/>
      <c r="K297" s="355"/>
      <c r="L297" s="355"/>
      <c r="M297" s="355"/>
      <c r="N297" s="355"/>
      <c r="O297" s="355"/>
      <c r="P297" s="355"/>
      <c r="Q297" s="355"/>
      <c r="R297" s="355"/>
      <c r="S297" s="355"/>
      <c r="T297" s="355"/>
      <c r="U297" s="355"/>
      <c r="V297" s="355"/>
      <c r="W297" s="355"/>
      <c r="X297" s="355"/>
      <c r="Y297" s="355"/>
      <c r="Z297" s="355"/>
    </row>
    <row r="298" spans="1:26" ht="13.5" customHeight="1" x14ac:dyDescent="0.25">
      <c r="A298" s="382"/>
      <c r="B298" s="355"/>
      <c r="C298" s="450"/>
      <c r="D298" s="450"/>
      <c r="E298" s="355"/>
      <c r="F298" s="355"/>
      <c r="G298" s="355"/>
      <c r="H298" s="355"/>
      <c r="I298" s="355"/>
      <c r="J298" s="355"/>
      <c r="K298" s="355"/>
      <c r="L298" s="355"/>
      <c r="M298" s="355"/>
      <c r="N298" s="355"/>
      <c r="O298" s="355"/>
      <c r="P298" s="355"/>
      <c r="Q298" s="355"/>
      <c r="R298" s="355"/>
      <c r="S298" s="355"/>
      <c r="T298" s="355"/>
      <c r="U298" s="355"/>
      <c r="V298" s="355"/>
      <c r="W298" s="355"/>
      <c r="X298" s="355"/>
      <c r="Y298" s="355"/>
      <c r="Z298" s="355"/>
    </row>
    <row r="299" spans="1:26" ht="13.5" customHeight="1" x14ac:dyDescent="0.25">
      <c r="A299" s="382"/>
      <c r="B299" s="355"/>
      <c r="C299" s="450"/>
      <c r="D299" s="450"/>
      <c r="E299" s="355"/>
      <c r="F299" s="355"/>
      <c r="G299" s="355"/>
      <c r="H299" s="355"/>
      <c r="I299" s="355"/>
      <c r="J299" s="355"/>
      <c r="K299" s="355"/>
      <c r="L299" s="355"/>
      <c r="M299" s="355"/>
      <c r="N299" s="355"/>
      <c r="O299" s="355"/>
      <c r="P299" s="355"/>
      <c r="Q299" s="355"/>
      <c r="R299" s="355"/>
      <c r="S299" s="355"/>
      <c r="T299" s="355"/>
      <c r="U299" s="355"/>
      <c r="V299" s="355"/>
      <c r="W299" s="355"/>
      <c r="X299" s="355"/>
      <c r="Y299" s="355"/>
      <c r="Z299" s="355"/>
    </row>
    <row r="300" spans="1:26" ht="13.5" customHeight="1" x14ac:dyDescent="0.25">
      <c r="A300" s="382"/>
      <c r="B300" s="355"/>
      <c r="C300" s="450"/>
      <c r="D300" s="450"/>
      <c r="E300" s="355"/>
      <c r="F300" s="355"/>
      <c r="G300" s="355"/>
      <c r="H300" s="355"/>
      <c r="I300" s="355"/>
      <c r="J300" s="355"/>
      <c r="K300" s="355"/>
      <c r="L300" s="355"/>
      <c r="M300" s="355"/>
      <c r="N300" s="355"/>
      <c r="O300" s="355"/>
      <c r="P300" s="355"/>
      <c r="Q300" s="355"/>
      <c r="R300" s="355"/>
      <c r="S300" s="355"/>
      <c r="T300" s="355"/>
      <c r="U300" s="355"/>
      <c r="V300" s="355"/>
      <c r="W300" s="355"/>
      <c r="X300" s="355"/>
      <c r="Y300" s="355"/>
      <c r="Z300" s="355"/>
    </row>
    <row r="301" spans="1:26" ht="13.5" customHeight="1" x14ac:dyDescent="0.25">
      <c r="A301" s="382"/>
      <c r="B301" s="355"/>
      <c r="C301" s="450"/>
      <c r="D301" s="450"/>
      <c r="E301" s="355"/>
      <c r="F301" s="355"/>
      <c r="G301" s="355"/>
      <c r="H301" s="355"/>
      <c r="I301" s="355"/>
      <c r="J301" s="355"/>
      <c r="K301" s="355"/>
      <c r="L301" s="355"/>
      <c r="M301" s="355"/>
      <c r="N301" s="355"/>
      <c r="O301" s="355"/>
      <c r="P301" s="355"/>
      <c r="Q301" s="355"/>
      <c r="R301" s="355"/>
      <c r="S301" s="355"/>
      <c r="T301" s="355"/>
      <c r="U301" s="355"/>
      <c r="V301" s="355"/>
      <c r="W301" s="355"/>
      <c r="X301" s="355"/>
      <c r="Y301" s="355"/>
      <c r="Z301" s="355"/>
    </row>
    <row r="302" spans="1:26" ht="13.5" customHeight="1" x14ac:dyDescent="0.25">
      <c r="A302" s="382"/>
      <c r="B302" s="355"/>
      <c r="C302" s="450"/>
      <c r="D302" s="450"/>
      <c r="E302" s="355"/>
      <c r="F302" s="355"/>
      <c r="G302" s="355"/>
      <c r="H302" s="355"/>
      <c r="I302" s="355"/>
      <c r="J302" s="355"/>
      <c r="K302" s="355"/>
      <c r="L302" s="355"/>
      <c r="M302" s="355"/>
      <c r="N302" s="355"/>
      <c r="O302" s="355"/>
      <c r="P302" s="355"/>
      <c r="Q302" s="355"/>
      <c r="R302" s="355"/>
      <c r="S302" s="355"/>
      <c r="T302" s="355"/>
      <c r="U302" s="355"/>
      <c r="V302" s="355"/>
      <c r="W302" s="355"/>
      <c r="X302" s="355"/>
      <c r="Y302" s="355"/>
      <c r="Z302" s="355"/>
    </row>
    <row r="303" spans="1:26" ht="13.5" customHeight="1" x14ac:dyDescent="0.25">
      <c r="A303" s="382"/>
      <c r="B303" s="355"/>
      <c r="C303" s="450"/>
      <c r="D303" s="450"/>
      <c r="E303" s="355"/>
      <c r="F303" s="355"/>
      <c r="G303" s="355"/>
      <c r="H303" s="355"/>
      <c r="I303" s="355"/>
      <c r="J303" s="355"/>
      <c r="K303" s="355"/>
      <c r="L303" s="355"/>
      <c r="M303" s="355"/>
      <c r="N303" s="355"/>
      <c r="O303" s="355"/>
      <c r="P303" s="355"/>
      <c r="Q303" s="355"/>
      <c r="R303" s="355"/>
      <c r="S303" s="355"/>
      <c r="T303" s="355"/>
      <c r="U303" s="355"/>
      <c r="V303" s="355"/>
      <c r="W303" s="355"/>
      <c r="X303" s="355"/>
      <c r="Y303" s="355"/>
      <c r="Z303" s="355"/>
    </row>
    <row r="304" spans="1:26" ht="13.5" customHeight="1" x14ac:dyDescent="0.25">
      <c r="A304" s="382"/>
      <c r="B304" s="355"/>
      <c r="C304" s="450"/>
      <c r="D304" s="450"/>
      <c r="E304" s="355"/>
      <c r="F304" s="355"/>
      <c r="G304" s="355"/>
      <c r="H304" s="355"/>
      <c r="I304" s="355"/>
      <c r="J304" s="355"/>
      <c r="K304" s="355"/>
      <c r="L304" s="355"/>
      <c r="M304" s="355"/>
      <c r="N304" s="355"/>
      <c r="O304" s="355"/>
      <c r="P304" s="355"/>
      <c r="Q304" s="355"/>
      <c r="R304" s="355"/>
      <c r="S304" s="355"/>
      <c r="T304" s="355"/>
      <c r="U304" s="355"/>
      <c r="V304" s="355"/>
      <c r="W304" s="355"/>
      <c r="X304" s="355"/>
      <c r="Y304" s="355"/>
      <c r="Z304" s="355"/>
    </row>
    <row r="305" spans="1:26" ht="13.5" customHeight="1" x14ac:dyDescent="0.25">
      <c r="A305" s="382"/>
      <c r="B305" s="355"/>
      <c r="C305" s="450"/>
      <c r="D305" s="450"/>
      <c r="E305" s="355"/>
      <c r="F305" s="355"/>
      <c r="G305" s="355"/>
      <c r="H305" s="355"/>
      <c r="I305" s="355"/>
      <c r="J305" s="355"/>
      <c r="K305" s="355"/>
      <c r="L305" s="355"/>
      <c r="M305" s="355"/>
      <c r="N305" s="355"/>
      <c r="O305" s="355"/>
      <c r="P305" s="355"/>
      <c r="Q305" s="355"/>
      <c r="R305" s="355"/>
      <c r="S305" s="355"/>
      <c r="T305" s="355"/>
      <c r="U305" s="355"/>
      <c r="V305" s="355"/>
      <c r="W305" s="355"/>
      <c r="X305" s="355"/>
      <c r="Y305" s="355"/>
      <c r="Z305" s="355"/>
    </row>
    <row r="306" spans="1:26" ht="13.5" customHeight="1" x14ac:dyDescent="0.25">
      <c r="A306" s="382"/>
      <c r="B306" s="355"/>
      <c r="C306" s="450"/>
      <c r="D306" s="450"/>
      <c r="E306" s="355"/>
      <c r="F306" s="355"/>
      <c r="G306" s="355"/>
      <c r="H306" s="355"/>
      <c r="I306" s="355"/>
      <c r="J306" s="355"/>
      <c r="K306" s="355"/>
      <c r="L306" s="355"/>
      <c r="M306" s="355"/>
      <c r="N306" s="355"/>
      <c r="O306" s="355"/>
      <c r="P306" s="355"/>
      <c r="Q306" s="355"/>
      <c r="R306" s="355"/>
      <c r="S306" s="355"/>
      <c r="T306" s="355"/>
      <c r="U306" s="355"/>
      <c r="V306" s="355"/>
      <c r="W306" s="355"/>
      <c r="X306" s="355"/>
      <c r="Y306" s="355"/>
      <c r="Z306" s="355"/>
    </row>
    <row r="307" spans="1:26" ht="13.5" customHeight="1" x14ac:dyDescent="0.25">
      <c r="A307" s="382"/>
      <c r="B307" s="355"/>
      <c r="C307" s="450"/>
      <c r="D307" s="450"/>
      <c r="E307" s="355"/>
      <c r="F307" s="355"/>
      <c r="G307" s="355"/>
      <c r="H307" s="355"/>
      <c r="I307" s="355"/>
      <c r="J307" s="355"/>
      <c r="K307" s="355"/>
      <c r="L307" s="355"/>
      <c r="M307" s="355"/>
      <c r="N307" s="355"/>
      <c r="O307" s="355"/>
      <c r="P307" s="355"/>
      <c r="Q307" s="355"/>
      <c r="R307" s="355"/>
      <c r="S307" s="355"/>
      <c r="T307" s="355"/>
      <c r="U307" s="355"/>
      <c r="V307" s="355"/>
      <c r="W307" s="355"/>
      <c r="X307" s="355"/>
      <c r="Y307" s="355"/>
      <c r="Z307" s="355"/>
    </row>
    <row r="308" spans="1:26" ht="13.5" customHeight="1" x14ac:dyDescent="0.25">
      <c r="A308" s="382"/>
      <c r="B308" s="355"/>
      <c r="C308" s="450"/>
      <c r="D308" s="450"/>
      <c r="E308" s="355"/>
      <c r="F308" s="355"/>
      <c r="G308" s="355"/>
      <c r="H308" s="355"/>
      <c r="I308" s="355"/>
      <c r="J308" s="355"/>
      <c r="K308" s="355"/>
      <c r="L308" s="355"/>
      <c r="M308" s="355"/>
      <c r="N308" s="355"/>
      <c r="O308" s="355"/>
      <c r="P308" s="355"/>
      <c r="Q308" s="355"/>
      <c r="R308" s="355"/>
      <c r="S308" s="355"/>
      <c r="T308" s="355"/>
      <c r="U308" s="355"/>
      <c r="V308" s="355"/>
      <c r="W308" s="355"/>
      <c r="X308" s="355"/>
      <c r="Y308" s="355"/>
      <c r="Z308" s="355"/>
    </row>
    <row r="309" spans="1:26" ht="13.5" customHeight="1" x14ac:dyDescent="0.25">
      <c r="A309" s="382"/>
      <c r="B309" s="355"/>
      <c r="C309" s="450"/>
      <c r="D309" s="450"/>
      <c r="E309" s="355"/>
      <c r="F309" s="355"/>
      <c r="G309" s="355"/>
      <c r="H309" s="355"/>
      <c r="I309" s="355"/>
      <c r="J309" s="355"/>
      <c r="K309" s="355"/>
      <c r="L309" s="355"/>
      <c r="M309" s="355"/>
      <c r="N309" s="355"/>
      <c r="O309" s="355"/>
      <c r="P309" s="355"/>
      <c r="Q309" s="355"/>
      <c r="R309" s="355"/>
      <c r="S309" s="355"/>
      <c r="T309" s="355"/>
      <c r="U309" s="355"/>
      <c r="V309" s="355"/>
      <c r="W309" s="355"/>
      <c r="X309" s="355"/>
      <c r="Y309" s="355"/>
      <c r="Z309" s="355"/>
    </row>
    <row r="310" spans="1:26" ht="13.5" customHeight="1" x14ac:dyDescent="0.25">
      <c r="A310" s="382"/>
      <c r="B310" s="355"/>
      <c r="C310" s="450"/>
      <c r="D310" s="450"/>
      <c r="E310" s="355"/>
      <c r="F310" s="355"/>
      <c r="G310" s="355"/>
      <c r="H310" s="355"/>
      <c r="I310" s="355"/>
      <c r="J310" s="355"/>
      <c r="K310" s="355"/>
      <c r="L310" s="355"/>
      <c r="M310" s="355"/>
      <c r="N310" s="355"/>
      <c r="O310" s="355"/>
      <c r="P310" s="355"/>
      <c r="Q310" s="355"/>
      <c r="R310" s="355"/>
      <c r="S310" s="355"/>
      <c r="T310" s="355"/>
      <c r="U310" s="355"/>
      <c r="V310" s="355"/>
      <c r="W310" s="355"/>
      <c r="X310" s="355"/>
      <c r="Y310" s="355"/>
      <c r="Z310" s="355"/>
    </row>
    <row r="311" spans="1:26" ht="13.5" customHeight="1" x14ac:dyDescent="0.25">
      <c r="A311" s="382"/>
      <c r="B311" s="355"/>
      <c r="C311" s="450"/>
      <c r="D311" s="450"/>
      <c r="E311" s="355"/>
      <c r="F311" s="355"/>
      <c r="G311" s="355"/>
      <c r="H311" s="355"/>
      <c r="I311" s="355"/>
      <c r="J311" s="355"/>
      <c r="K311" s="355"/>
      <c r="L311" s="355"/>
      <c r="M311" s="355"/>
      <c r="N311" s="355"/>
      <c r="O311" s="355"/>
      <c r="P311" s="355"/>
      <c r="Q311" s="355"/>
      <c r="R311" s="355"/>
      <c r="S311" s="355"/>
      <c r="T311" s="355"/>
      <c r="U311" s="355"/>
      <c r="V311" s="355"/>
      <c r="W311" s="355"/>
      <c r="X311" s="355"/>
      <c r="Y311" s="355"/>
      <c r="Z311" s="355"/>
    </row>
    <row r="312" spans="1:26" ht="13.5" customHeight="1" x14ac:dyDescent="0.25">
      <c r="A312" s="382"/>
      <c r="B312" s="355"/>
      <c r="C312" s="450"/>
      <c r="D312" s="450"/>
      <c r="E312" s="355"/>
      <c r="F312" s="355"/>
      <c r="G312" s="355"/>
      <c r="H312" s="355"/>
      <c r="I312" s="355"/>
      <c r="J312" s="355"/>
      <c r="K312" s="355"/>
      <c r="L312" s="355"/>
      <c r="M312" s="355"/>
      <c r="N312" s="355"/>
      <c r="O312" s="355"/>
      <c r="P312" s="355"/>
      <c r="Q312" s="355"/>
      <c r="R312" s="355"/>
      <c r="S312" s="355"/>
      <c r="T312" s="355"/>
      <c r="U312" s="355"/>
      <c r="V312" s="355"/>
      <c r="W312" s="355"/>
      <c r="X312" s="355"/>
      <c r="Y312" s="355"/>
      <c r="Z312" s="355"/>
    </row>
    <row r="313" spans="1:26" ht="13.5" customHeight="1" x14ac:dyDescent="0.25">
      <c r="A313" s="382"/>
      <c r="B313" s="355"/>
      <c r="C313" s="450"/>
      <c r="D313" s="450"/>
      <c r="E313" s="355"/>
      <c r="F313" s="355"/>
      <c r="G313" s="355"/>
      <c r="H313" s="355"/>
      <c r="I313" s="355"/>
      <c r="J313" s="355"/>
      <c r="K313" s="355"/>
      <c r="L313" s="355"/>
      <c r="M313" s="355"/>
      <c r="N313" s="355"/>
      <c r="O313" s="355"/>
      <c r="P313" s="355"/>
      <c r="Q313" s="355"/>
      <c r="R313" s="355"/>
      <c r="S313" s="355"/>
      <c r="T313" s="355"/>
      <c r="U313" s="355"/>
      <c r="V313" s="355"/>
      <c r="W313" s="355"/>
      <c r="X313" s="355"/>
      <c r="Y313" s="355"/>
      <c r="Z313" s="355"/>
    </row>
    <row r="314" spans="1:26" ht="13.5" customHeight="1" x14ac:dyDescent="0.25">
      <c r="A314" s="382"/>
      <c r="B314" s="355"/>
      <c r="C314" s="450"/>
      <c r="D314" s="450"/>
      <c r="E314" s="355"/>
      <c r="F314" s="355"/>
      <c r="G314" s="355"/>
      <c r="H314" s="355"/>
      <c r="I314" s="355"/>
      <c r="J314" s="355"/>
      <c r="K314" s="355"/>
      <c r="L314" s="355"/>
      <c r="M314" s="355"/>
      <c r="N314" s="355"/>
      <c r="O314" s="355"/>
      <c r="P314" s="355"/>
      <c r="Q314" s="355"/>
      <c r="R314" s="355"/>
      <c r="S314" s="355"/>
      <c r="T314" s="355"/>
      <c r="U314" s="355"/>
      <c r="V314" s="355"/>
      <c r="W314" s="355"/>
      <c r="X314" s="355"/>
      <c r="Y314" s="355"/>
      <c r="Z314" s="355"/>
    </row>
    <row r="315" spans="1:26" ht="13.5" customHeight="1" x14ac:dyDescent="0.25">
      <c r="A315" s="382"/>
      <c r="B315" s="355"/>
      <c r="C315" s="450"/>
      <c r="D315" s="450"/>
      <c r="E315" s="355"/>
      <c r="F315" s="355"/>
      <c r="G315" s="355"/>
      <c r="H315" s="355"/>
      <c r="I315" s="355"/>
      <c r="J315" s="355"/>
      <c r="K315" s="355"/>
      <c r="L315" s="355"/>
      <c r="M315" s="355"/>
      <c r="N315" s="355"/>
      <c r="O315" s="355"/>
      <c r="P315" s="355"/>
      <c r="Q315" s="355"/>
      <c r="R315" s="355"/>
      <c r="S315" s="355"/>
      <c r="T315" s="355"/>
      <c r="U315" s="355"/>
      <c r="V315" s="355"/>
      <c r="W315" s="355"/>
      <c r="X315" s="355"/>
      <c r="Y315" s="355"/>
      <c r="Z315" s="355"/>
    </row>
    <row r="316" spans="1:26" ht="13.5" customHeight="1" x14ac:dyDescent="0.25">
      <c r="A316" s="382"/>
      <c r="B316" s="355"/>
      <c r="C316" s="450"/>
      <c r="D316" s="450"/>
      <c r="E316" s="355"/>
      <c r="F316" s="355"/>
      <c r="G316" s="355"/>
      <c r="H316" s="355"/>
      <c r="I316" s="355"/>
      <c r="J316" s="355"/>
      <c r="K316" s="355"/>
      <c r="L316" s="355"/>
      <c r="M316" s="355"/>
      <c r="N316" s="355"/>
      <c r="O316" s="355"/>
      <c r="P316" s="355"/>
      <c r="Q316" s="355"/>
      <c r="R316" s="355"/>
      <c r="S316" s="355"/>
      <c r="T316" s="355"/>
      <c r="U316" s="355"/>
      <c r="V316" s="355"/>
      <c r="W316" s="355"/>
      <c r="X316" s="355"/>
      <c r="Y316" s="355"/>
      <c r="Z316" s="355"/>
    </row>
    <row r="317" spans="1:26" ht="13.5" customHeight="1" x14ac:dyDescent="0.25">
      <c r="A317" s="382"/>
      <c r="B317" s="355"/>
      <c r="C317" s="450"/>
      <c r="D317" s="450"/>
      <c r="E317" s="355"/>
      <c r="F317" s="355"/>
      <c r="G317" s="355"/>
      <c r="H317" s="355"/>
      <c r="I317" s="355"/>
      <c r="J317" s="355"/>
      <c r="K317" s="355"/>
      <c r="L317" s="355"/>
      <c r="M317" s="355"/>
      <c r="N317" s="355"/>
      <c r="O317" s="355"/>
      <c r="P317" s="355"/>
      <c r="Q317" s="355"/>
      <c r="R317" s="355"/>
      <c r="S317" s="355"/>
      <c r="T317" s="355"/>
      <c r="U317" s="355"/>
      <c r="V317" s="355"/>
      <c r="W317" s="355"/>
      <c r="X317" s="355"/>
      <c r="Y317" s="355"/>
      <c r="Z317" s="355"/>
    </row>
    <row r="318" spans="1:26" ht="13.5" customHeight="1" x14ac:dyDescent="0.25">
      <c r="A318" s="382"/>
      <c r="B318" s="355"/>
      <c r="C318" s="450"/>
      <c r="D318" s="450"/>
      <c r="E318" s="355"/>
      <c r="F318" s="355"/>
      <c r="G318" s="355"/>
      <c r="H318" s="355"/>
      <c r="I318" s="355"/>
      <c r="J318" s="355"/>
      <c r="K318" s="355"/>
      <c r="L318" s="355"/>
      <c r="M318" s="355"/>
      <c r="N318" s="355"/>
      <c r="O318" s="355"/>
      <c r="P318" s="355"/>
      <c r="Q318" s="355"/>
      <c r="R318" s="355"/>
      <c r="S318" s="355"/>
      <c r="T318" s="355"/>
      <c r="U318" s="355"/>
      <c r="V318" s="355"/>
      <c r="W318" s="355"/>
      <c r="X318" s="355"/>
      <c r="Y318" s="355"/>
      <c r="Z318" s="355"/>
    </row>
    <row r="319" spans="1:26" ht="13.5" customHeight="1" x14ac:dyDescent="0.25">
      <c r="A319" s="382"/>
      <c r="B319" s="355"/>
      <c r="C319" s="450"/>
      <c r="D319" s="450"/>
      <c r="E319" s="355"/>
      <c r="F319" s="355"/>
      <c r="G319" s="355"/>
      <c r="H319" s="355"/>
      <c r="I319" s="355"/>
      <c r="J319" s="355"/>
      <c r="K319" s="355"/>
      <c r="L319" s="355"/>
      <c r="M319" s="355"/>
      <c r="N319" s="355"/>
      <c r="O319" s="355"/>
      <c r="P319" s="355"/>
      <c r="Q319" s="355"/>
      <c r="R319" s="355"/>
      <c r="S319" s="355"/>
      <c r="T319" s="355"/>
      <c r="U319" s="355"/>
      <c r="V319" s="355"/>
      <c r="W319" s="355"/>
      <c r="X319" s="355"/>
      <c r="Y319" s="355"/>
      <c r="Z319" s="355"/>
    </row>
    <row r="320" spans="1:26" ht="13.5" customHeight="1" x14ac:dyDescent="0.25">
      <c r="A320" s="382"/>
      <c r="B320" s="355"/>
      <c r="C320" s="450"/>
      <c r="D320" s="450"/>
      <c r="E320" s="355"/>
      <c r="F320" s="355"/>
      <c r="G320" s="355"/>
      <c r="H320" s="355"/>
      <c r="I320" s="355"/>
      <c r="J320" s="355"/>
      <c r="K320" s="355"/>
      <c r="L320" s="355"/>
      <c r="M320" s="355"/>
      <c r="N320" s="355"/>
      <c r="O320" s="355"/>
      <c r="P320" s="355"/>
      <c r="Q320" s="355"/>
      <c r="R320" s="355"/>
      <c r="S320" s="355"/>
      <c r="T320" s="355"/>
      <c r="U320" s="355"/>
      <c r="V320" s="355"/>
      <c r="W320" s="355"/>
      <c r="X320" s="355"/>
      <c r="Y320" s="355"/>
      <c r="Z320" s="355"/>
    </row>
    <row r="321" spans="1:26" ht="13.5" customHeight="1" x14ac:dyDescent="0.25">
      <c r="A321" s="382"/>
      <c r="B321" s="355"/>
      <c r="C321" s="450"/>
      <c r="D321" s="450"/>
      <c r="E321" s="355"/>
      <c r="F321" s="355"/>
      <c r="G321" s="355"/>
      <c r="H321" s="355"/>
      <c r="I321" s="355"/>
      <c r="J321" s="355"/>
      <c r="K321" s="355"/>
      <c r="L321" s="355"/>
      <c r="M321" s="355"/>
      <c r="N321" s="355"/>
      <c r="O321" s="355"/>
      <c r="P321" s="355"/>
      <c r="Q321" s="355"/>
      <c r="R321" s="355"/>
      <c r="S321" s="355"/>
      <c r="T321" s="355"/>
      <c r="U321" s="355"/>
      <c r="V321" s="355"/>
      <c r="W321" s="355"/>
      <c r="X321" s="355"/>
      <c r="Y321" s="355"/>
      <c r="Z321" s="355"/>
    </row>
    <row r="322" spans="1:26" ht="13.5" customHeight="1" x14ac:dyDescent="0.25">
      <c r="A322" s="382"/>
      <c r="B322" s="355"/>
      <c r="C322" s="450"/>
      <c r="D322" s="450"/>
      <c r="E322" s="355"/>
      <c r="F322" s="355"/>
      <c r="G322" s="355"/>
      <c r="H322" s="355"/>
      <c r="I322" s="355"/>
      <c r="J322" s="355"/>
      <c r="K322" s="355"/>
      <c r="L322" s="355"/>
      <c r="M322" s="355"/>
      <c r="N322" s="355"/>
      <c r="O322" s="355"/>
      <c r="P322" s="355"/>
      <c r="Q322" s="355"/>
      <c r="R322" s="355"/>
      <c r="S322" s="355"/>
      <c r="T322" s="355"/>
      <c r="U322" s="355"/>
      <c r="V322" s="355"/>
      <c r="W322" s="355"/>
      <c r="X322" s="355"/>
      <c r="Y322" s="355"/>
      <c r="Z322" s="355"/>
    </row>
    <row r="323" spans="1:26" ht="13.5" customHeight="1" x14ac:dyDescent="0.25">
      <c r="A323" s="382"/>
      <c r="B323" s="355"/>
      <c r="C323" s="450"/>
      <c r="D323" s="450"/>
      <c r="E323" s="355"/>
      <c r="F323" s="355"/>
      <c r="G323" s="355"/>
      <c r="H323" s="355"/>
      <c r="I323" s="355"/>
      <c r="J323" s="355"/>
      <c r="K323" s="355"/>
      <c r="L323" s="355"/>
      <c r="M323" s="355"/>
      <c r="N323" s="355"/>
      <c r="O323" s="355"/>
      <c r="P323" s="355"/>
      <c r="Q323" s="355"/>
      <c r="R323" s="355"/>
      <c r="S323" s="355"/>
      <c r="T323" s="355"/>
      <c r="U323" s="355"/>
      <c r="V323" s="355"/>
      <c r="W323" s="355"/>
      <c r="X323" s="355"/>
      <c r="Y323" s="355"/>
      <c r="Z323" s="355"/>
    </row>
    <row r="324" spans="1:26" ht="13.5" customHeight="1" x14ac:dyDescent="0.25">
      <c r="A324" s="382"/>
      <c r="B324" s="355"/>
      <c r="C324" s="450"/>
      <c r="D324" s="450"/>
      <c r="E324" s="355"/>
      <c r="F324" s="355"/>
      <c r="G324" s="355"/>
      <c r="H324" s="355"/>
      <c r="I324" s="355"/>
      <c r="J324" s="355"/>
      <c r="K324" s="355"/>
      <c r="L324" s="355"/>
      <c r="M324" s="355"/>
      <c r="N324" s="355"/>
      <c r="O324" s="355"/>
      <c r="P324" s="355"/>
      <c r="Q324" s="355"/>
      <c r="R324" s="355"/>
      <c r="S324" s="355"/>
      <c r="T324" s="355"/>
      <c r="U324" s="355"/>
      <c r="V324" s="355"/>
      <c r="W324" s="355"/>
      <c r="X324" s="355"/>
      <c r="Y324" s="355"/>
      <c r="Z324" s="355"/>
    </row>
    <row r="325" spans="1:26" ht="13.5" customHeight="1" x14ac:dyDescent="0.25">
      <c r="A325" s="382"/>
      <c r="B325" s="355"/>
      <c r="C325" s="450"/>
      <c r="D325" s="450"/>
      <c r="E325" s="355"/>
      <c r="F325" s="355"/>
      <c r="G325" s="355"/>
      <c r="H325" s="355"/>
      <c r="I325" s="355"/>
      <c r="J325" s="355"/>
      <c r="K325" s="355"/>
      <c r="L325" s="355"/>
      <c r="M325" s="355"/>
      <c r="N325" s="355"/>
      <c r="O325" s="355"/>
      <c r="P325" s="355"/>
      <c r="Q325" s="355"/>
      <c r="R325" s="355"/>
      <c r="S325" s="355"/>
      <c r="T325" s="355"/>
      <c r="U325" s="355"/>
      <c r="V325" s="355"/>
      <c r="W325" s="355"/>
      <c r="X325" s="355"/>
      <c r="Y325" s="355"/>
      <c r="Z325" s="355"/>
    </row>
    <row r="326" spans="1:26" ht="13.5" customHeight="1" x14ac:dyDescent="0.25">
      <c r="A326" s="382"/>
      <c r="B326" s="355"/>
      <c r="C326" s="450"/>
      <c r="D326" s="450"/>
      <c r="E326" s="355"/>
      <c r="F326" s="355"/>
      <c r="G326" s="355"/>
      <c r="H326" s="355"/>
      <c r="I326" s="355"/>
      <c r="J326" s="355"/>
      <c r="K326" s="355"/>
      <c r="L326" s="355"/>
      <c r="M326" s="355"/>
      <c r="N326" s="355"/>
      <c r="O326" s="355"/>
      <c r="P326" s="355"/>
      <c r="Q326" s="355"/>
      <c r="R326" s="355"/>
      <c r="S326" s="355"/>
      <c r="T326" s="355"/>
      <c r="U326" s="355"/>
      <c r="V326" s="355"/>
      <c r="W326" s="355"/>
      <c r="X326" s="355"/>
      <c r="Y326" s="355"/>
      <c r="Z326" s="355"/>
    </row>
    <row r="327" spans="1:26" ht="13.5" customHeight="1" x14ac:dyDescent="0.25">
      <c r="A327" s="382"/>
      <c r="B327" s="355"/>
      <c r="C327" s="450"/>
      <c r="D327" s="450"/>
      <c r="E327" s="355"/>
      <c r="F327" s="355"/>
      <c r="G327" s="355"/>
      <c r="H327" s="355"/>
      <c r="I327" s="355"/>
      <c r="J327" s="355"/>
      <c r="K327" s="355"/>
      <c r="L327" s="355"/>
      <c r="M327" s="355"/>
      <c r="N327" s="355"/>
      <c r="O327" s="355"/>
      <c r="P327" s="355"/>
      <c r="Q327" s="355"/>
      <c r="R327" s="355"/>
      <c r="S327" s="355"/>
      <c r="T327" s="355"/>
      <c r="U327" s="355"/>
      <c r="V327" s="355"/>
      <c r="W327" s="355"/>
      <c r="X327" s="355"/>
      <c r="Y327" s="355"/>
      <c r="Z327" s="355"/>
    </row>
    <row r="328" spans="1:26" ht="13.5" customHeight="1" x14ac:dyDescent="0.25">
      <c r="A328" s="382"/>
      <c r="B328" s="355"/>
      <c r="C328" s="450"/>
      <c r="D328" s="450"/>
      <c r="E328" s="355"/>
      <c r="F328" s="355"/>
      <c r="G328" s="355"/>
      <c r="H328" s="355"/>
      <c r="I328" s="355"/>
      <c r="J328" s="355"/>
      <c r="K328" s="355"/>
      <c r="L328" s="355"/>
      <c r="M328" s="355"/>
      <c r="N328" s="355"/>
      <c r="O328" s="355"/>
      <c r="P328" s="355"/>
      <c r="Q328" s="355"/>
      <c r="R328" s="355"/>
      <c r="S328" s="355"/>
      <c r="T328" s="355"/>
      <c r="U328" s="355"/>
      <c r="V328" s="355"/>
      <c r="W328" s="355"/>
      <c r="X328" s="355"/>
      <c r="Y328" s="355"/>
      <c r="Z328" s="355"/>
    </row>
    <row r="329" spans="1:26" ht="13.5" customHeight="1" x14ac:dyDescent="0.25">
      <c r="A329" s="382"/>
      <c r="B329" s="355"/>
      <c r="C329" s="450"/>
      <c r="D329" s="450"/>
      <c r="E329" s="355"/>
      <c r="F329" s="355"/>
      <c r="G329" s="355"/>
      <c r="H329" s="355"/>
      <c r="I329" s="355"/>
      <c r="J329" s="355"/>
      <c r="K329" s="355"/>
      <c r="L329" s="355"/>
      <c r="M329" s="355"/>
      <c r="N329" s="355"/>
      <c r="O329" s="355"/>
      <c r="P329" s="355"/>
      <c r="Q329" s="355"/>
      <c r="R329" s="355"/>
      <c r="S329" s="355"/>
      <c r="T329" s="355"/>
      <c r="U329" s="355"/>
      <c r="V329" s="355"/>
      <c r="W329" s="355"/>
      <c r="X329" s="355"/>
      <c r="Y329" s="355"/>
      <c r="Z329" s="355"/>
    </row>
    <row r="330" spans="1:26" ht="13.5" customHeight="1" x14ac:dyDescent="0.25">
      <c r="A330" s="382"/>
      <c r="B330" s="355"/>
      <c r="C330" s="450"/>
      <c r="D330" s="450"/>
      <c r="E330" s="355"/>
      <c r="F330" s="355"/>
      <c r="G330" s="355"/>
      <c r="H330" s="355"/>
      <c r="I330" s="355"/>
      <c r="J330" s="355"/>
      <c r="K330" s="355"/>
      <c r="L330" s="355"/>
      <c r="M330" s="355"/>
      <c r="N330" s="355"/>
      <c r="O330" s="355"/>
      <c r="P330" s="355"/>
      <c r="Q330" s="355"/>
      <c r="R330" s="355"/>
      <c r="S330" s="355"/>
      <c r="T330" s="355"/>
      <c r="U330" s="355"/>
      <c r="V330" s="355"/>
      <c r="W330" s="355"/>
      <c r="X330" s="355"/>
      <c r="Y330" s="355"/>
      <c r="Z330" s="355"/>
    </row>
    <row r="331" spans="1:26" ht="13.5" customHeight="1" x14ac:dyDescent="0.25">
      <c r="A331" s="382"/>
      <c r="B331" s="355"/>
      <c r="C331" s="450"/>
      <c r="D331" s="450"/>
      <c r="E331" s="355"/>
      <c r="F331" s="355"/>
      <c r="G331" s="355"/>
      <c r="H331" s="355"/>
      <c r="I331" s="355"/>
      <c r="J331" s="355"/>
      <c r="K331" s="355"/>
      <c r="L331" s="355"/>
      <c r="M331" s="355"/>
      <c r="N331" s="355"/>
      <c r="O331" s="355"/>
      <c r="P331" s="355"/>
      <c r="Q331" s="355"/>
      <c r="R331" s="355"/>
      <c r="S331" s="355"/>
      <c r="T331" s="355"/>
      <c r="U331" s="355"/>
      <c r="V331" s="355"/>
      <c r="W331" s="355"/>
      <c r="X331" s="355"/>
      <c r="Y331" s="355"/>
      <c r="Z331" s="355"/>
    </row>
    <row r="332" spans="1:26" ht="13.5" customHeight="1" x14ac:dyDescent="0.25">
      <c r="A332" s="382"/>
      <c r="B332" s="355"/>
      <c r="C332" s="450"/>
      <c r="D332" s="450"/>
      <c r="E332" s="355"/>
      <c r="F332" s="355"/>
      <c r="G332" s="355"/>
      <c r="H332" s="355"/>
      <c r="I332" s="355"/>
      <c r="J332" s="355"/>
      <c r="K332" s="355"/>
      <c r="L332" s="355"/>
      <c r="M332" s="355"/>
      <c r="N332" s="355"/>
      <c r="O332" s="355"/>
      <c r="P332" s="355"/>
      <c r="Q332" s="355"/>
      <c r="R332" s="355"/>
      <c r="S332" s="355"/>
      <c r="T332" s="355"/>
      <c r="U332" s="355"/>
      <c r="V332" s="355"/>
      <c r="W332" s="355"/>
      <c r="X332" s="355"/>
      <c r="Y332" s="355"/>
      <c r="Z332" s="355"/>
    </row>
    <row r="333" spans="1:26" ht="13.5" customHeight="1" x14ac:dyDescent="0.25">
      <c r="A333" s="382"/>
      <c r="B333" s="355"/>
      <c r="C333" s="450"/>
      <c r="D333" s="450"/>
      <c r="E333" s="355"/>
      <c r="F333" s="355"/>
      <c r="G333" s="355"/>
      <c r="H333" s="355"/>
      <c r="I333" s="355"/>
      <c r="J333" s="355"/>
      <c r="K333" s="355"/>
      <c r="L333" s="355"/>
      <c r="M333" s="355"/>
      <c r="N333" s="355"/>
      <c r="O333" s="355"/>
      <c r="P333" s="355"/>
      <c r="Q333" s="355"/>
      <c r="R333" s="355"/>
      <c r="S333" s="355"/>
      <c r="T333" s="355"/>
      <c r="U333" s="355"/>
      <c r="V333" s="355"/>
      <c r="W333" s="355"/>
      <c r="X333" s="355"/>
      <c r="Y333" s="355"/>
      <c r="Z333" s="355"/>
    </row>
    <row r="334" spans="1:26" ht="13.5" customHeight="1" x14ac:dyDescent="0.25">
      <c r="A334" s="382"/>
      <c r="B334" s="355"/>
      <c r="C334" s="450"/>
      <c r="D334" s="450"/>
      <c r="E334" s="355"/>
      <c r="F334" s="355"/>
      <c r="G334" s="355"/>
      <c r="H334" s="355"/>
      <c r="I334" s="355"/>
      <c r="J334" s="355"/>
      <c r="K334" s="355"/>
      <c r="L334" s="355"/>
      <c r="M334" s="355"/>
      <c r="N334" s="355"/>
      <c r="O334" s="355"/>
      <c r="P334" s="355"/>
      <c r="Q334" s="355"/>
      <c r="R334" s="355"/>
      <c r="S334" s="355"/>
      <c r="T334" s="355"/>
      <c r="U334" s="355"/>
      <c r="V334" s="355"/>
      <c r="W334" s="355"/>
      <c r="X334" s="355"/>
      <c r="Y334" s="355"/>
      <c r="Z334" s="355"/>
    </row>
    <row r="335" spans="1:26" ht="13.5" customHeight="1" x14ac:dyDescent="0.25">
      <c r="A335" s="382"/>
      <c r="B335" s="355"/>
      <c r="C335" s="450"/>
      <c r="D335" s="450"/>
      <c r="E335" s="355"/>
      <c r="F335" s="355"/>
      <c r="G335" s="355"/>
      <c r="H335" s="355"/>
      <c r="I335" s="355"/>
      <c r="J335" s="355"/>
      <c r="K335" s="355"/>
      <c r="L335" s="355"/>
      <c r="M335" s="355"/>
      <c r="N335" s="355"/>
      <c r="O335" s="355"/>
      <c r="P335" s="355"/>
      <c r="Q335" s="355"/>
      <c r="R335" s="355"/>
      <c r="S335" s="355"/>
      <c r="T335" s="355"/>
      <c r="U335" s="355"/>
      <c r="V335" s="355"/>
      <c r="W335" s="355"/>
      <c r="X335" s="355"/>
      <c r="Y335" s="355"/>
      <c r="Z335" s="355"/>
    </row>
    <row r="336" spans="1:26" ht="13.5" customHeight="1" x14ac:dyDescent="0.25">
      <c r="A336" s="382"/>
      <c r="B336" s="355"/>
      <c r="C336" s="450"/>
      <c r="D336" s="450"/>
      <c r="E336" s="355"/>
      <c r="F336" s="355"/>
      <c r="G336" s="355"/>
      <c r="H336" s="355"/>
      <c r="I336" s="355"/>
      <c r="J336" s="355"/>
      <c r="K336" s="355"/>
      <c r="L336" s="355"/>
      <c r="M336" s="355"/>
      <c r="N336" s="355"/>
      <c r="O336" s="355"/>
      <c r="P336" s="355"/>
      <c r="Q336" s="355"/>
      <c r="R336" s="355"/>
      <c r="S336" s="355"/>
      <c r="T336" s="355"/>
      <c r="U336" s="355"/>
      <c r="V336" s="355"/>
      <c r="W336" s="355"/>
      <c r="X336" s="355"/>
      <c r="Y336" s="355"/>
      <c r="Z336" s="355"/>
    </row>
    <row r="337" spans="1:26" ht="13.5" customHeight="1" x14ac:dyDescent="0.25">
      <c r="A337" s="382"/>
      <c r="B337" s="355"/>
      <c r="C337" s="450"/>
      <c r="D337" s="450"/>
      <c r="E337" s="355"/>
      <c r="F337" s="355"/>
      <c r="G337" s="355"/>
      <c r="H337" s="355"/>
      <c r="I337" s="355"/>
      <c r="J337" s="355"/>
      <c r="K337" s="355"/>
      <c r="L337" s="355"/>
      <c r="M337" s="355"/>
      <c r="N337" s="355"/>
      <c r="O337" s="355"/>
      <c r="P337" s="355"/>
      <c r="Q337" s="355"/>
      <c r="R337" s="355"/>
      <c r="S337" s="355"/>
      <c r="T337" s="355"/>
      <c r="U337" s="355"/>
      <c r="V337" s="355"/>
      <c r="W337" s="355"/>
      <c r="X337" s="355"/>
      <c r="Y337" s="355"/>
      <c r="Z337" s="355"/>
    </row>
    <row r="338" spans="1:26" ht="13.5" customHeight="1" x14ac:dyDescent="0.25">
      <c r="A338" s="382"/>
      <c r="B338" s="355"/>
      <c r="C338" s="450"/>
      <c r="D338" s="450"/>
      <c r="E338" s="355"/>
      <c r="F338" s="355"/>
      <c r="G338" s="355"/>
      <c r="H338" s="355"/>
      <c r="I338" s="355"/>
      <c r="J338" s="355"/>
      <c r="K338" s="355"/>
      <c r="L338" s="355"/>
      <c r="M338" s="355"/>
      <c r="N338" s="355"/>
      <c r="O338" s="355"/>
      <c r="P338" s="355"/>
      <c r="Q338" s="355"/>
      <c r="R338" s="355"/>
      <c r="S338" s="355"/>
      <c r="T338" s="355"/>
      <c r="U338" s="355"/>
      <c r="V338" s="355"/>
      <c r="W338" s="355"/>
      <c r="X338" s="355"/>
      <c r="Y338" s="355"/>
      <c r="Z338" s="355"/>
    </row>
    <row r="339" spans="1:26" ht="13.5" customHeight="1" x14ac:dyDescent="0.25">
      <c r="A339" s="382"/>
      <c r="B339" s="355"/>
      <c r="C339" s="450"/>
      <c r="D339" s="450"/>
      <c r="E339" s="355"/>
      <c r="F339" s="355"/>
      <c r="G339" s="355"/>
      <c r="H339" s="355"/>
      <c r="I339" s="355"/>
      <c r="J339" s="355"/>
      <c r="K339" s="355"/>
      <c r="L339" s="355"/>
      <c r="M339" s="355"/>
      <c r="N339" s="355"/>
      <c r="O339" s="355"/>
      <c r="P339" s="355"/>
      <c r="Q339" s="355"/>
      <c r="R339" s="355"/>
      <c r="S339" s="355"/>
      <c r="T339" s="355"/>
      <c r="U339" s="355"/>
      <c r="V339" s="355"/>
      <c r="W339" s="355"/>
      <c r="X339" s="355"/>
      <c r="Y339" s="355"/>
      <c r="Z339" s="355"/>
    </row>
    <row r="340" spans="1:26" ht="13.5" customHeight="1" x14ac:dyDescent="0.25">
      <c r="A340" s="382"/>
      <c r="B340" s="355"/>
      <c r="C340" s="450"/>
      <c r="D340" s="450"/>
      <c r="E340" s="355"/>
      <c r="F340" s="355"/>
      <c r="G340" s="355"/>
      <c r="H340" s="355"/>
      <c r="I340" s="355"/>
      <c r="J340" s="355"/>
      <c r="K340" s="355"/>
      <c r="L340" s="355"/>
      <c r="M340" s="355"/>
      <c r="N340" s="355"/>
      <c r="O340" s="355"/>
      <c r="P340" s="355"/>
      <c r="Q340" s="355"/>
      <c r="R340" s="355"/>
      <c r="S340" s="355"/>
      <c r="T340" s="355"/>
      <c r="U340" s="355"/>
      <c r="V340" s="355"/>
      <c r="W340" s="355"/>
      <c r="X340" s="355"/>
      <c r="Y340" s="355"/>
      <c r="Z340" s="355"/>
    </row>
    <row r="341" spans="1:26" ht="13.5" customHeight="1" x14ac:dyDescent="0.25">
      <c r="A341" s="382"/>
      <c r="B341" s="355"/>
      <c r="C341" s="450"/>
      <c r="D341" s="450"/>
      <c r="E341" s="355"/>
      <c r="F341" s="355"/>
      <c r="G341" s="355"/>
      <c r="H341" s="355"/>
      <c r="I341" s="355"/>
      <c r="J341" s="355"/>
      <c r="K341" s="355"/>
      <c r="L341" s="355"/>
      <c r="M341" s="355"/>
      <c r="N341" s="355"/>
      <c r="O341" s="355"/>
      <c r="P341" s="355"/>
      <c r="Q341" s="355"/>
      <c r="R341" s="355"/>
      <c r="S341" s="355"/>
      <c r="T341" s="355"/>
      <c r="U341" s="355"/>
      <c r="V341" s="355"/>
      <c r="W341" s="355"/>
      <c r="X341" s="355"/>
      <c r="Y341" s="355"/>
      <c r="Z341" s="355"/>
    </row>
    <row r="342" spans="1:26" ht="13.5" customHeight="1" x14ac:dyDescent="0.25">
      <c r="A342" s="382"/>
      <c r="B342" s="355"/>
      <c r="C342" s="450"/>
      <c r="D342" s="450"/>
      <c r="E342" s="355"/>
      <c r="F342" s="355"/>
      <c r="G342" s="355"/>
      <c r="H342" s="355"/>
      <c r="I342" s="355"/>
      <c r="J342" s="355"/>
      <c r="K342" s="355"/>
      <c r="L342" s="355"/>
      <c r="M342" s="355"/>
      <c r="N342" s="355"/>
      <c r="O342" s="355"/>
      <c r="P342" s="355"/>
      <c r="Q342" s="355"/>
      <c r="R342" s="355"/>
      <c r="S342" s="355"/>
      <c r="T342" s="355"/>
      <c r="U342" s="355"/>
      <c r="V342" s="355"/>
      <c r="W342" s="355"/>
      <c r="X342" s="355"/>
      <c r="Y342" s="355"/>
      <c r="Z342" s="355"/>
    </row>
    <row r="343" spans="1:26" ht="13.5" customHeight="1" x14ac:dyDescent="0.25">
      <c r="A343" s="382"/>
      <c r="B343" s="355"/>
      <c r="C343" s="450"/>
      <c r="D343" s="450"/>
      <c r="E343" s="355"/>
      <c r="F343" s="355"/>
      <c r="G343" s="355"/>
      <c r="H343" s="355"/>
      <c r="I343" s="355"/>
      <c r="J343" s="355"/>
      <c r="K343" s="355"/>
      <c r="L343" s="355"/>
      <c r="M343" s="355"/>
      <c r="N343" s="355"/>
      <c r="O343" s="355"/>
      <c r="P343" s="355"/>
      <c r="Q343" s="355"/>
      <c r="R343" s="355"/>
      <c r="S343" s="355"/>
      <c r="T343" s="355"/>
      <c r="U343" s="355"/>
      <c r="V343" s="355"/>
      <c r="W343" s="355"/>
      <c r="X343" s="355"/>
      <c r="Y343" s="355"/>
      <c r="Z343" s="355"/>
    </row>
    <row r="344" spans="1:26" ht="13.5" customHeight="1" x14ac:dyDescent="0.25">
      <c r="A344" s="382"/>
      <c r="B344" s="355"/>
      <c r="C344" s="450"/>
      <c r="D344" s="450"/>
      <c r="E344" s="355"/>
      <c r="F344" s="355"/>
      <c r="G344" s="355"/>
      <c r="H344" s="355"/>
      <c r="I344" s="355"/>
      <c r="J344" s="355"/>
      <c r="K344" s="355"/>
      <c r="L344" s="355"/>
      <c r="M344" s="355"/>
      <c r="N344" s="355"/>
      <c r="O344" s="355"/>
      <c r="P344" s="355"/>
      <c r="Q344" s="355"/>
      <c r="R344" s="355"/>
      <c r="S344" s="355"/>
      <c r="T344" s="355"/>
      <c r="U344" s="355"/>
      <c r="V344" s="355"/>
      <c r="W344" s="355"/>
      <c r="X344" s="355"/>
      <c r="Y344" s="355"/>
      <c r="Z344" s="355"/>
    </row>
    <row r="345" spans="1:26" ht="13.5" customHeight="1" x14ac:dyDescent="0.25">
      <c r="A345" s="382"/>
      <c r="B345" s="355"/>
      <c r="C345" s="450"/>
      <c r="D345" s="450"/>
      <c r="E345" s="355"/>
      <c r="F345" s="355"/>
      <c r="G345" s="355"/>
      <c r="H345" s="355"/>
      <c r="I345" s="355"/>
      <c r="J345" s="355"/>
      <c r="K345" s="355"/>
      <c r="L345" s="355"/>
      <c r="M345" s="355"/>
      <c r="N345" s="355"/>
      <c r="O345" s="355"/>
      <c r="P345" s="355"/>
      <c r="Q345" s="355"/>
      <c r="R345" s="355"/>
      <c r="S345" s="355"/>
      <c r="T345" s="355"/>
      <c r="U345" s="355"/>
      <c r="V345" s="355"/>
      <c r="W345" s="355"/>
      <c r="X345" s="355"/>
      <c r="Y345" s="355"/>
      <c r="Z345" s="355"/>
    </row>
    <row r="346" spans="1:26" ht="13.5" customHeight="1" x14ac:dyDescent="0.25">
      <c r="A346" s="382"/>
      <c r="B346" s="355"/>
      <c r="C346" s="450"/>
      <c r="D346" s="450"/>
      <c r="E346" s="355"/>
      <c r="F346" s="355"/>
      <c r="G346" s="355"/>
      <c r="H346" s="355"/>
      <c r="I346" s="355"/>
      <c r="J346" s="355"/>
      <c r="K346" s="355"/>
      <c r="L346" s="355"/>
      <c r="M346" s="355"/>
      <c r="N346" s="355"/>
      <c r="O346" s="355"/>
      <c r="P346" s="355"/>
      <c r="Q346" s="355"/>
      <c r="R346" s="355"/>
      <c r="S346" s="355"/>
      <c r="T346" s="355"/>
      <c r="U346" s="355"/>
      <c r="V346" s="355"/>
      <c r="W346" s="355"/>
      <c r="X346" s="355"/>
      <c r="Y346" s="355"/>
      <c r="Z346" s="355"/>
    </row>
    <row r="347" spans="1:26" ht="13.5" customHeight="1" x14ac:dyDescent="0.25">
      <c r="A347" s="382"/>
      <c r="B347" s="355"/>
      <c r="C347" s="450"/>
      <c r="D347" s="450"/>
      <c r="E347" s="355"/>
      <c r="F347" s="355"/>
      <c r="G347" s="355"/>
      <c r="H347" s="355"/>
      <c r="I347" s="355"/>
      <c r="J347" s="355"/>
      <c r="K347" s="355"/>
      <c r="L347" s="355"/>
      <c r="M347" s="355"/>
      <c r="N347" s="355"/>
      <c r="O347" s="355"/>
      <c r="P347" s="355"/>
      <c r="Q347" s="355"/>
      <c r="R347" s="355"/>
      <c r="S347" s="355"/>
      <c r="T347" s="355"/>
      <c r="U347" s="355"/>
      <c r="V347" s="355"/>
      <c r="W347" s="355"/>
      <c r="X347" s="355"/>
      <c r="Y347" s="355"/>
      <c r="Z347" s="355"/>
    </row>
    <row r="348" spans="1:26" ht="13.5" customHeight="1" x14ac:dyDescent="0.25">
      <c r="A348" s="382"/>
      <c r="B348" s="355"/>
      <c r="C348" s="450"/>
      <c r="D348" s="450"/>
      <c r="E348" s="355"/>
      <c r="F348" s="355"/>
      <c r="G348" s="355"/>
      <c r="H348" s="355"/>
      <c r="I348" s="355"/>
      <c r="J348" s="355"/>
      <c r="K348" s="355"/>
      <c r="L348" s="355"/>
      <c r="M348" s="355"/>
      <c r="N348" s="355"/>
      <c r="O348" s="355"/>
      <c r="P348" s="355"/>
      <c r="Q348" s="355"/>
      <c r="R348" s="355"/>
      <c r="S348" s="355"/>
      <c r="T348" s="355"/>
      <c r="U348" s="355"/>
      <c r="V348" s="355"/>
      <c r="W348" s="355"/>
      <c r="X348" s="355"/>
      <c r="Y348" s="355"/>
      <c r="Z348" s="355"/>
    </row>
    <row r="349" spans="1:26" ht="13.5" customHeight="1" x14ac:dyDescent="0.25">
      <c r="A349" s="382"/>
      <c r="B349" s="355"/>
      <c r="C349" s="450"/>
      <c r="D349" s="450"/>
      <c r="E349" s="355"/>
      <c r="F349" s="355"/>
      <c r="G349" s="355"/>
      <c r="H349" s="355"/>
      <c r="I349" s="355"/>
      <c r="J349" s="355"/>
      <c r="K349" s="355"/>
      <c r="L349" s="355"/>
      <c r="M349" s="355"/>
      <c r="N349" s="355"/>
      <c r="O349" s="355"/>
      <c r="P349" s="355"/>
      <c r="Q349" s="355"/>
      <c r="R349" s="355"/>
      <c r="S349" s="355"/>
      <c r="T349" s="355"/>
      <c r="U349" s="355"/>
      <c r="V349" s="355"/>
      <c r="W349" s="355"/>
      <c r="X349" s="355"/>
      <c r="Y349" s="355"/>
      <c r="Z349" s="355"/>
    </row>
    <row r="350" spans="1:26" ht="13.5" customHeight="1" x14ac:dyDescent="0.25">
      <c r="A350" s="382"/>
      <c r="B350" s="355"/>
      <c r="C350" s="450"/>
      <c r="D350" s="450"/>
      <c r="E350" s="355"/>
      <c r="F350" s="355"/>
      <c r="G350" s="355"/>
      <c r="H350" s="355"/>
      <c r="I350" s="355"/>
      <c r="J350" s="355"/>
      <c r="K350" s="355"/>
      <c r="L350" s="355"/>
      <c r="M350" s="355"/>
      <c r="N350" s="355"/>
      <c r="O350" s="355"/>
      <c r="P350" s="355"/>
      <c r="Q350" s="355"/>
      <c r="R350" s="355"/>
      <c r="S350" s="355"/>
      <c r="T350" s="355"/>
      <c r="U350" s="355"/>
      <c r="V350" s="355"/>
      <c r="W350" s="355"/>
      <c r="X350" s="355"/>
      <c r="Y350" s="355"/>
      <c r="Z350" s="355"/>
    </row>
    <row r="351" spans="1:26" ht="13.5" customHeight="1" x14ac:dyDescent="0.25">
      <c r="A351" s="382"/>
      <c r="B351" s="355"/>
      <c r="C351" s="450"/>
      <c r="D351" s="450"/>
      <c r="E351" s="355"/>
      <c r="F351" s="355"/>
      <c r="G351" s="355"/>
      <c r="H351" s="355"/>
      <c r="I351" s="355"/>
      <c r="J351" s="355"/>
      <c r="K351" s="355"/>
      <c r="L351" s="355"/>
      <c r="M351" s="355"/>
      <c r="N351" s="355"/>
      <c r="O351" s="355"/>
      <c r="P351" s="355"/>
      <c r="Q351" s="355"/>
      <c r="R351" s="355"/>
      <c r="S351" s="355"/>
      <c r="T351" s="355"/>
      <c r="U351" s="355"/>
      <c r="V351" s="355"/>
      <c r="W351" s="355"/>
      <c r="X351" s="355"/>
      <c r="Y351" s="355"/>
      <c r="Z351" s="355"/>
    </row>
    <row r="352" spans="1:26" ht="13.5" customHeight="1" x14ac:dyDescent="0.25">
      <c r="A352" s="382"/>
      <c r="B352" s="355"/>
      <c r="C352" s="450"/>
      <c r="D352" s="450"/>
      <c r="E352" s="355"/>
      <c r="F352" s="355"/>
      <c r="G352" s="355"/>
      <c r="H352" s="355"/>
      <c r="I352" s="355"/>
      <c r="J352" s="355"/>
      <c r="K352" s="355"/>
      <c r="L352" s="355"/>
      <c r="M352" s="355"/>
      <c r="N352" s="355"/>
      <c r="O352" s="355"/>
      <c r="P352" s="355"/>
      <c r="Q352" s="355"/>
      <c r="R352" s="355"/>
      <c r="S352" s="355"/>
      <c r="T352" s="355"/>
      <c r="U352" s="355"/>
      <c r="V352" s="355"/>
      <c r="W352" s="355"/>
      <c r="X352" s="355"/>
      <c r="Y352" s="355"/>
      <c r="Z352" s="355"/>
    </row>
    <row r="353" spans="1:26" ht="13.5" customHeight="1" x14ac:dyDescent="0.25">
      <c r="A353" s="382"/>
      <c r="B353" s="355"/>
      <c r="C353" s="450"/>
      <c r="D353" s="450"/>
      <c r="E353" s="355"/>
      <c r="F353" s="355"/>
      <c r="G353" s="355"/>
      <c r="H353" s="355"/>
      <c r="I353" s="355"/>
      <c r="J353" s="355"/>
      <c r="K353" s="355"/>
      <c r="L353" s="355"/>
      <c r="M353" s="355"/>
      <c r="N353" s="355"/>
      <c r="O353" s="355"/>
      <c r="P353" s="355"/>
      <c r="Q353" s="355"/>
      <c r="R353" s="355"/>
      <c r="S353" s="355"/>
      <c r="T353" s="355"/>
      <c r="U353" s="355"/>
      <c r="V353" s="355"/>
      <c r="W353" s="355"/>
      <c r="X353" s="355"/>
      <c r="Y353" s="355"/>
      <c r="Z353" s="355"/>
    </row>
    <row r="354" spans="1:26" ht="13.5" customHeight="1" x14ac:dyDescent="0.25">
      <c r="A354" s="382"/>
      <c r="B354" s="355"/>
      <c r="C354" s="450"/>
      <c r="D354" s="450"/>
      <c r="E354" s="355"/>
      <c r="F354" s="355"/>
      <c r="G354" s="355"/>
      <c r="H354" s="355"/>
      <c r="I354" s="355"/>
      <c r="J354" s="355"/>
      <c r="K354" s="355"/>
      <c r="L354" s="355"/>
      <c r="M354" s="355"/>
      <c r="N354" s="355"/>
      <c r="O354" s="355"/>
      <c r="P354" s="355"/>
      <c r="Q354" s="355"/>
      <c r="R354" s="355"/>
      <c r="S354" s="355"/>
      <c r="T354" s="355"/>
      <c r="U354" s="355"/>
      <c r="V354" s="355"/>
      <c r="W354" s="355"/>
      <c r="X354" s="355"/>
      <c r="Y354" s="355"/>
      <c r="Z354" s="355"/>
    </row>
    <row r="355" spans="1:26" ht="13.5" customHeight="1" x14ac:dyDescent="0.25">
      <c r="A355" s="382"/>
      <c r="B355" s="355"/>
      <c r="C355" s="450"/>
      <c r="D355" s="450"/>
      <c r="E355" s="355"/>
      <c r="F355" s="355"/>
      <c r="G355" s="355"/>
      <c r="H355" s="355"/>
      <c r="I355" s="355"/>
      <c r="J355" s="355"/>
      <c r="K355" s="355"/>
      <c r="L355" s="355"/>
      <c r="M355" s="355"/>
      <c r="N355" s="355"/>
      <c r="O355" s="355"/>
      <c r="P355" s="355"/>
      <c r="Q355" s="355"/>
      <c r="R355" s="355"/>
      <c r="S355" s="355"/>
      <c r="T355" s="355"/>
      <c r="U355" s="355"/>
      <c r="V355" s="355"/>
      <c r="W355" s="355"/>
      <c r="X355" s="355"/>
      <c r="Y355" s="355"/>
      <c r="Z355" s="355"/>
    </row>
    <row r="356" spans="1:26" ht="13.5" customHeight="1" x14ac:dyDescent="0.25">
      <c r="A356" s="382"/>
      <c r="B356" s="355"/>
      <c r="C356" s="450"/>
      <c r="D356" s="450"/>
      <c r="E356" s="355"/>
      <c r="F356" s="355"/>
      <c r="G356" s="355"/>
      <c r="H356" s="355"/>
      <c r="I356" s="355"/>
      <c r="J356" s="355"/>
      <c r="K356" s="355"/>
      <c r="L356" s="355"/>
      <c r="M356" s="355"/>
      <c r="N356" s="355"/>
      <c r="O356" s="355"/>
      <c r="P356" s="355"/>
      <c r="Q356" s="355"/>
      <c r="R356" s="355"/>
      <c r="S356" s="355"/>
      <c r="T356" s="355"/>
      <c r="U356" s="355"/>
      <c r="V356" s="355"/>
      <c r="W356" s="355"/>
      <c r="X356" s="355"/>
      <c r="Y356" s="355"/>
      <c r="Z356" s="355"/>
    </row>
    <row r="357" spans="1:26" ht="13.5" customHeight="1" x14ac:dyDescent="0.25">
      <c r="A357" s="382"/>
      <c r="B357" s="355"/>
      <c r="C357" s="450"/>
      <c r="D357" s="450"/>
      <c r="E357" s="355"/>
      <c r="F357" s="355"/>
      <c r="G357" s="355"/>
      <c r="H357" s="355"/>
      <c r="I357" s="355"/>
      <c r="J357" s="355"/>
      <c r="K357" s="355"/>
      <c r="L357" s="355"/>
      <c r="M357" s="355"/>
      <c r="N357" s="355"/>
      <c r="O357" s="355"/>
      <c r="P357" s="355"/>
      <c r="Q357" s="355"/>
      <c r="R357" s="355"/>
      <c r="S357" s="355"/>
      <c r="T357" s="355"/>
      <c r="U357" s="355"/>
      <c r="V357" s="355"/>
      <c r="W357" s="355"/>
      <c r="X357" s="355"/>
      <c r="Y357" s="355"/>
      <c r="Z357" s="355"/>
    </row>
    <row r="358" spans="1:26" ht="13.5" customHeight="1" x14ac:dyDescent="0.25">
      <c r="A358" s="382"/>
      <c r="B358" s="355"/>
      <c r="C358" s="450"/>
      <c r="D358" s="450"/>
      <c r="E358" s="355"/>
      <c r="F358" s="355"/>
      <c r="G358" s="355"/>
      <c r="H358" s="355"/>
      <c r="I358" s="355"/>
      <c r="J358" s="355"/>
      <c r="K358" s="355"/>
      <c r="L358" s="355"/>
      <c r="M358" s="355"/>
      <c r="N358" s="355"/>
      <c r="O358" s="355"/>
      <c r="P358" s="355"/>
      <c r="Q358" s="355"/>
      <c r="R358" s="355"/>
      <c r="S358" s="355"/>
      <c r="T358" s="355"/>
      <c r="U358" s="355"/>
      <c r="V358" s="355"/>
      <c r="W358" s="355"/>
      <c r="X358" s="355"/>
      <c r="Y358" s="355"/>
      <c r="Z358" s="355"/>
    </row>
    <row r="359" spans="1:26" ht="13.5" customHeight="1" x14ac:dyDescent="0.25">
      <c r="A359" s="382"/>
      <c r="B359" s="355"/>
      <c r="C359" s="450"/>
      <c r="D359" s="450"/>
      <c r="E359" s="355"/>
      <c r="F359" s="355"/>
      <c r="G359" s="355"/>
      <c r="H359" s="355"/>
      <c r="I359" s="355"/>
      <c r="J359" s="355"/>
      <c r="K359" s="355"/>
      <c r="L359" s="355"/>
      <c r="M359" s="355"/>
      <c r="N359" s="355"/>
      <c r="O359" s="355"/>
      <c r="P359" s="355"/>
      <c r="Q359" s="355"/>
      <c r="R359" s="355"/>
      <c r="S359" s="355"/>
      <c r="T359" s="355"/>
      <c r="U359" s="355"/>
      <c r="V359" s="355"/>
      <c r="W359" s="355"/>
      <c r="X359" s="355"/>
      <c r="Y359" s="355"/>
      <c r="Z359" s="355"/>
    </row>
    <row r="360" spans="1:26" ht="13.5" customHeight="1" x14ac:dyDescent="0.25">
      <c r="A360" s="382"/>
      <c r="B360" s="355"/>
      <c r="C360" s="450"/>
      <c r="D360" s="450"/>
      <c r="E360" s="355"/>
      <c r="F360" s="355"/>
      <c r="G360" s="355"/>
      <c r="H360" s="355"/>
      <c r="I360" s="355"/>
      <c r="J360" s="355"/>
      <c r="K360" s="355"/>
      <c r="L360" s="355"/>
      <c r="M360" s="355"/>
      <c r="N360" s="355"/>
      <c r="O360" s="355"/>
      <c r="P360" s="355"/>
      <c r="Q360" s="355"/>
      <c r="R360" s="355"/>
      <c r="S360" s="355"/>
      <c r="T360" s="355"/>
      <c r="U360" s="355"/>
      <c r="V360" s="355"/>
      <c r="W360" s="355"/>
      <c r="X360" s="355"/>
      <c r="Y360" s="355"/>
      <c r="Z360" s="355"/>
    </row>
    <row r="361" spans="1:26" ht="13.5" customHeight="1" x14ac:dyDescent="0.25">
      <c r="A361" s="382"/>
      <c r="B361" s="355"/>
      <c r="C361" s="450"/>
      <c r="D361" s="450"/>
      <c r="E361" s="355"/>
      <c r="F361" s="355"/>
      <c r="G361" s="355"/>
      <c r="H361" s="355"/>
      <c r="I361" s="355"/>
      <c r="J361" s="355"/>
      <c r="K361" s="355"/>
      <c r="L361" s="355"/>
      <c r="M361" s="355"/>
      <c r="N361" s="355"/>
      <c r="O361" s="355"/>
      <c r="P361" s="355"/>
      <c r="Q361" s="355"/>
      <c r="R361" s="355"/>
      <c r="S361" s="355"/>
      <c r="T361" s="355"/>
      <c r="U361" s="355"/>
      <c r="V361" s="355"/>
      <c r="W361" s="355"/>
      <c r="X361" s="355"/>
      <c r="Y361" s="355"/>
      <c r="Z361" s="355"/>
    </row>
    <row r="362" spans="1:26" ht="13.5" customHeight="1" x14ac:dyDescent="0.25">
      <c r="A362" s="382"/>
      <c r="B362" s="355"/>
      <c r="C362" s="450"/>
      <c r="D362" s="450"/>
      <c r="E362" s="355"/>
      <c r="F362" s="355"/>
      <c r="G362" s="355"/>
      <c r="H362" s="355"/>
      <c r="I362" s="355"/>
      <c r="J362" s="355"/>
      <c r="K362" s="355"/>
      <c r="L362" s="355"/>
      <c r="M362" s="355"/>
      <c r="N362" s="355"/>
      <c r="O362" s="355"/>
      <c r="P362" s="355"/>
      <c r="Q362" s="355"/>
      <c r="R362" s="355"/>
      <c r="S362" s="355"/>
      <c r="T362" s="355"/>
      <c r="U362" s="355"/>
      <c r="V362" s="355"/>
      <c r="W362" s="355"/>
      <c r="X362" s="355"/>
      <c r="Y362" s="355"/>
      <c r="Z362" s="355"/>
    </row>
    <row r="363" spans="1:26" ht="13.5" customHeight="1" x14ac:dyDescent="0.25">
      <c r="A363" s="382"/>
      <c r="B363" s="355"/>
      <c r="C363" s="450"/>
      <c r="D363" s="450"/>
      <c r="E363" s="355"/>
      <c r="F363" s="355"/>
      <c r="G363" s="355"/>
      <c r="H363" s="355"/>
      <c r="I363" s="355"/>
      <c r="J363" s="355"/>
      <c r="K363" s="355"/>
      <c r="L363" s="355"/>
      <c r="M363" s="355"/>
      <c r="N363" s="355"/>
      <c r="O363" s="355"/>
      <c r="P363" s="355"/>
      <c r="Q363" s="355"/>
      <c r="R363" s="355"/>
      <c r="S363" s="355"/>
      <c r="T363" s="355"/>
      <c r="U363" s="355"/>
      <c r="V363" s="355"/>
      <c r="W363" s="355"/>
      <c r="X363" s="355"/>
      <c r="Y363" s="355"/>
      <c r="Z363" s="355"/>
    </row>
    <row r="364" spans="1:26" ht="13.5" customHeight="1" x14ac:dyDescent="0.25">
      <c r="A364" s="382"/>
      <c r="B364" s="355"/>
      <c r="C364" s="450"/>
      <c r="D364" s="450"/>
      <c r="E364" s="355"/>
      <c r="F364" s="355"/>
      <c r="G364" s="355"/>
      <c r="H364" s="355"/>
      <c r="I364" s="355"/>
      <c r="J364" s="355"/>
      <c r="K364" s="355"/>
      <c r="L364" s="355"/>
      <c r="M364" s="355"/>
      <c r="N364" s="355"/>
      <c r="O364" s="355"/>
      <c r="P364" s="355"/>
      <c r="Q364" s="355"/>
      <c r="R364" s="355"/>
      <c r="S364" s="355"/>
      <c r="T364" s="355"/>
      <c r="U364" s="355"/>
      <c r="V364" s="355"/>
      <c r="W364" s="355"/>
      <c r="X364" s="355"/>
      <c r="Y364" s="355"/>
      <c r="Z364" s="355"/>
    </row>
    <row r="365" spans="1:26" ht="13.5" customHeight="1" x14ac:dyDescent="0.25">
      <c r="A365" s="382"/>
      <c r="B365" s="355"/>
      <c r="C365" s="450"/>
      <c r="D365" s="450"/>
      <c r="E365" s="355"/>
      <c r="F365" s="355"/>
      <c r="G365" s="355"/>
      <c r="H365" s="355"/>
      <c r="I365" s="355"/>
      <c r="J365" s="355"/>
      <c r="K365" s="355"/>
      <c r="L365" s="355"/>
      <c r="M365" s="355"/>
      <c r="N365" s="355"/>
      <c r="O365" s="355"/>
      <c r="P365" s="355"/>
      <c r="Q365" s="355"/>
      <c r="R365" s="355"/>
      <c r="S365" s="355"/>
      <c r="T365" s="355"/>
      <c r="U365" s="355"/>
      <c r="V365" s="355"/>
      <c r="W365" s="355"/>
      <c r="X365" s="355"/>
      <c r="Y365" s="355"/>
      <c r="Z365" s="355"/>
    </row>
    <row r="366" spans="1:26" ht="13.5" customHeight="1" x14ac:dyDescent="0.25">
      <c r="A366" s="382"/>
      <c r="B366" s="355"/>
      <c r="C366" s="450"/>
      <c r="D366" s="450"/>
      <c r="E366" s="355"/>
      <c r="F366" s="355"/>
      <c r="G366" s="355"/>
      <c r="H366" s="355"/>
      <c r="I366" s="355"/>
      <c r="J366" s="355"/>
      <c r="K366" s="355"/>
      <c r="L366" s="355"/>
      <c r="M366" s="355"/>
      <c r="N366" s="355"/>
      <c r="O366" s="355"/>
      <c r="P366" s="355"/>
      <c r="Q366" s="355"/>
      <c r="R366" s="355"/>
      <c r="S366" s="355"/>
      <c r="T366" s="355"/>
      <c r="U366" s="355"/>
      <c r="V366" s="355"/>
      <c r="W366" s="355"/>
      <c r="X366" s="355"/>
      <c r="Y366" s="355"/>
      <c r="Z366" s="355"/>
    </row>
    <row r="367" spans="1:26" ht="13.5" customHeight="1" x14ac:dyDescent="0.25">
      <c r="A367" s="382"/>
      <c r="B367" s="355"/>
      <c r="C367" s="450"/>
      <c r="D367" s="450"/>
      <c r="E367" s="355"/>
      <c r="F367" s="355"/>
      <c r="G367" s="355"/>
      <c r="H367" s="355"/>
      <c r="I367" s="355"/>
      <c r="J367" s="355"/>
      <c r="K367" s="355"/>
      <c r="L367" s="355"/>
      <c r="M367" s="355"/>
      <c r="N367" s="355"/>
      <c r="O367" s="355"/>
      <c r="P367" s="355"/>
      <c r="Q367" s="355"/>
      <c r="R367" s="355"/>
      <c r="S367" s="355"/>
      <c r="T367" s="355"/>
      <c r="U367" s="355"/>
      <c r="V367" s="355"/>
      <c r="W367" s="355"/>
      <c r="X367" s="355"/>
      <c r="Y367" s="355"/>
      <c r="Z367" s="355"/>
    </row>
    <row r="368" spans="1:26" ht="13.5" customHeight="1" x14ac:dyDescent="0.25">
      <c r="A368" s="382"/>
      <c r="B368" s="355"/>
      <c r="C368" s="450"/>
      <c r="D368" s="450"/>
      <c r="E368" s="355"/>
      <c r="F368" s="355"/>
      <c r="G368" s="355"/>
      <c r="H368" s="355"/>
      <c r="I368" s="355"/>
      <c r="J368" s="355"/>
      <c r="K368" s="355"/>
      <c r="L368" s="355"/>
      <c r="M368" s="355"/>
      <c r="N368" s="355"/>
      <c r="O368" s="355"/>
      <c r="P368" s="355"/>
      <c r="Q368" s="355"/>
      <c r="R368" s="355"/>
      <c r="S368" s="355"/>
      <c r="T368" s="355"/>
      <c r="U368" s="355"/>
      <c r="V368" s="355"/>
      <c r="W368" s="355"/>
      <c r="X368" s="355"/>
      <c r="Y368" s="355"/>
      <c r="Z368" s="355"/>
    </row>
    <row r="369" spans="1:26" ht="13.5" customHeight="1" x14ac:dyDescent="0.25">
      <c r="A369" s="382"/>
      <c r="B369" s="355"/>
      <c r="C369" s="450"/>
      <c r="D369" s="450"/>
      <c r="E369" s="355"/>
      <c r="F369" s="355"/>
      <c r="G369" s="355"/>
      <c r="H369" s="355"/>
      <c r="I369" s="355"/>
      <c r="J369" s="355"/>
      <c r="K369" s="355"/>
      <c r="L369" s="355"/>
      <c r="M369" s="355"/>
      <c r="N369" s="355"/>
      <c r="O369" s="355"/>
      <c r="P369" s="355"/>
      <c r="Q369" s="355"/>
      <c r="R369" s="355"/>
      <c r="S369" s="355"/>
      <c r="T369" s="355"/>
      <c r="U369" s="355"/>
      <c r="V369" s="355"/>
      <c r="W369" s="355"/>
      <c r="X369" s="355"/>
      <c r="Y369" s="355"/>
      <c r="Z369" s="355"/>
    </row>
    <row r="370" spans="1:26" ht="13.5" customHeight="1" x14ac:dyDescent="0.25">
      <c r="A370" s="382"/>
      <c r="B370" s="355"/>
      <c r="C370" s="450"/>
      <c r="D370" s="450"/>
      <c r="E370" s="355"/>
      <c r="F370" s="355"/>
      <c r="G370" s="355"/>
      <c r="H370" s="355"/>
      <c r="I370" s="355"/>
      <c r="J370" s="355"/>
      <c r="K370" s="355"/>
      <c r="L370" s="355"/>
      <c r="M370" s="355"/>
      <c r="N370" s="355"/>
      <c r="O370" s="355"/>
      <c r="P370" s="355"/>
      <c r="Q370" s="355"/>
      <c r="R370" s="355"/>
      <c r="S370" s="355"/>
      <c r="T370" s="355"/>
      <c r="U370" s="355"/>
      <c r="V370" s="355"/>
      <c r="W370" s="355"/>
      <c r="X370" s="355"/>
      <c r="Y370" s="355"/>
      <c r="Z370" s="355"/>
    </row>
    <row r="371" spans="1:26" ht="13.5" customHeight="1" x14ac:dyDescent="0.25">
      <c r="A371" s="382"/>
      <c r="B371" s="355"/>
      <c r="C371" s="450"/>
      <c r="D371" s="450"/>
      <c r="E371" s="355"/>
      <c r="F371" s="355"/>
      <c r="G371" s="355"/>
      <c r="H371" s="355"/>
      <c r="I371" s="355"/>
      <c r="J371" s="355"/>
      <c r="K371" s="355"/>
      <c r="L371" s="355"/>
      <c r="M371" s="355"/>
      <c r="N371" s="355"/>
      <c r="O371" s="355"/>
      <c r="P371" s="355"/>
      <c r="Q371" s="355"/>
      <c r="R371" s="355"/>
      <c r="S371" s="355"/>
      <c r="T371" s="355"/>
      <c r="U371" s="355"/>
      <c r="V371" s="355"/>
      <c r="W371" s="355"/>
      <c r="X371" s="355"/>
      <c r="Y371" s="355"/>
      <c r="Z371" s="355"/>
    </row>
    <row r="372" spans="1:26" ht="13.5" customHeight="1" x14ac:dyDescent="0.25">
      <c r="A372" s="382"/>
      <c r="B372" s="355"/>
      <c r="C372" s="450"/>
      <c r="D372" s="450"/>
      <c r="E372" s="355"/>
      <c r="F372" s="355"/>
      <c r="G372" s="355"/>
      <c r="H372" s="355"/>
      <c r="I372" s="355"/>
      <c r="J372" s="355"/>
      <c r="K372" s="355"/>
      <c r="L372" s="355"/>
      <c r="M372" s="355"/>
      <c r="N372" s="355"/>
      <c r="O372" s="355"/>
      <c r="P372" s="355"/>
      <c r="Q372" s="355"/>
      <c r="R372" s="355"/>
      <c r="S372" s="355"/>
      <c r="T372" s="355"/>
      <c r="U372" s="355"/>
      <c r="V372" s="355"/>
      <c r="W372" s="355"/>
      <c r="X372" s="355"/>
      <c r="Y372" s="355"/>
      <c r="Z372" s="355"/>
    </row>
    <row r="373" spans="1:26" ht="13.5" customHeight="1" x14ac:dyDescent="0.25">
      <c r="A373" s="382"/>
      <c r="B373" s="355"/>
      <c r="C373" s="450"/>
      <c r="D373" s="450"/>
      <c r="E373" s="355"/>
      <c r="F373" s="355"/>
      <c r="G373" s="355"/>
      <c r="H373" s="355"/>
      <c r="I373" s="355"/>
      <c r="J373" s="355"/>
      <c r="K373" s="355"/>
      <c r="L373" s="355"/>
      <c r="M373" s="355"/>
      <c r="N373" s="355"/>
      <c r="O373" s="355"/>
      <c r="P373" s="355"/>
      <c r="Q373" s="355"/>
      <c r="R373" s="355"/>
      <c r="S373" s="355"/>
      <c r="T373" s="355"/>
      <c r="U373" s="355"/>
      <c r="V373" s="355"/>
      <c r="W373" s="355"/>
      <c r="X373" s="355"/>
      <c r="Y373" s="355"/>
      <c r="Z373" s="355"/>
    </row>
    <row r="374" spans="1:26" ht="13.5" customHeight="1" x14ac:dyDescent="0.25">
      <c r="A374" s="382"/>
      <c r="B374" s="355"/>
      <c r="C374" s="450"/>
      <c r="D374" s="450"/>
      <c r="E374" s="355"/>
      <c r="F374" s="355"/>
      <c r="G374" s="355"/>
      <c r="H374" s="355"/>
      <c r="I374" s="355"/>
      <c r="J374" s="355"/>
      <c r="K374" s="355"/>
      <c r="L374" s="355"/>
      <c r="M374" s="355"/>
      <c r="N374" s="355"/>
      <c r="O374" s="355"/>
      <c r="P374" s="355"/>
      <c r="Q374" s="355"/>
      <c r="R374" s="355"/>
      <c r="S374" s="355"/>
      <c r="T374" s="355"/>
      <c r="U374" s="355"/>
      <c r="V374" s="355"/>
      <c r="W374" s="355"/>
      <c r="X374" s="355"/>
      <c r="Y374" s="355"/>
      <c r="Z374" s="355"/>
    </row>
    <row r="375" spans="1:26" ht="13.5" customHeight="1" x14ac:dyDescent="0.25">
      <c r="A375" s="382"/>
      <c r="B375" s="355"/>
      <c r="C375" s="450"/>
      <c r="D375" s="450"/>
      <c r="E375" s="355"/>
      <c r="F375" s="355"/>
      <c r="G375" s="355"/>
      <c r="H375" s="355"/>
      <c r="I375" s="355"/>
      <c r="J375" s="355"/>
      <c r="K375" s="355"/>
      <c r="L375" s="355"/>
      <c r="M375" s="355"/>
      <c r="N375" s="355"/>
      <c r="O375" s="355"/>
      <c r="P375" s="355"/>
      <c r="Q375" s="355"/>
      <c r="R375" s="355"/>
      <c r="S375" s="355"/>
      <c r="T375" s="355"/>
      <c r="U375" s="355"/>
      <c r="V375" s="355"/>
      <c r="W375" s="355"/>
      <c r="X375" s="355"/>
      <c r="Y375" s="355"/>
      <c r="Z375" s="355"/>
    </row>
    <row r="376" spans="1:26" ht="13.5" customHeight="1" x14ac:dyDescent="0.25">
      <c r="A376" s="382"/>
      <c r="B376" s="355"/>
      <c r="C376" s="450"/>
      <c r="D376" s="450"/>
      <c r="E376" s="355"/>
      <c r="F376" s="355"/>
      <c r="G376" s="355"/>
      <c r="H376" s="355"/>
      <c r="I376" s="355"/>
      <c r="J376" s="355"/>
      <c r="K376" s="355"/>
      <c r="L376" s="355"/>
      <c r="M376" s="355"/>
      <c r="N376" s="355"/>
      <c r="O376" s="355"/>
      <c r="P376" s="355"/>
      <c r="Q376" s="355"/>
      <c r="R376" s="355"/>
      <c r="S376" s="355"/>
      <c r="T376" s="355"/>
      <c r="U376" s="355"/>
      <c r="V376" s="355"/>
      <c r="W376" s="355"/>
      <c r="X376" s="355"/>
      <c r="Y376" s="355"/>
      <c r="Z376" s="355"/>
    </row>
    <row r="377" spans="1:26" ht="13.5" customHeight="1" x14ac:dyDescent="0.25">
      <c r="A377" s="382"/>
      <c r="B377" s="355"/>
      <c r="C377" s="450"/>
      <c r="D377" s="450"/>
      <c r="E377" s="355"/>
      <c r="F377" s="355"/>
      <c r="G377" s="355"/>
      <c r="H377" s="355"/>
      <c r="I377" s="355"/>
      <c r="J377" s="355"/>
      <c r="K377" s="355"/>
      <c r="L377" s="355"/>
      <c r="M377" s="355"/>
      <c r="N377" s="355"/>
      <c r="O377" s="355"/>
      <c r="P377" s="355"/>
      <c r="Q377" s="355"/>
      <c r="R377" s="355"/>
      <c r="S377" s="355"/>
      <c r="T377" s="355"/>
      <c r="U377" s="355"/>
      <c r="V377" s="355"/>
      <c r="W377" s="355"/>
      <c r="X377" s="355"/>
      <c r="Y377" s="355"/>
      <c r="Z377" s="355"/>
    </row>
    <row r="378" spans="1:26" ht="13.5" customHeight="1" x14ac:dyDescent="0.25">
      <c r="A378" s="382"/>
      <c r="B378" s="355"/>
      <c r="C378" s="450"/>
      <c r="D378" s="450"/>
      <c r="E378" s="355"/>
      <c r="F378" s="355"/>
      <c r="G378" s="355"/>
      <c r="H378" s="355"/>
      <c r="I378" s="355"/>
      <c r="J378" s="355"/>
      <c r="K378" s="355"/>
      <c r="L378" s="355"/>
      <c r="M378" s="355"/>
      <c r="N378" s="355"/>
      <c r="O378" s="355"/>
      <c r="P378" s="355"/>
      <c r="Q378" s="355"/>
      <c r="R378" s="355"/>
      <c r="S378" s="355"/>
      <c r="T378" s="355"/>
      <c r="U378" s="355"/>
      <c r="V378" s="355"/>
      <c r="W378" s="355"/>
      <c r="X378" s="355"/>
      <c r="Y378" s="355"/>
      <c r="Z378" s="355"/>
    </row>
    <row r="379" spans="1:26" ht="13.5" customHeight="1" x14ac:dyDescent="0.25">
      <c r="A379" s="382"/>
      <c r="B379" s="355"/>
      <c r="C379" s="450"/>
      <c r="D379" s="450"/>
      <c r="E379" s="355"/>
      <c r="F379" s="355"/>
      <c r="G379" s="355"/>
      <c r="H379" s="355"/>
      <c r="I379" s="355"/>
      <c r="J379" s="355"/>
      <c r="K379" s="355"/>
      <c r="L379" s="355"/>
      <c r="M379" s="355"/>
      <c r="N379" s="355"/>
      <c r="O379" s="355"/>
      <c r="P379" s="355"/>
      <c r="Q379" s="355"/>
      <c r="R379" s="355"/>
      <c r="S379" s="355"/>
      <c r="T379" s="355"/>
      <c r="U379" s="355"/>
      <c r="V379" s="355"/>
      <c r="W379" s="355"/>
      <c r="X379" s="355"/>
      <c r="Y379" s="355"/>
      <c r="Z379" s="355"/>
    </row>
    <row r="380" spans="1:26" ht="13.5" customHeight="1" x14ac:dyDescent="0.25">
      <c r="A380" s="382"/>
      <c r="B380" s="355"/>
      <c r="C380" s="450"/>
      <c r="D380" s="450"/>
      <c r="E380" s="355"/>
      <c r="F380" s="355"/>
      <c r="G380" s="355"/>
      <c r="H380" s="355"/>
      <c r="I380" s="355"/>
      <c r="J380" s="355"/>
      <c r="K380" s="355"/>
      <c r="L380" s="355"/>
      <c r="M380" s="355"/>
      <c r="N380" s="355"/>
      <c r="O380" s="355"/>
      <c r="P380" s="355"/>
      <c r="Q380" s="355"/>
      <c r="R380" s="355"/>
      <c r="S380" s="355"/>
      <c r="T380" s="355"/>
      <c r="U380" s="355"/>
      <c r="V380" s="355"/>
      <c r="W380" s="355"/>
      <c r="X380" s="355"/>
      <c r="Y380" s="355"/>
      <c r="Z380" s="355"/>
    </row>
    <row r="381" spans="1:26" ht="13.5" customHeight="1" x14ac:dyDescent="0.25">
      <c r="A381" s="382"/>
      <c r="B381" s="355"/>
      <c r="C381" s="450"/>
      <c r="D381" s="450"/>
      <c r="E381" s="355"/>
      <c r="F381" s="355"/>
      <c r="G381" s="355"/>
      <c r="H381" s="355"/>
      <c r="I381" s="355"/>
      <c r="J381" s="355"/>
      <c r="K381" s="355"/>
      <c r="L381" s="355"/>
      <c r="M381" s="355"/>
      <c r="N381" s="355"/>
      <c r="O381" s="355"/>
      <c r="P381" s="355"/>
      <c r="Q381" s="355"/>
      <c r="R381" s="355"/>
      <c r="S381" s="355"/>
      <c r="T381" s="355"/>
      <c r="U381" s="355"/>
      <c r="V381" s="355"/>
      <c r="W381" s="355"/>
      <c r="X381" s="355"/>
      <c r="Y381" s="355"/>
      <c r="Z381" s="355"/>
    </row>
    <row r="382" spans="1:26" ht="13.5" customHeight="1" x14ac:dyDescent="0.25">
      <c r="A382" s="382"/>
      <c r="B382" s="355"/>
      <c r="C382" s="450"/>
      <c r="D382" s="450"/>
      <c r="E382" s="355"/>
      <c r="F382" s="355"/>
      <c r="G382" s="355"/>
      <c r="H382" s="355"/>
      <c r="I382" s="355"/>
      <c r="J382" s="355"/>
      <c r="K382" s="355"/>
      <c r="L382" s="355"/>
      <c r="M382" s="355"/>
      <c r="N382" s="355"/>
      <c r="O382" s="355"/>
      <c r="P382" s="355"/>
      <c r="Q382" s="355"/>
      <c r="R382" s="355"/>
      <c r="S382" s="355"/>
      <c r="T382" s="355"/>
      <c r="U382" s="355"/>
      <c r="V382" s="355"/>
      <c r="W382" s="355"/>
      <c r="X382" s="355"/>
      <c r="Y382" s="355"/>
      <c r="Z382" s="355"/>
    </row>
    <row r="383" spans="1:26" ht="13.5" customHeight="1" x14ac:dyDescent="0.25">
      <c r="A383" s="382"/>
      <c r="B383" s="355"/>
      <c r="C383" s="450"/>
      <c r="D383" s="450"/>
      <c r="E383" s="355"/>
      <c r="F383" s="355"/>
      <c r="G383" s="355"/>
      <c r="H383" s="355"/>
      <c r="I383" s="355"/>
      <c r="J383" s="355"/>
      <c r="K383" s="355"/>
      <c r="L383" s="355"/>
      <c r="M383" s="355"/>
      <c r="N383" s="355"/>
      <c r="O383" s="355"/>
      <c r="P383" s="355"/>
      <c r="Q383" s="355"/>
      <c r="R383" s="355"/>
      <c r="S383" s="355"/>
      <c r="T383" s="355"/>
      <c r="U383" s="355"/>
      <c r="V383" s="355"/>
      <c r="W383" s="355"/>
      <c r="X383" s="355"/>
      <c r="Y383" s="355"/>
      <c r="Z383" s="355"/>
    </row>
    <row r="384" spans="1:26" ht="13.5" customHeight="1" x14ac:dyDescent="0.25">
      <c r="A384" s="382"/>
      <c r="B384" s="355"/>
      <c r="C384" s="450"/>
      <c r="D384" s="450"/>
      <c r="E384" s="355"/>
      <c r="F384" s="355"/>
      <c r="G384" s="355"/>
      <c r="H384" s="355"/>
      <c r="I384" s="355"/>
      <c r="J384" s="355"/>
      <c r="K384" s="355"/>
      <c r="L384" s="355"/>
      <c r="M384" s="355"/>
      <c r="N384" s="355"/>
      <c r="O384" s="355"/>
      <c r="P384" s="355"/>
      <c r="Q384" s="355"/>
      <c r="R384" s="355"/>
      <c r="S384" s="355"/>
      <c r="T384" s="355"/>
      <c r="U384" s="355"/>
      <c r="V384" s="355"/>
      <c r="W384" s="355"/>
      <c r="X384" s="355"/>
      <c r="Y384" s="355"/>
      <c r="Z384" s="355"/>
    </row>
    <row r="385" spans="1:26" ht="13.5" customHeight="1" x14ac:dyDescent="0.25">
      <c r="A385" s="382"/>
      <c r="B385" s="355"/>
      <c r="C385" s="450"/>
      <c r="D385" s="450"/>
      <c r="E385" s="355"/>
      <c r="F385" s="355"/>
      <c r="G385" s="355"/>
      <c r="H385" s="355"/>
      <c r="I385" s="355"/>
      <c r="J385" s="355"/>
      <c r="K385" s="355"/>
      <c r="L385" s="355"/>
      <c r="M385" s="355"/>
      <c r="N385" s="355"/>
      <c r="O385" s="355"/>
      <c r="P385" s="355"/>
      <c r="Q385" s="355"/>
      <c r="R385" s="355"/>
      <c r="S385" s="355"/>
      <c r="T385" s="355"/>
      <c r="U385" s="355"/>
      <c r="V385" s="355"/>
      <c r="W385" s="355"/>
      <c r="X385" s="355"/>
      <c r="Y385" s="355"/>
      <c r="Z385" s="355"/>
    </row>
    <row r="386" spans="1:26" ht="13.5" customHeight="1" x14ac:dyDescent="0.25">
      <c r="A386" s="382"/>
      <c r="B386" s="355"/>
      <c r="C386" s="450"/>
      <c r="D386" s="450"/>
      <c r="E386" s="355"/>
      <c r="F386" s="355"/>
      <c r="G386" s="355"/>
      <c r="H386" s="355"/>
      <c r="I386" s="355"/>
      <c r="J386" s="355"/>
      <c r="K386" s="355"/>
      <c r="L386" s="355"/>
      <c r="M386" s="355"/>
      <c r="N386" s="355"/>
      <c r="O386" s="355"/>
      <c r="P386" s="355"/>
      <c r="Q386" s="355"/>
      <c r="R386" s="355"/>
      <c r="S386" s="355"/>
      <c r="T386" s="355"/>
      <c r="U386" s="355"/>
      <c r="V386" s="355"/>
      <c r="W386" s="355"/>
      <c r="X386" s="355"/>
      <c r="Y386" s="355"/>
      <c r="Z386" s="355"/>
    </row>
    <row r="387" spans="1:26" ht="13.5" customHeight="1" x14ac:dyDescent="0.25">
      <c r="A387" s="382"/>
      <c r="B387" s="355"/>
      <c r="C387" s="450"/>
      <c r="D387" s="450"/>
      <c r="E387" s="355"/>
      <c r="F387" s="355"/>
      <c r="G387" s="355"/>
      <c r="H387" s="355"/>
      <c r="I387" s="355"/>
      <c r="J387" s="355"/>
      <c r="K387" s="355"/>
      <c r="L387" s="355"/>
      <c r="M387" s="355"/>
      <c r="N387" s="355"/>
      <c r="O387" s="355"/>
      <c r="P387" s="355"/>
      <c r="Q387" s="355"/>
      <c r="R387" s="355"/>
      <c r="S387" s="355"/>
      <c r="T387" s="355"/>
      <c r="U387" s="355"/>
      <c r="V387" s="355"/>
      <c r="W387" s="355"/>
      <c r="X387" s="355"/>
      <c r="Y387" s="355"/>
      <c r="Z387" s="355"/>
    </row>
    <row r="388" spans="1:26" ht="13.5" customHeight="1" x14ac:dyDescent="0.25">
      <c r="A388" s="382"/>
      <c r="B388" s="355"/>
      <c r="C388" s="450"/>
      <c r="D388" s="450"/>
      <c r="E388" s="355"/>
      <c r="F388" s="355"/>
      <c r="G388" s="355"/>
      <c r="H388" s="355"/>
      <c r="I388" s="355"/>
      <c r="J388" s="355"/>
      <c r="K388" s="355"/>
      <c r="L388" s="355"/>
      <c r="M388" s="355"/>
      <c r="N388" s="355"/>
      <c r="O388" s="355"/>
      <c r="P388" s="355"/>
      <c r="Q388" s="355"/>
      <c r="R388" s="355"/>
      <c r="S388" s="355"/>
      <c r="T388" s="355"/>
      <c r="U388" s="355"/>
      <c r="V388" s="355"/>
      <c r="W388" s="355"/>
      <c r="X388" s="355"/>
      <c r="Y388" s="355"/>
      <c r="Z388" s="355"/>
    </row>
    <row r="389" spans="1:26" ht="13.5" customHeight="1" x14ac:dyDescent="0.25">
      <c r="A389" s="382"/>
      <c r="B389" s="355"/>
      <c r="C389" s="450"/>
      <c r="D389" s="450"/>
      <c r="E389" s="355"/>
      <c r="F389" s="355"/>
      <c r="G389" s="355"/>
      <c r="H389" s="355"/>
      <c r="I389" s="355"/>
      <c r="J389" s="355"/>
      <c r="K389" s="355"/>
      <c r="L389" s="355"/>
      <c r="M389" s="355"/>
      <c r="N389" s="355"/>
      <c r="O389" s="355"/>
      <c r="P389" s="355"/>
      <c r="Q389" s="355"/>
      <c r="R389" s="355"/>
      <c r="S389" s="355"/>
      <c r="T389" s="355"/>
      <c r="U389" s="355"/>
      <c r="V389" s="355"/>
      <c r="W389" s="355"/>
      <c r="X389" s="355"/>
      <c r="Y389" s="355"/>
      <c r="Z389" s="355"/>
    </row>
    <row r="390" spans="1:26" ht="13.5" customHeight="1" x14ac:dyDescent="0.25">
      <c r="A390" s="382"/>
      <c r="B390" s="355"/>
      <c r="C390" s="450"/>
      <c r="D390" s="450"/>
      <c r="E390" s="355"/>
      <c r="F390" s="355"/>
      <c r="G390" s="355"/>
      <c r="H390" s="355"/>
      <c r="I390" s="355"/>
      <c r="J390" s="355"/>
      <c r="K390" s="355"/>
      <c r="L390" s="355"/>
      <c r="M390" s="355"/>
      <c r="N390" s="355"/>
      <c r="O390" s="355"/>
      <c r="P390" s="355"/>
      <c r="Q390" s="355"/>
      <c r="R390" s="355"/>
      <c r="S390" s="355"/>
      <c r="T390" s="355"/>
      <c r="U390" s="355"/>
      <c r="V390" s="355"/>
      <c r="W390" s="355"/>
      <c r="X390" s="355"/>
      <c r="Y390" s="355"/>
      <c r="Z390" s="355"/>
    </row>
    <row r="391" spans="1:26" ht="13.5" customHeight="1" x14ac:dyDescent="0.25">
      <c r="A391" s="382"/>
      <c r="B391" s="355"/>
      <c r="C391" s="450"/>
      <c r="D391" s="450"/>
      <c r="E391" s="355"/>
      <c r="F391" s="355"/>
      <c r="G391" s="355"/>
      <c r="H391" s="355"/>
      <c r="I391" s="355"/>
      <c r="J391" s="355"/>
      <c r="K391" s="355"/>
      <c r="L391" s="355"/>
      <c r="M391" s="355"/>
      <c r="N391" s="355"/>
      <c r="O391" s="355"/>
      <c r="P391" s="355"/>
      <c r="Q391" s="355"/>
      <c r="R391" s="355"/>
      <c r="S391" s="355"/>
      <c r="T391" s="355"/>
      <c r="U391" s="355"/>
      <c r="V391" s="355"/>
      <c r="W391" s="355"/>
      <c r="X391" s="355"/>
      <c r="Y391" s="355"/>
      <c r="Z391" s="355"/>
    </row>
    <row r="392" spans="1:26" ht="13.5" customHeight="1" x14ac:dyDescent="0.25">
      <c r="A392" s="382"/>
      <c r="B392" s="355"/>
      <c r="C392" s="450"/>
      <c r="D392" s="450"/>
      <c r="E392" s="355"/>
      <c r="F392" s="355"/>
      <c r="G392" s="355"/>
      <c r="H392" s="355"/>
      <c r="I392" s="355"/>
      <c r="J392" s="355"/>
      <c r="K392" s="355"/>
      <c r="L392" s="355"/>
      <c r="M392" s="355"/>
      <c r="N392" s="355"/>
      <c r="O392" s="355"/>
      <c r="P392" s="355"/>
      <c r="Q392" s="355"/>
      <c r="R392" s="355"/>
      <c r="S392" s="355"/>
      <c r="T392" s="355"/>
      <c r="U392" s="355"/>
      <c r="V392" s="355"/>
      <c r="W392" s="355"/>
      <c r="X392" s="355"/>
      <c r="Y392" s="355"/>
      <c r="Z392" s="355"/>
    </row>
    <row r="393" spans="1:26" ht="13.5" customHeight="1" x14ac:dyDescent="0.25">
      <c r="A393" s="382"/>
      <c r="B393" s="355"/>
      <c r="C393" s="450"/>
      <c r="D393" s="450"/>
      <c r="E393" s="355"/>
      <c r="F393" s="355"/>
      <c r="G393" s="355"/>
      <c r="H393" s="355"/>
      <c r="I393" s="355"/>
      <c r="J393" s="355"/>
      <c r="K393" s="355"/>
      <c r="L393" s="355"/>
      <c r="M393" s="355"/>
      <c r="N393" s="355"/>
      <c r="O393" s="355"/>
      <c r="P393" s="355"/>
      <c r="Q393" s="355"/>
      <c r="R393" s="355"/>
      <c r="S393" s="355"/>
      <c r="T393" s="355"/>
      <c r="U393" s="355"/>
      <c r="V393" s="355"/>
      <c r="W393" s="355"/>
      <c r="X393" s="355"/>
      <c r="Y393" s="355"/>
      <c r="Z393" s="355"/>
    </row>
    <row r="394" spans="1:26" ht="13.5" customHeight="1" x14ac:dyDescent="0.25">
      <c r="A394" s="382"/>
      <c r="B394" s="355"/>
      <c r="C394" s="450"/>
      <c r="D394" s="450"/>
      <c r="E394" s="355"/>
      <c r="F394" s="355"/>
      <c r="G394" s="355"/>
      <c r="H394" s="355"/>
      <c r="I394" s="355"/>
      <c r="J394" s="355"/>
      <c r="K394" s="355"/>
      <c r="L394" s="355"/>
      <c r="M394" s="355"/>
      <c r="N394" s="355"/>
      <c r="O394" s="355"/>
      <c r="P394" s="355"/>
      <c r="Q394" s="355"/>
      <c r="R394" s="355"/>
      <c r="S394" s="355"/>
      <c r="T394" s="355"/>
      <c r="U394" s="355"/>
      <c r="V394" s="355"/>
      <c r="W394" s="355"/>
      <c r="X394" s="355"/>
      <c r="Y394" s="355"/>
      <c r="Z394" s="355"/>
    </row>
    <row r="395" spans="1:26" ht="13.5" customHeight="1" x14ac:dyDescent="0.25">
      <c r="A395" s="382"/>
      <c r="B395" s="355"/>
      <c r="C395" s="450"/>
      <c r="D395" s="450"/>
      <c r="E395" s="355"/>
      <c r="F395" s="355"/>
      <c r="G395" s="355"/>
      <c r="H395" s="355"/>
      <c r="I395" s="355"/>
      <c r="J395" s="355"/>
      <c r="K395" s="355"/>
      <c r="L395" s="355"/>
      <c r="M395" s="355"/>
      <c r="N395" s="355"/>
      <c r="O395" s="355"/>
      <c r="P395" s="355"/>
      <c r="Q395" s="355"/>
      <c r="R395" s="355"/>
      <c r="S395" s="355"/>
      <c r="T395" s="355"/>
      <c r="U395" s="355"/>
      <c r="V395" s="355"/>
      <c r="W395" s="355"/>
      <c r="X395" s="355"/>
      <c r="Y395" s="355"/>
      <c r="Z395" s="355"/>
    </row>
    <row r="396" spans="1:26" ht="13.5" customHeight="1" x14ac:dyDescent="0.25">
      <c r="A396" s="382"/>
      <c r="B396" s="355"/>
      <c r="C396" s="450"/>
      <c r="D396" s="450"/>
      <c r="E396" s="355"/>
      <c r="F396" s="355"/>
      <c r="G396" s="355"/>
      <c r="H396" s="355"/>
      <c r="I396" s="355"/>
      <c r="J396" s="355"/>
      <c r="K396" s="355"/>
      <c r="L396" s="355"/>
      <c r="M396" s="355"/>
      <c r="N396" s="355"/>
      <c r="O396" s="355"/>
      <c r="P396" s="355"/>
      <c r="Q396" s="355"/>
      <c r="R396" s="355"/>
      <c r="S396" s="355"/>
      <c r="T396" s="355"/>
      <c r="U396" s="355"/>
      <c r="V396" s="355"/>
      <c r="W396" s="355"/>
      <c r="X396" s="355"/>
      <c r="Y396" s="355"/>
      <c r="Z396" s="355"/>
    </row>
    <row r="397" spans="1:26" ht="13.5" customHeight="1" x14ac:dyDescent="0.25">
      <c r="A397" s="382"/>
      <c r="B397" s="355"/>
      <c r="C397" s="450"/>
      <c r="D397" s="450"/>
      <c r="E397" s="355"/>
      <c r="F397" s="355"/>
      <c r="G397" s="355"/>
      <c r="H397" s="355"/>
      <c r="I397" s="355"/>
      <c r="J397" s="355"/>
      <c r="K397" s="355"/>
      <c r="L397" s="355"/>
      <c r="M397" s="355"/>
      <c r="N397" s="355"/>
      <c r="O397" s="355"/>
      <c r="P397" s="355"/>
      <c r="Q397" s="355"/>
      <c r="R397" s="355"/>
      <c r="S397" s="355"/>
      <c r="T397" s="355"/>
      <c r="U397" s="355"/>
      <c r="V397" s="355"/>
      <c r="W397" s="355"/>
      <c r="X397" s="355"/>
      <c r="Y397" s="355"/>
      <c r="Z397" s="355"/>
    </row>
    <row r="398" spans="1:26" ht="13.5" customHeight="1" x14ac:dyDescent="0.25">
      <c r="A398" s="382"/>
      <c r="B398" s="355"/>
      <c r="C398" s="450"/>
      <c r="D398" s="450"/>
      <c r="E398" s="355"/>
      <c r="F398" s="355"/>
      <c r="G398" s="355"/>
      <c r="H398" s="355"/>
      <c r="I398" s="355"/>
      <c r="J398" s="355"/>
      <c r="K398" s="355"/>
      <c r="L398" s="355"/>
      <c r="M398" s="355"/>
      <c r="N398" s="355"/>
      <c r="O398" s="355"/>
      <c r="P398" s="355"/>
      <c r="Q398" s="355"/>
      <c r="R398" s="355"/>
      <c r="S398" s="355"/>
      <c r="T398" s="355"/>
      <c r="U398" s="355"/>
      <c r="V398" s="355"/>
      <c r="W398" s="355"/>
      <c r="X398" s="355"/>
      <c r="Y398" s="355"/>
      <c r="Z398" s="355"/>
    </row>
    <row r="399" spans="1:26" ht="13.5" customHeight="1" x14ac:dyDescent="0.25">
      <c r="A399" s="382"/>
      <c r="B399" s="355"/>
      <c r="C399" s="450"/>
      <c r="D399" s="450"/>
      <c r="E399" s="355"/>
      <c r="F399" s="355"/>
      <c r="G399" s="355"/>
      <c r="H399" s="355"/>
      <c r="I399" s="355"/>
      <c r="J399" s="355"/>
      <c r="K399" s="355"/>
      <c r="L399" s="355"/>
      <c r="M399" s="355"/>
      <c r="N399" s="355"/>
      <c r="O399" s="355"/>
      <c r="P399" s="355"/>
      <c r="Q399" s="355"/>
      <c r="R399" s="355"/>
      <c r="S399" s="355"/>
      <c r="T399" s="355"/>
      <c r="U399" s="355"/>
      <c r="V399" s="355"/>
      <c r="W399" s="355"/>
      <c r="X399" s="355"/>
      <c r="Y399" s="355"/>
      <c r="Z399" s="355"/>
    </row>
    <row r="400" spans="1:26" ht="13.5" customHeight="1" x14ac:dyDescent="0.25">
      <c r="A400" s="382"/>
      <c r="B400" s="355"/>
      <c r="C400" s="450"/>
      <c r="D400" s="450"/>
      <c r="E400" s="355"/>
      <c r="F400" s="355"/>
      <c r="G400" s="355"/>
      <c r="H400" s="355"/>
      <c r="I400" s="355"/>
      <c r="J400" s="355"/>
      <c r="K400" s="355"/>
      <c r="L400" s="355"/>
      <c r="M400" s="355"/>
      <c r="N400" s="355"/>
      <c r="O400" s="355"/>
      <c r="P400" s="355"/>
      <c r="Q400" s="355"/>
      <c r="R400" s="355"/>
      <c r="S400" s="355"/>
      <c r="T400" s="355"/>
      <c r="U400" s="355"/>
      <c r="V400" s="355"/>
      <c r="W400" s="355"/>
      <c r="X400" s="355"/>
      <c r="Y400" s="355"/>
      <c r="Z400" s="355"/>
    </row>
    <row r="401" spans="1:26" ht="13.5" customHeight="1" x14ac:dyDescent="0.25">
      <c r="A401" s="382"/>
      <c r="B401" s="355"/>
      <c r="C401" s="450"/>
      <c r="D401" s="450"/>
      <c r="E401" s="355"/>
      <c r="F401" s="355"/>
      <c r="G401" s="355"/>
      <c r="H401" s="355"/>
      <c r="I401" s="355"/>
      <c r="J401" s="355"/>
      <c r="K401" s="355"/>
      <c r="L401" s="355"/>
      <c r="M401" s="355"/>
      <c r="N401" s="355"/>
      <c r="O401" s="355"/>
      <c r="P401" s="355"/>
      <c r="Q401" s="355"/>
      <c r="R401" s="355"/>
      <c r="S401" s="355"/>
      <c r="T401" s="355"/>
      <c r="U401" s="355"/>
      <c r="V401" s="355"/>
      <c r="W401" s="355"/>
      <c r="X401" s="355"/>
      <c r="Y401" s="355"/>
      <c r="Z401" s="355"/>
    </row>
    <row r="402" spans="1:26" ht="13.5" customHeight="1" x14ac:dyDescent="0.25">
      <c r="A402" s="382"/>
      <c r="B402" s="355"/>
      <c r="C402" s="450"/>
      <c r="D402" s="450"/>
      <c r="E402" s="355"/>
      <c r="F402" s="355"/>
      <c r="G402" s="355"/>
      <c r="H402" s="355"/>
      <c r="I402" s="355"/>
      <c r="J402" s="355"/>
      <c r="K402" s="355"/>
      <c r="L402" s="355"/>
      <c r="M402" s="355"/>
      <c r="N402" s="355"/>
      <c r="O402" s="355"/>
      <c r="P402" s="355"/>
      <c r="Q402" s="355"/>
      <c r="R402" s="355"/>
      <c r="S402" s="355"/>
      <c r="T402" s="355"/>
      <c r="U402" s="355"/>
      <c r="V402" s="355"/>
      <c r="W402" s="355"/>
      <c r="X402" s="355"/>
      <c r="Y402" s="355"/>
      <c r="Z402" s="355"/>
    </row>
    <row r="403" spans="1:26" ht="13.5" customHeight="1" x14ac:dyDescent="0.25">
      <c r="A403" s="382"/>
      <c r="B403" s="355"/>
      <c r="C403" s="450"/>
      <c r="D403" s="450"/>
      <c r="E403" s="355"/>
      <c r="F403" s="355"/>
      <c r="G403" s="355"/>
      <c r="H403" s="355"/>
      <c r="I403" s="355"/>
      <c r="J403" s="355"/>
      <c r="K403" s="355"/>
      <c r="L403" s="355"/>
      <c r="M403" s="355"/>
      <c r="N403" s="355"/>
      <c r="O403" s="355"/>
      <c r="P403" s="355"/>
      <c r="Q403" s="355"/>
      <c r="R403" s="355"/>
      <c r="S403" s="355"/>
      <c r="T403" s="355"/>
      <c r="U403" s="355"/>
      <c r="V403" s="355"/>
      <c r="W403" s="355"/>
      <c r="X403" s="355"/>
      <c r="Y403" s="355"/>
      <c r="Z403" s="355"/>
    </row>
    <row r="404" spans="1:26" ht="13.5" customHeight="1" x14ac:dyDescent="0.25">
      <c r="A404" s="382"/>
      <c r="B404" s="355"/>
      <c r="C404" s="450"/>
      <c r="D404" s="450"/>
      <c r="E404" s="355"/>
      <c r="F404" s="355"/>
      <c r="G404" s="355"/>
      <c r="H404" s="355"/>
      <c r="I404" s="355"/>
      <c r="J404" s="355"/>
      <c r="K404" s="355"/>
      <c r="L404" s="355"/>
      <c r="M404" s="355"/>
      <c r="N404" s="355"/>
      <c r="O404" s="355"/>
      <c r="P404" s="355"/>
      <c r="Q404" s="355"/>
      <c r="R404" s="355"/>
      <c r="S404" s="355"/>
      <c r="T404" s="355"/>
      <c r="U404" s="355"/>
      <c r="V404" s="355"/>
      <c r="W404" s="355"/>
      <c r="X404" s="355"/>
      <c r="Y404" s="355"/>
      <c r="Z404" s="355"/>
    </row>
    <row r="405" spans="1:26" ht="13.5" customHeight="1" x14ac:dyDescent="0.25">
      <c r="A405" s="382"/>
      <c r="B405" s="355"/>
      <c r="C405" s="450"/>
      <c r="D405" s="450"/>
      <c r="E405" s="355"/>
      <c r="F405" s="355"/>
      <c r="G405" s="355"/>
      <c r="H405" s="355"/>
      <c r="I405" s="355"/>
      <c r="J405" s="355"/>
      <c r="K405" s="355"/>
      <c r="L405" s="355"/>
      <c r="M405" s="355"/>
      <c r="N405" s="355"/>
      <c r="O405" s="355"/>
      <c r="P405" s="355"/>
      <c r="Q405" s="355"/>
      <c r="R405" s="355"/>
      <c r="S405" s="355"/>
      <c r="T405" s="355"/>
      <c r="U405" s="355"/>
      <c r="V405" s="355"/>
      <c r="W405" s="355"/>
      <c r="X405" s="355"/>
      <c r="Y405" s="355"/>
      <c r="Z405" s="355"/>
    </row>
    <row r="406" spans="1:26" ht="13.5" customHeight="1" x14ac:dyDescent="0.25">
      <c r="A406" s="382"/>
      <c r="B406" s="355"/>
      <c r="C406" s="450"/>
      <c r="D406" s="450"/>
      <c r="E406" s="355"/>
      <c r="F406" s="355"/>
      <c r="G406" s="355"/>
      <c r="H406" s="355"/>
      <c r="I406" s="355"/>
      <c r="J406" s="355"/>
      <c r="K406" s="355"/>
      <c r="L406" s="355"/>
      <c r="M406" s="355"/>
      <c r="N406" s="355"/>
      <c r="O406" s="355"/>
      <c r="P406" s="355"/>
      <c r="Q406" s="355"/>
      <c r="R406" s="355"/>
      <c r="S406" s="355"/>
      <c r="T406" s="355"/>
      <c r="U406" s="355"/>
      <c r="V406" s="355"/>
      <c r="W406" s="355"/>
      <c r="X406" s="355"/>
      <c r="Y406" s="355"/>
      <c r="Z406" s="355"/>
    </row>
    <row r="407" spans="1:26" ht="13.5" customHeight="1" x14ac:dyDescent="0.25">
      <c r="A407" s="382"/>
      <c r="B407" s="355"/>
      <c r="C407" s="450"/>
      <c r="D407" s="450"/>
      <c r="E407" s="355"/>
      <c r="F407" s="355"/>
      <c r="G407" s="355"/>
      <c r="H407" s="355"/>
      <c r="I407" s="355"/>
      <c r="J407" s="355"/>
      <c r="K407" s="355"/>
      <c r="L407" s="355"/>
      <c r="M407" s="355"/>
      <c r="N407" s="355"/>
      <c r="O407" s="355"/>
      <c r="P407" s="355"/>
      <c r="Q407" s="355"/>
      <c r="R407" s="355"/>
      <c r="S407" s="355"/>
      <c r="T407" s="355"/>
      <c r="U407" s="355"/>
      <c r="V407" s="355"/>
      <c r="W407" s="355"/>
      <c r="X407" s="355"/>
      <c r="Y407" s="355"/>
      <c r="Z407" s="355"/>
    </row>
    <row r="408" spans="1:26" ht="13.5" customHeight="1" x14ac:dyDescent="0.25">
      <c r="A408" s="382"/>
      <c r="B408" s="355"/>
      <c r="C408" s="450"/>
      <c r="D408" s="450"/>
      <c r="E408" s="355"/>
      <c r="F408" s="355"/>
      <c r="G408" s="355"/>
      <c r="H408" s="355"/>
      <c r="I408" s="355"/>
      <c r="J408" s="355"/>
      <c r="K408" s="355"/>
      <c r="L408" s="355"/>
      <c r="M408" s="355"/>
      <c r="N408" s="355"/>
      <c r="O408" s="355"/>
      <c r="P408" s="355"/>
      <c r="Q408" s="355"/>
      <c r="R408" s="355"/>
      <c r="S408" s="355"/>
      <c r="T408" s="355"/>
      <c r="U408" s="355"/>
      <c r="V408" s="355"/>
      <c r="W408" s="355"/>
      <c r="X408" s="355"/>
      <c r="Y408" s="355"/>
      <c r="Z408" s="355"/>
    </row>
    <row r="409" spans="1:26" ht="13.5" customHeight="1" x14ac:dyDescent="0.25">
      <c r="A409" s="382"/>
      <c r="B409" s="355"/>
      <c r="C409" s="450"/>
      <c r="D409" s="450"/>
      <c r="E409" s="355"/>
      <c r="F409" s="355"/>
      <c r="G409" s="355"/>
      <c r="H409" s="355"/>
      <c r="I409" s="355"/>
      <c r="J409" s="355"/>
      <c r="K409" s="355"/>
      <c r="L409" s="355"/>
      <c r="M409" s="355"/>
      <c r="N409" s="355"/>
      <c r="O409" s="355"/>
      <c r="P409" s="355"/>
      <c r="Q409" s="355"/>
      <c r="R409" s="355"/>
      <c r="S409" s="355"/>
      <c r="T409" s="355"/>
      <c r="U409" s="355"/>
      <c r="V409" s="355"/>
      <c r="W409" s="355"/>
      <c r="X409" s="355"/>
      <c r="Y409" s="355"/>
      <c r="Z409" s="355"/>
    </row>
    <row r="410" spans="1:26" ht="13.5" customHeight="1" x14ac:dyDescent="0.25">
      <c r="A410" s="382"/>
      <c r="B410" s="355"/>
      <c r="C410" s="450"/>
      <c r="D410" s="450"/>
      <c r="E410" s="355"/>
      <c r="F410" s="355"/>
      <c r="G410" s="355"/>
      <c r="H410" s="355"/>
      <c r="I410" s="355"/>
      <c r="J410" s="355"/>
      <c r="K410" s="355"/>
      <c r="L410" s="355"/>
      <c r="M410" s="355"/>
      <c r="N410" s="355"/>
      <c r="O410" s="355"/>
      <c r="P410" s="355"/>
      <c r="Q410" s="355"/>
      <c r="R410" s="355"/>
      <c r="S410" s="355"/>
      <c r="T410" s="355"/>
      <c r="U410" s="355"/>
      <c r="V410" s="355"/>
      <c r="W410" s="355"/>
      <c r="X410" s="355"/>
      <c r="Y410" s="355"/>
      <c r="Z410" s="355"/>
    </row>
    <row r="411" spans="1:26" ht="13.5" customHeight="1" x14ac:dyDescent="0.25">
      <c r="A411" s="382"/>
      <c r="B411" s="355"/>
      <c r="C411" s="450"/>
      <c r="D411" s="450"/>
      <c r="E411" s="355"/>
      <c r="F411" s="355"/>
      <c r="G411" s="355"/>
      <c r="H411" s="355"/>
      <c r="I411" s="355"/>
      <c r="J411" s="355"/>
      <c r="K411" s="355"/>
      <c r="L411" s="355"/>
      <c r="M411" s="355"/>
      <c r="N411" s="355"/>
      <c r="O411" s="355"/>
      <c r="P411" s="355"/>
      <c r="Q411" s="355"/>
      <c r="R411" s="355"/>
      <c r="S411" s="355"/>
      <c r="T411" s="355"/>
      <c r="U411" s="355"/>
      <c r="V411" s="355"/>
      <c r="W411" s="355"/>
      <c r="X411" s="355"/>
      <c r="Y411" s="355"/>
      <c r="Z411" s="355"/>
    </row>
    <row r="412" spans="1:26" ht="13.5" customHeight="1" x14ac:dyDescent="0.25">
      <c r="A412" s="382"/>
      <c r="B412" s="355"/>
      <c r="C412" s="450"/>
      <c r="D412" s="450"/>
      <c r="E412" s="355"/>
      <c r="F412" s="355"/>
      <c r="G412" s="355"/>
      <c r="H412" s="355"/>
      <c r="I412" s="355"/>
      <c r="J412" s="355"/>
      <c r="K412" s="355"/>
      <c r="L412" s="355"/>
      <c r="M412" s="355"/>
      <c r="N412" s="355"/>
      <c r="O412" s="355"/>
      <c r="P412" s="355"/>
      <c r="Q412" s="355"/>
      <c r="R412" s="355"/>
      <c r="S412" s="355"/>
      <c r="T412" s="355"/>
      <c r="U412" s="355"/>
      <c r="V412" s="355"/>
      <c r="W412" s="355"/>
      <c r="X412" s="355"/>
      <c r="Y412" s="355"/>
      <c r="Z412" s="355"/>
    </row>
    <row r="413" spans="1:26" ht="13.5" customHeight="1" x14ac:dyDescent="0.25">
      <c r="A413" s="382"/>
      <c r="B413" s="355"/>
      <c r="C413" s="450"/>
      <c r="D413" s="450"/>
      <c r="E413" s="355"/>
      <c r="F413" s="355"/>
      <c r="G413" s="355"/>
      <c r="H413" s="355"/>
      <c r="I413" s="355"/>
      <c r="J413" s="355"/>
      <c r="K413" s="355"/>
      <c r="L413" s="355"/>
      <c r="M413" s="355"/>
      <c r="N413" s="355"/>
      <c r="O413" s="355"/>
      <c r="P413" s="355"/>
      <c r="Q413" s="355"/>
      <c r="R413" s="355"/>
      <c r="S413" s="355"/>
      <c r="T413" s="355"/>
      <c r="U413" s="355"/>
      <c r="V413" s="355"/>
      <c r="W413" s="355"/>
      <c r="X413" s="355"/>
      <c r="Y413" s="355"/>
      <c r="Z413" s="355"/>
    </row>
    <row r="414" spans="1:26" ht="13.5" customHeight="1" x14ac:dyDescent="0.25">
      <c r="A414" s="382"/>
      <c r="B414" s="355"/>
      <c r="C414" s="450"/>
      <c r="D414" s="450"/>
      <c r="E414" s="355"/>
      <c r="F414" s="355"/>
      <c r="G414" s="355"/>
      <c r="H414" s="355"/>
      <c r="I414" s="355"/>
      <c r="J414" s="355"/>
      <c r="K414" s="355"/>
      <c r="L414" s="355"/>
      <c r="M414" s="355"/>
      <c r="N414" s="355"/>
      <c r="O414" s="355"/>
      <c r="P414" s="355"/>
      <c r="Q414" s="355"/>
      <c r="R414" s="355"/>
      <c r="S414" s="355"/>
      <c r="T414" s="355"/>
      <c r="U414" s="355"/>
      <c r="V414" s="355"/>
      <c r="W414" s="355"/>
      <c r="X414" s="355"/>
      <c r="Y414" s="355"/>
      <c r="Z414" s="355"/>
    </row>
    <row r="415" spans="1:26" ht="13.5" customHeight="1" x14ac:dyDescent="0.25">
      <c r="A415" s="382"/>
      <c r="B415" s="355"/>
      <c r="C415" s="450"/>
      <c r="D415" s="450"/>
      <c r="E415" s="355"/>
      <c r="F415" s="355"/>
      <c r="G415" s="355"/>
      <c r="H415" s="355"/>
      <c r="I415" s="355"/>
      <c r="J415" s="355"/>
      <c r="K415" s="355"/>
      <c r="L415" s="355"/>
      <c r="M415" s="355"/>
      <c r="N415" s="355"/>
      <c r="O415" s="355"/>
      <c r="P415" s="355"/>
      <c r="Q415" s="355"/>
      <c r="R415" s="355"/>
      <c r="S415" s="355"/>
      <c r="T415" s="355"/>
      <c r="U415" s="355"/>
      <c r="V415" s="355"/>
      <c r="W415" s="355"/>
      <c r="X415" s="355"/>
      <c r="Y415" s="355"/>
      <c r="Z415" s="355"/>
    </row>
    <row r="416" spans="1:26" ht="13.5" customHeight="1" x14ac:dyDescent="0.25">
      <c r="A416" s="382"/>
      <c r="B416" s="355"/>
      <c r="C416" s="450"/>
      <c r="D416" s="450"/>
      <c r="E416" s="355"/>
      <c r="F416" s="355"/>
      <c r="G416" s="355"/>
      <c r="H416" s="355"/>
      <c r="I416" s="355"/>
      <c r="J416" s="355"/>
      <c r="K416" s="355"/>
      <c r="L416" s="355"/>
      <c r="M416" s="355"/>
      <c r="N416" s="355"/>
      <c r="O416" s="355"/>
      <c r="P416" s="355"/>
      <c r="Q416" s="355"/>
      <c r="R416" s="355"/>
      <c r="S416" s="355"/>
      <c r="T416" s="355"/>
      <c r="U416" s="355"/>
      <c r="V416" s="355"/>
      <c r="W416" s="355"/>
      <c r="X416" s="355"/>
      <c r="Y416" s="355"/>
      <c r="Z416" s="355"/>
    </row>
    <row r="417" spans="1:26" ht="13.5" customHeight="1" x14ac:dyDescent="0.25">
      <c r="A417" s="382"/>
      <c r="B417" s="355"/>
      <c r="C417" s="450"/>
      <c r="D417" s="450"/>
      <c r="E417" s="355"/>
      <c r="F417" s="355"/>
      <c r="G417" s="355"/>
      <c r="H417" s="355"/>
      <c r="I417" s="355"/>
      <c r="J417" s="355"/>
      <c r="K417" s="355"/>
      <c r="L417" s="355"/>
      <c r="M417" s="355"/>
      <c r="N417" s="355"/>
      <c r="O417" s="355"/>
      <c r="P417" s="355"/>
      <c r="Q417" s="355"/>
      <c r="R417" s="355"/>
      <c r="S417" s="355"/>
      <c r="T417" s="355"/>
      <c r="U417" s="355"/>
      <c r="V417" s="355"/>
      <c r="W417" s="355"/>
      <c r="X417" s="355"/>
      <c r="Y417" s="355"/>
      <c r="Z417" s="355"/>
    </row>
    <row r="418" spans="1:26" ht="13.5" customHeight="1" x14ac:dyDescent="0.25">
      <c r="A418" s="382"/>
      <c r="B418" s="355"/>
      <c r="C418" s="450"/>
      <c r="D418" s="450"/>
      <c r="E418" s="355"/>
      <c r="F418" s="355"/>
      <c r="G418" s="355"/>
      <c r="H418" s="355"/>
      <c r="I418" s="355"/>
      <c r="J418" s="355"/>
      <c r="K418" s="355"/>
      <c r="L418" s="355"/>
      <c r="M418" s="355"/>
      <c r="N418" s="355"/>
      <c r="O418" s="355"/>
      <c r="P418" s="355"/>
      <c r="Q418" s="355"/>
      <c r="R418" s="355"/>
      <c r="S418" s="355"/>
      <c r="T418" s="355"/>
      <c r="U418" s="355"/>
      <c r="V418" s="355"/>
      <c r="W418" s="355"/>
      <c r="X418" s="355"/>
      <c r="Y418" s="355"/>
      <c r="Z418" s="355"/>
    </row>
    <row r="419" spans="1:26" ht="13.5" customHeight="1" x14ac:dyDescent="0.25">
      <c r="A419" s="382"/>
      <c r="B419" s="355"/>
      <c r="C419" s="450"/>
      <c r="D419" s="450"/>
      <c r="E419" s="355"/>
      <c r="F419" s="355"/>
      <c r="G419" s="355"/>
      <c r="H419" s="355"/>
      <c r="I419" s="355"/>
      <c r="J419" s="355"/>
      <c r="K419" s="355"/>
      <c r="L419" s="355"/>
      <c r="M419" s="355"/>
      <c r="N419" s="355"/>
      <c r="O419" s="355"/>
      <c r="P419" s="355"/>
      <c r="Q419" s="355"/>
      <c r="R419" s="355"/>
      <c r="S419" s="355"/>
      <c r="T419" s="355"/>
      <c r="U419" s="355"/>
      <c r="V419" s="355"/>
      <c r="W419" s="355"/>
      <c r="X419" s="355"/>
      <c r="Y419" s="355"/>
      <c r="Z419" s="355"/>
    </row>
    <row r="420" spans="1:26" ht="13.5" customHeight="1" x14ac:dyDescent="0.25">
      <c r="A420" s="382"/>
      <c r="B420" s="355"/>
      <c r="C420" s="450"/>
      <c r="D420" s="450"/>
      <c r="E420" s="355"/>
      <c r="F420" s="355"/>
      <c r="G420" s="355"/>
      <c r="H420" s="355"/>
      <c r="I420" s="355"/>
      <c r="J420" s="355"/>
      <c r="K420" s="355"/>
      <c r="L420" s="355"/>
      <c r="M420" s="355"/>
      <c r="N420" s="355"/>
      <c r="O420" s="355"/>
      <c r="P420" s="355"/>
      <c r="Q420" s="355"/>
      <c r="R420" s="355"/>
      <c r="S420" s="355"/>
      <c r="T420" s="355"/>
      <c r="U420" s="355"/>
      <c r="V420" s="355"/>
      <c r="W420" s="355"/>
      <c r="X420" s="355"/>
      <c r="Y420" s="355"/>
      <c r="Z420" s="355"/>
    </row>
    <row r="421" spans="1:26" ht="13.5" customHeight="1" x14ac:dyDescent="0.25">
      <c r="A421" s="382"/>
      <c r="B421" s="355"/>
      <c r="C421" s="450"/>
      <c r="D421" s="450"/>
      <c r="E421" s="355"/>
      <c r="F421" s="355"/>
      <c r="G421" s="355"/>
      <c r="H421" s="355"/>
      <c r="I421" s="355"/>
      <c r="J421" s="355"/>
      <c r="K421" s="355"/>
      <c r="L421" s="355"/>
      <c r="M421" s="355"/>
      <c r="N421" s="355"/>
      <c r="O421" s="355"/>
      <c r="P421" s="355"/>
      <c r="Q421" s="355"/>
      <c r="R421" s="355"/>
      <c r="S421" s="355"/>
      <c r="T421" s="355"/>
      <c r="U421" s="355"/>
      <c r="V421" s="355"/>
      <c r="W421" s="355"/>
      <c r="X421" s="355"/>
      <c r="Y421" s="355"/>
      <c r="Z421" s="355"/>
    </row>
    <row r="422" spans="1:26" ht="13.5" customHeight="1" x14ac:dyDescent="0.25">
      <c r="A422" s="382"/>
      <c r="B422" s="355"/>
      <c r="C422" s="450"/>
      <c r="D422" s="450"/>
      <c r="E422" s="355"/>
      <c r="F422" s="355"/>
      <c r="G422" s="355"/>
      <c r="H422" s="355"/>
      <c r="I422" s="355"/>
      <c r="J422" s="355"/>
      <c r="K422" s="355"/>
      <c r="L422" s="355"/>
      <c r="M422" s="355"/>
      <c r="N422" s="355"/>
      <c r="O422" s="355"/>
      <c r="P422" s="355"/>
      <c r="Q422" s="355"/>
      <c r="R422" s="355"/>
      <c r="S422" s="355"/>
      <c r="T422" s="355"/>
      <c r="U422" s="355"/>
      <c r="V422" s="355"/>
      <c r="W422" s="355"/>
      <c r="X422" s="355"/>
      <c r="Y422" s="355"/>
      <c r="Z422" s="355"/>
    </row>
    <row r="423" spans="1:26" ht="13.5" customHeight="1" x14ac:dyDescent="0.25">
      <c r="A423" s="382"/>
      <c r="B423" s="355"/>
      <c r="C423" s="450"/>
      <c r="D423" s="450"/>
      <c r="E423" s="355"/>
      <c r="F423" s="355"/>
      <c r="G423" s="355"/>
      <c r="H423" s="355"/>
      <c r="I423" s="355"/>
      <c r="J423" s="355"/>
      <c r="K423" s="355"/>
      <c r="L423" s="355"/>
      <c r="M423" s="355"/>
      <c r="N423" s="355"/>
      <c r="O423" s="355"/>
      <c r="P423" s="355"/>
      <c r="Q423" s="355"/>
      <c r="R423" s="355"/>
      <c r="S423" s="355"/>
      <c r="T423" s="355"/>
      <c r="U423" s="355"/>
      <c r="V423" s="355"/>
      <c r="W423" s="355"/>
      <c r="X423" s="355"/>
      <c r="Y423" s="355"/>
      <c r="Z423" s="355"/>
    </row>
    <row r="424" spans="1:26" ht="13.5" customHeight="1" x14ac:dyDescent="0.25">
      <c r="A424" s="382"/>
      <c r="B424" s="355"/>
      <c r="C424" s="450"/>
      <c r="D424" s="450"/>
      <c r="E424" s="355"/>
      <c r="F424" s="355"/>
      <c r="G424" s="355"/>
      <c r="H424" s="355"/>
      <c r="I424" s="355"/>
      <c r="J424" s="355"/>
      <c r="K424" s="355"/>
      <c r="L424" s="355"/>
      <c r="M424" s="355"/>
      <c r="N424" s="355"/>
      <c r="O424" s="355"/>
      <c r="P424" s="355"/>
      <c r="Q424" s="355"/>
      <c r="R424" s="355"/>
      <c r="S424" s="355"/>
      <c r="T424" s="355"/>
      <c r="U424" s="355"/>
      <c r="V424" s="355"/>
      <c r="W424" s="355"/>
      <c r="X424" s="355"/>
      <c r="Y424" s="355"/>
      <c r="Z424" s="355"/>
    </row>
    <row r="425" spans="1:26" ht="13.5" customHeight="1" x14ac:dyDescent="0.25">
      <c r="A425" s="382"/>
      <c r="B425" s="355"/>
      <c r="C425" s="450"/>
      <c r="D425" s="450"/>
      <c r="E425" s="355"/>
      <c r="F425" s="355"/>
      <c r="G425" s="355"/>
      <c r="H425" s="355"/>
      <c r="I425" s="355"/>
      <c r="J425" s="355"/>
      <c r="K425" s="355"/>
      <c r="L425" s="355"/>
      <c r="M425" s="355"/>
      <c r="N425" s="355"/>
      <c r="O425" s="355"/>
      <c r="P425" s="355"/>
      <c r="Q425" s="355"/>
      <c r="R425" s="355"/>
      <c r="S425" s="355"/>
      <c r="T425" s="355"/>
      <c r="U425" s="355"/>
      <c r="V425" s="355"/>
      <c r="W425" s="355"/>
      <c r="X425" s="355"/>
      <c r="Y425" s="355"/>
      <c r="Z425" s="355"/>
    </row>
    <row r="426" spans="1:26" ht="13.5" customHeight="1" x14ac:dyDescent="0.25">
      <c r="A426" s="382"/>
      <c r="B426" s="355"/>
      <c r="C426" s="450"/>
      <c r="D426" s="450"/>
      <c r="E426" s="355"/>
      <c r="F426" s="355"/>
      <c r="G426" s="355"/>
      <c r="H426" s="355"/>
      <c r="I426" s="355"/>
      <c r="J426" s="355"/>
      <c r="K426" s="355"/>
      <c r="L426" s="355"/>
      <c r="M426" s="355"/>
      <c r="N426" s="355"/>
      <c r="O426" s="355"/>
      <c r="P426" s="355"/>
      <c r="Q426" s="355"/>
      <c r="R426" s="355"/>
      <c r="S426" s="355"/>
      <c r="T426" s="355"/>
      <c r="U426" s="355"/>
      <c r="V426" s="355"/>
      <c r="W426" s="355"/>
      <c r="X426" s="355"/>
      <c r="Y426" s="355"/>
      <c r="Z426" s="355"/>
    </row>
    <row r="427" spans="1:26" ht="13.5" customHeight="1" x14ac:dyDescent="0.25">
      <c r="A427" s="382"/>
      <c r="B427" s="355"/>
      <c r="C427" s="450"/>
      <c r="D427" s="450"/>
      <c r="E427" s="355"/>
      <c r="F427" s="355"/>
      <c r="G427" s="355"/>
      <c r="H427" s="355"/>
      <c r="I427" s="355"/>
      <c r="J427" s="355"/>
      <c r="K427" s="355"/>
      <c r="L427" s="355"/>
      <c r="M427" s="355"/>
      <c r="N427" s="355"/>
      <c r="O427" s="355"/>
      <c r="P427" s="355"/>
      <c r="Q427" s="355"/>
      <c r="R427" s="355"/>
      <c r="S427" s="355"/>
      <c r="T427" s="355"/>
      <c r="U427" s="355"/>
      <c r="V427" s="355"/>
      <c r="W427" s="355"/>
      <c r="X427" s="355"/>
      <c r="Y427" s="355"/>
      <c r="Z427" s="355"/>
    </row>
    <row r="428" spans="1:26" ht="13.5" customHeight="1" x14ac:dyDescent="0.25">
      <c r="A428" s="382"/>
      <c r="B428" s="355"/>
      <c r="C428" s="450"/>
      <c r="D428" s="450"/>
      <c r="E428" s="355"/>
      <c r="F428" s="355"/>
      <c r="G428" s="355"/>
      <c r="H428" s="355"/>
      <c r="I428" s="355"/>
      <c r="J428" s="355"/>
      <c r="K428" s="355"/>
      <c r="L428" s="355"/>
      <c r="M428" s="355"/>
      <c r="N428" s="355"/>
      <c r="O428" s="355"/>
      <c r="P428" s="355"/>
      <c r="Q428" s="355"/>
      <c r="R428" s="355"/>
      <c r="S428" s="355"/>
      <c r="T428" s="355"/>
      <c r="U428" s="355"/>
      <c r="V428" s="355"/>
      <c r="W428" s="355"/>
      <c r="X428" s="355"/>
      <c r="Y428" s="355"/>
      <c r="Z428" s="355"/>
    </row>
    <row r="429" spans="1:26" ht="13.5" customHeight="1" x14ac:dyDescent="0.25">
      <c r="A429" s="382"/>
      <c r="B429" s="355"/>
      <c r="C429" s="450"/>
      <c r="D429" s="450"/>
      <c r="E429" s="355"/>
      <c r="F429" s="355"/>
      <c r="G429" s="355"/>
      <c r="H429" s="355"/>
      <c r="I429" s="355"/>
      <c r="J429" s="355"/>
      <c r="K429" s="355"/>
      <c r="L429" s="355"/>
      <c r="M429" s="355"/>
      <c r="N429" s="355"/>
      <c r="O429" s="355"/>
      <c r="P429" s="355"/>
      <c r="Q429" s="355"/>
      <c r="R429" s="355"/>
      <c r="S429" s="355"/>
      <c r="T429" s="355"/>
      <c r="U429" s="355"/>
      <c r="V429" s="355"/>
      <c r="W429" s="355"/>
      <c r="X429" s="355"/>
      <c r="Y429" s="355"/>
      <c r="Z429" s="355"/>
    </row>
    <row r="430" spans="1:26" ht="13.5" customHeight="1" x14ac:dyDescent="0.25">
      <c r="A430" s="382"/>
      <c r="B430" s="355"/>
      <c r="C430" s="450"/>
      <c r="D430" s="450"/>
      <c r="E430" s="355"/>
      <c r="F430" s="355"/>
      <c r="G430" s="355"/>
      <c r="H430" s="355"/>
      <c r="I430" s="355"/>
      <c r="J430" s="355"/>
      <c r="K430" s="355"/>
      <c r="L430" s="355"/>
      <c r="M430" s="355"/>
      <c r="N430" s="355"/>
      <c r="O430" s="355"/>
      <c r="P430" s="355"/>
      <c r="Q430" s="355"/>
      <c r="R430" s="355"/>
      <c r="S430" s="355"/>
      <c r="T430" s="355"/>
      <c r="U430" s="355"/>
      <c r="V430" s="355"/>
      <c r="W430" s="355"/>
      <c r="X430" s="355"/>
      <c r="Y430" s="355"/>
      <c r="Z430" s="355"/>
    </row>
    <row r="431" spans="1:26" ht="13.5" customHeight="1" x14ac:dyDescent="0.25">
      <c r="A431" s="382"/>
      <c r="B431" s="355"/>
      <c r="C431" s="450"/>
      <c r="D431" s="450"/>
      <c r="E431" s="355"/>
      <c r="F431" s="355"/>
      <c r="G431" s="355"/>
      <c r="H431" s="355"/>
      <c r="I431" s="355"/>
      <c r="J431" s="355"/>
      <c r="K431" s="355"/>
      <c r="L431" s="355"/>
      <c r="M431" s="355"/>
      <c r="N431" s="355"/>
      <c r="O431" s="355"/>
      <c r="P431" s="355"/>
      <c r="Q431" s="355"/>
      <c r="R431" s="355"/>
      <c r="S431" s="355"/>
      <c r="T431" s="355"/>
      <c r="U431" s="355"/>
      <c r="V431" s="355"/>
      <c r="W431" s="355"/>
      <c r="X431" s="355"/>
      <c r="Y431" s="355"/>
      <c r="Z431" s="355"/>
    </row>
    <row r="432" spans="1:26" ht="13.5" customHeight="1" x14ac:dyDescent="0.25">
      <c r="A432" s="382"/>
      <c r="B432" s="355"/>
      <c r="C432" s="450"/>
      <c r="D432" s="450"/>
      <c r="E432" s="355"/>
      <c r="F432" s="355"/>
      <c r="G432" s="355"/>
      <c r="H432" s="355"/>
      <c r="I432" s="355"/>
      <c r="J432" s="355"/>
      <c r="K432" s="355"/>
      <c r="L432" s="355"/>
      <c r="M432" s="355"/>
      <c r="N432" s="355"/>
      <c r="O432" s="355"/>
      <c r="P432" s="355"/>
      <c r="Q432" s="355"/>
      <c r="R432" s="355"/>
      <c r="S432" s="355"/>
      <c r="T432" s="355"/>
      <c r="U432" s="355"/>
      <c r="V432" s="355"/>
      <c r="W432" s="355"/>
      <c r="X432" s="355"/>
      <c r="Y432" s="355"/>
      <c r="Z432" s="355"/>
    </row>
    <row r="433" spans="1:26" ht="13.5" customHeight="1" x14ac:dyDescent="0.25">
      <c r="A433" s="382"/>
      <c r="B433" s="355"/>
      <c r="C433" s="450"/>
      <c r="D433" s="450"/>
      <c r="E433" s="355"/>
      <c r="F433" s="355"/>
      <c r="G433" s="355"/>
      <c r="H433" s="355"/>
      <c r="I433" s="355"/>
      <c r="J433" s="355"/>
      <c r="K433" s="355"/>
      <c r="L433" s="355"/>
      <c r="M433" s="355"/>
      <c r="N433" s="355"/>
      <c r="O433" s="355"/>
      <c r="P433" s="355"/>
      <c r="Q433" s="355"/>
      <c r="R433" s="355"/>
      <c r="S433" s="355"/>
      <c r="T433" s="355"/>
      <c r="U433" s="355"/>
      <c r="V433" s="355"/>
      <c r="W433" s="355"/>
      <c r="X433" s="355"/>
      <c r="Y433" s="355"/>
      <c r="Z433" s="355"/>
    </row>
    <row r="434" spans="1:26" ht="13.5" customHeight="1" x14ac:dyDescent="0.25">
      <c r="A434" s="382"/>
      <c r="B434" s="355"/>
      <c r="C434" s="450"/>
      <c r="D434" s="450"/>
      <c r="E434" s="355"/>
      <c r="F434" s="355"/>
      <c r="G434" s="355"/>
      <c r="H434" s="355"/>
      <c r="I434" s="355"/>
      <c r="J434" s="355"/>
      <c r="K434" s="355"/>
      <c r="L434" s="355"/>
      <c r="M434" s="355"/>
      <c r="N434" s="355"/>
      <c r="O434" s="355"/>
      <c r="P434" s="355"/>
      <c r="Q434" s="355"/>
      <c r="R434" s="355"/>
      <c r="S434" s="355"/>
      <c r="T434" s="355"/>
      <c r="U434" s="355"/>
      <c r="V434" s="355"/>
      <c r="W434" s="355"/>
      <c r="X434" s="355"/>
      <c r="Y434" s="355"/>
      <c r="Z434" s="355"/>
    </row>
    <row r="435" spans="1:26" ht="13.5" customHeight="1" x14ac:dyDescent="0.25">
      <c r="A435" s="382"/>
      <c r="B435" s="355"/>
      <c r="C435" s="450"/>
      <c r="D435" s="450"/>
      <c r="E435" s="355"/>
      <c r="F435" s="355"/>
      <c r="G435" s="355"/>
      <c r="H435" s="355"/>
      <c r="I435" s="355"/>
      <c r="J435" s="355"/>
      <c r="K435" s="355"/>
      <c r="L435" s="355"/>
      <c r="M435" s="355"/>
      <c r="N435" s="355"/>
      <c r="O435" s="355"/>
      <c r="P435" s="355"/>
      <c r="Q435" s="355"/>
      <c r="R435" s="355"/>
      <c r="S435" s="355"/>
      <c r="T435" s="355"/>
      <c r="U435" s="355"/>
      <c r="V435" s="355"/>
      <c r="W435" s="355"/>
      <c r="X435" s="355"/>
      <c r="Y435" s="355"/>
      <c r="Z435" s="355"/>
    </row>
    <row r="436" spans="1:26" ht="13.5" customHeight="1" x14ac:dyDescent="0.25">
      <c r="A436" s="382"/>
      <c r="B436" s="355"/>
      <c r="C436" s="450"/>
      <c r="D436" s="450"/>
      <c r="E436" s="355"/>
      <c r="F436" s="355"/>
      <c r="G436" s="355"/>
      <c r="H436" s="355"/>
      <c r="I436" s="355"/>
      <c r="J436" s="355"/>
      <c r="K436" s="355"/>
      <c r="L436" s="355"/>
      <c r="M436" s="355"/>
      <c r="N436" s="355"/>
      <c r="O436" s="355"/>
      <c r="P436" s="355"/>
      <c r="Q436" s="355"/>
      <c r="R436" s="355"/>
      <c r="S436" s="355"/>
      <c r="T436" s="355"/>
      <c r="U436" s="355"/>
      <c r="V436" s="355"/>
      <c r="W436" s="355"/>
      <c r="X436" s="355"/>
      <c r="Y436" s="355"/>
      <c r="Z436" s="355"/>
    </row>
    <row r="437" spans="1:26" ht="13.5" customHeight="1" x14ac:dyDescent="0.25">
      <c r="A437" s="382"/>
      <c r="B437" s="355"/>
      <c r="C437" s="450"/>
      <c r="D437" s="450"/>
      <c r="E437" s="355"/>
      <c r="F437" s="355"/>
      <c r="G437" s="355"/>
      <c r="H437" s="355"/>
      <c r="I437" s="355"/>
      <c r="J437" s="355"/>
      <c r="K437" s="355"/>
      <c r="L437" s="355"/>
      <c r="M437" s="355"/>
      <c r="N437" s="355"/>
      <c r="O437" s="355"/>
      <c r="P437" s="355"/>
      <c r="Q437" s="355"/>
      <c r="R437" s="355"/>
      <c r="S437" s="355"/>
      <c r="T437" s="355"/>
      <c r="U437" s="355"/>
      <c r="V437" s="355"/>
      <c r="W437" s="355"/>
      <c r="X437" s="355"/>
      <c r="Y437" s="355"/>
      <c r="Z437" s="355"/>
    </row>
    <row r="438" spans="1:26" ht="13.5" customHeight="1" x14ac:dyDescent="0.25">
      <c r="A438" s="382"/>
      <c r="B438" s="355"/>
      <c r="C438" s="450"/>
      <c r="D438" s="450"/>
      <c r="E438" s="355"/>
      <c r="F438" s="355"/>
      <c r="G438" s="355"/>
      <c r="H438" s="355"/>
      <c r="I438" s="355"/>
      <c r="J438" s="355"/>
      <c r="K438" s="355"/>
      <c r="L438" s="355"/>
      <c r="M438" s="355"/>
      <c r="N438" s="355"/>
      <c r="O438" s="355"/>
      <c r="P438" s="355"/>
      <c r="Q438" s="355"/>
      <c r="R438" s="355"/>
      <c r="S438" s="355"/>
      <c r="T438" s="355"/>
      <c r="U438" s="355"/>
      <c r="V438" s="355"/>
      <c r="W438" s="355"/>
      <c r="X438" s="355"/>
      <c r="Y438" s="355"/>
      <c r="Z438" s="355"/>
    </row>
    <row r="439" spans="1:26" ht="13.5" customHeight="1" x14ac:dyDescent="0.25">
      <c r="A439" s="382"/>
      <c r="B439" s="355"/>
      <c r="C439" s="450"/>
      <c r="D439" s="450"/>
      <c r="E439" s="355"/>
      <c r="F439" s="355"/>
      <c r="G439" s="355"/>
      <c r="H439" s="355"/>
      <c r="I439" s="355"/>
      <c r="J439" s="355"/>
      <c r="K439" s="355"/>
      <c r="L439" s="355"/>
      <c r="M439" s="355"/>
      <c r="N439" s="355"/>
      <c r="O439" s="355"/>
      <c r="P439" s="355"/>
      <c r="Q439" s="355"/>
      <c r="R439" s="355"/>
      <c r="S439" s="355"/>
      <c r="T439" s="355"/>
      <c r="U439" s="355"/>
      <c r="V439" s="355"/>
      <c r="W439" s="355"/>
      <c r="X439" s="355"/>
      <c r="Y439" s="355"/>
      <c r="Z439" s="355"/>
    </row>
    <row r="440" spans="1:26" ht="13.5" customHeight="1" x14ac:dyDescent="0.25">
      <c r="A440" s="382"/>
      <c r="B440" s="355"/>
      <c r="C440" s="450"/>
      <c r="D440" s="450"/>
      <c r="E440" s="355"/>
      <c r="F440" s="355"/>
      <c r="G440" s="355"/>
      <c r="H440" s="355"/>
      <c r="I440" s="355"/>
      <c r="J440" s="355"/>
      <c r="K440" s="355"/>
      <c r="L440" s="355"/>
      <c r="M440" s="355"/>
      <c r="N440" s="355"/>
      <c r="O440" s="355"/>
      <c r="P440" s="355"/>
      <c r="Q440" s="355"/>
      <c r="R440" s="355"/>
      <c r="S440" s="355"/>
      <c r="T440" s="355"/>
      <c r="U440" s="355"/>
      <c r="V440" s="355"/>
      <c r="W440" s="355"/>
      <c r="X440" s="355"/>
      <c r="Y440" s="355"/>
      <c r="Z440" s="355"/>
    </row>
    <row r="441" spans="1:26" ht="13.5" customHeight="1" x14ac:dyDescent="0.25">
      <c r="A441" s="382"/>
      <c r="B441" s="355"/>
      <c r="C441" s="450"/>
      <c r="D441" s="450"/>
      <c r="E441" s="355"/>
      <c r="F441" s="355"/>
      <c r="G441" s="355"/>
      <c r="H441" s="355"/>
      <c r="I441" s="355"/>
      <c r="J441" s="355"/>
      <c r="K441" s="355"/>
      <c r="L441" s="355"/>
      <c r="M441" s="355"/>
      <c r="N441" s="355"/>
      <c r="O441" s="355"/>
      <c r="P441" s="355"/>
      <c r="Q441" s="355"/>
      <c r="R441" s="355"/>
      <c r="S441" s="355"/>
      <c r="T441" s="355"/>
      <c r="U441" s="355"/>
      <c r="V441" s="355"/>
      <c r="W441" s="355"/>
      <c r="X441" s="355"/>
      <c r="Y441" s="355"/>
      <c r="Z441" s="355"/>
    </row>
    <row r="442" spans="1:26" ht="13.5" customHeight="1" x14ac:dyDescent="0.25">
      <c r="A442" s="382"/>
      <c r="B442" s="355"/>
      <c r="C442" s="450"/>
      <c r="D442" s="450"/>
      <c r="E442" s="355"/>
      <c r="F442" s="355"/>
      <c r="G442" s="355"/>
      <c r="H442" s="355"/>
      <c r="I442" s="355"/>
      <c r="J442" s="355"/>
      <c r="K442" s="355"/>
      <c r="L442" s="355"/>
      <c r="M442" s="355"/>
      <c r="N442" s="355"/>
      <c r="O442" s="355"/>
      <c r="P442" s="355"/>
      <c r="Q442" s="355"/>
      <c r="R442" s="355"/>
      <c r="S442" s="355"/>
      <c r="T442" s="355"/>
      <c r="U442" s="355"/>
      <c r="V442" s="355"/>
      <c r="W442" s="355"/>
      <c r="X442" s="355"/>
      <c r="Y442" s="355"/>
      <c r="Z442" s="355"/>
    </row>
    <row r="443" spans="1:26" ht="13.5" customHeight="1" x14ac:dyDescent="0.25">
      <c r="A443" s="382"/>
      <c r="B443" s="355"/>
      <c r="C443" s="450"/>
      <c r="D443" s="450"/>
      <c r="E443" s="355"/>
      <c r="F443" s="355"/>
      <c r="G443" s="355"/>
      <c r="H443" s="355"/>
      <c r="I443" s="355"/>
      <c r="J443" s="355"/>
      <c r="K443" s="355"/>
      <c r="L443" s="355"/>
      <c r="M443" s="355"/>
      <c r="N443" s="355"/>
      <c r="O443" s="355"/>
      <c r="P443" s="355"/>
      <c r="Q443" s="355"/>
      <c r="R443" s="355"/>
      <c r="S443" s="355"/>
      <c r="T443" s="355"/>
      <c r="U443" s="355"/>
      <c r="V443" s="355"/>
      <c r="W443" s="355"/>
      <c r="X443" s="355"/>
      <c r="Y443" s="355"/>
      <c r="Z443" s="355"/>
    </row>
    <row r="444" spans="1:26" ht="13.5" customHeight="1" x14ac:dyDescent="0.25">
      <c r="A444" s="382"/>
      <c r="B444" s="355"/>
      <c r="C444" s="450"/>
      <c r="D444" s="450"/>
      <c r="E444" s="355"/>
      <c r="F444" s="355"/>
      <c r="G444" s="355"/>
      <c r="H444" s="355"/>
      <c r="I444" s="355"/>
      <c r="J444" s="355"/>
      <c r="K444" s="355"/>
      <c r="L444" s="355"/>
      <c r="M444" s="355"/>
      <c r="N444" s="355"/>
      <c r="O444" s="355"/>
      <c r="P444" s="355"/>
      <c r="Q444" s="355"/>
      <c r="R444" s="355"/>
      <c r="S444" s="355"/>
      <c r="T444" s="355"/>
      <c r="U444" s="355"/>
      <c r="V444" s="355"/>
      <c r="W444" s="355"/>
      <c r="X444" s="355"/>
      <c r="Y444" s="355"/>
      <c r="Z444" s="355"/>
    </row>
    <row r="445" spans="1:26" ht="13.5" customHeight="1" x14ac:dyDescent="0.25">
      <c r="A445" s="382"/>
      <c r="B445" s="355"/>
      <c r="C445" s="450"/>
      <c r="D445" s="450"/>
      <c r="E445" s="355"/>
      <c r="F445" s="355"/>
      <c r="G445" s="355"/>
      <c r="H445" s="355"/>
      <c r="I445" s="355"/>
      <c r="J445" s="355"/>
      <c r="K445" s="355"/>
      <c r="L445" s="355"/>
      <c r="M445" s="355"/>
      <c r="N445" s="355"/>
      <c r="O445" s="355"/>
      <c r="P445" s="355"/>
      <c r="Q445" s="355"/>
      <c r="R445" s="355"/>
      <c r="S445" s="355"/>
      <c r="T445" s="355"/>
      <c r="U445" s="355"/>
      <c r="V445" s="355"/>
      <c r="W445" s="355"/>
      <c r="X445" s="355"/>
      <c r="Y445" s="355"/>
      <c r="Z445" s="355"/>
    </row>
    <row r="446" spans="1:26" ht="13.5" customHeight="1" x14ac:dyDescent="0.25">
      <c r="A446" s="382"/>
      <c r="B446" s="355"/>
      <c r="C446" s="450"/>
      <c r="D446" s="450"/>
      <c r="E446" s="355"/>
      <c r="F446" s="355"/>
      <c r="G446" s="355"/>
      <c r="H446" s="355"/>
      <c r="I446" s="355"/>
      <c r="J446" s="355"/>
      <c r="K446" s="355"/>
      <c r="L446" s="355"/>
      <c r="M446" s="355"/>
      <c r="N446" s="355"/>
      <c r="O446" s="355"/>
      <c r="P446" s="355"/>
      <c r="Q446" s="355"/>
      <c r="R446" s="355"/>
      <c r="S446" s="355"/>
      <c r="T446" s="355"/>
      <c r="U446" s="355"/>
      <c r="V446" s="355"/>
      <c r="W446" s="355"/>
      <c r="X446" s="355"/>
      <c r="Y446" s="355"/>
      <c r="Z446" s="355"/>
    </row>
    <row r="447" spans="1:26" ht="13.5" customHeight="1" x14ac:dyDescent="0.25">
      <c r="A447" s="382"/>
      <c r="B447" s="355"/>
      <c r="C447" s="450"/>
      <c r="D447" s="450"/>
      <c r="E447" s="355"/>
      <c r="F447" s="355"/>
      <c r="G447" s="355"/>
      <c r="H447" s="355"/>
      <c r="I447" s="355"/>
      <c r="J447" s="355"/>
      <c r="K447" s="355"/>
      <c r="L447" s="355"/>
      <c r="M447" s="355"/>
      <c r="N447" s="355"/>
      <c r="O447" s="355"/>
      <c r="P447" s="355"/>
      <c r="Q447" s="355"/>
      <c r="R447" s="355"/>
      <c r="S447" s="355"/>
      <c r="T447" s="355"/>
      <c r="U447" s="355"/>
      <c r="V447" s="355"/>
      <c r="W447" s="355"/>
      <c r="X447" s="355"/>
      <c r="Y447" s="355"/>
      <c r="Z447" s="355"/>
    </row>
    <row r="448" spans="1:26" ht="13.5" customHeight="1" x14ac:dyDescent="0.25">
      <c r="A448" s="382"/>
      <c r="B448" s="355"/>
      <c r="C448" s="450"/>
      <c r="D448" s="450"/>
      <c r="E448" s="355"/>
      <c r="F448" s="355"/>
      <c r="G448" s="355"/>
      <c r="H448" s="355"/>
      <c r="I448" s="355"/>
      <c r="J448" s="355"/>
      <c r="K448" s="355"/>
      <c r="L448" s="355"/>
      <c r="M448" s="355"/>
      <c r="N448" s="355"/>
      <c r="O448" s="355"/>
      <c r="P448" s="355"/>
      <c r="Q448" s="355"/>
      <c r="R448" s="355"/>
      <c r="S448" s="355"/>
      <c r="T448" s="355"/>
      <c r="U448" s="355"/>
      <c r="V448" s="355"/>
      <c r="W448" s="355"/>
      <c r="X448" s="355"/>
      <c r="Y448" s="355"/>
      <c r="Z448" s="355"/>
    </row>
    <row r="449" spans="1:26" ht="13.5" customHeight="1" x14ac:dyDescent="0.25">
      <c r="A449" s="382"/>
      <c r="B449" s="355"/>
      <c r="C449" s="450"/>
      <c r="D449" s="450"/>
      <c r="E449" s="355"/>
      <c r="F449" s="355"/>
      <c r="G449" s="355"/>
      <c r="H449" s="355"/>
      <c r="I449" s="355"/>
      <c r="J449" s="355"/>
      <c r="K449" s="355"/>
      <c r="L449" s="355"/>
      <c r="M449" s="355"/>
      <c r="N449" s="355"/>
      <c r="O449" s="355"/>
      <c r="P449" s="355"/>
      <c r="Q449" s="355"/>
      <c r="R449" s="355"/>
      <c r="S449" s="355"/>
      <c r="T449" s="355"/>
      <c r="U449" s="355"/>
      <c r="V449" s="355"/>
      <c r="W449" s="355"/>
      <c r="X449" s="355"/>
      <c r="Y449" s="355"/>
      <c r="Z449" s="355"/>
    </row>
    <row r="450" spans="1:26" ht="13.5" customHeight="1" x14ac:dyDescent="0.25">
      <c r="A450" s="382"/>
      <c r="B450" s="355"/>
      <c r="C450" s="450"/>
      <c r="D450" s="450"/>
      <c r="E450" s="355"/>
      <c r="F450" s="355"/>
      <c r="G450" s="355"/>
      <c r="H450" s="355"/>
      <c r="I450" s="355"/>
      <c r="J450" s="355"/>
      <c r="K450" s="355"/>
      <c r="L450" s="355"/>
      <c r="M450" s="355"/>
      <c r="N450" s="355"/>
      <c r="O450" s="355"/>
      <c r="P450" s="355"/>
      <c r="Q450" s="355"/>
      <c r="R450" s="355"/>
      <c r="S450" s="355"/>
      <c r="T450" s="355"/>
      <c r="U450" s="355"/>
      <c r="V450" s="355"/>
      <c r="W450" s="355"/>
      <c r="X450" s="355"/>
      <c r="Y450" s="355"/>
      <c r="Z450" s="355"/>
    </row>
    <row r="451" spans="1:26" ht="13.5" customHeight="1" x14ac:dyDescent="0.25">
      <c r="A451" s="382"/>
      <c r="B451" s="355"/>
      <c r="C451" s="450"/>
      <c r="D451" s="450"/>
      <c r="E451" s="355"/>
      <c r="F451" s="355"/>
      <c r="G451" s="355"/>
      <c r="H451" s="355"/>
      <c r="I451" s="355"/>
      <c r="J451" s="355"/>
      <c r="K451" s="355"/>
      <c r="L451" s="355"/>
      <c r="M451" s="355"/>
      <c r="N451" s="355"/>
      <c r="O451" s="355"/>
      <c r="P451" s="355"/>
      <c r="Q451" s="355"/>
      <c r="R451" s="355"/>
      <c r="S451" s="355"/>
      <c r="T451" s="355"/>
      <c r="U451" s="355"/>
      <c r="V451" s="355"/>
      <c r="W451" s="355"/>
      <c r="X451" s="355"/>
      <c r="Y451" s="355"/>
      <c r="Z451" s="355"/>
    </row>
    <row r="452" spans="1:26" ht="13.5" customHeight="1" x14ac:dyDescent="0.25">
      <c r="A452" s="382"/>
      <c r="B452" s="355"/>
      <c r="C452" s="450"/>
      <c r="D452" s="450"/>
      <c r="E452" s="355"/>
      <c r="F452" s="355"/>
      <c r="G452" s="355"/>
      <c r="H452" s="355"/>
      <c r="I452" s="355"/>
      <c r="J452" s="355"/>
      <c r="K452" s="355"/>
      <c r="L452" s="355"/>
      <c r="M452" s="355"/>
      <c r="N452" s="355"/>
      <c r="O452" s="355"/>
      <c r="P452" s="355"/>
      <c r="Q452" s="355"/>
      <c r="R452" s="355"/>
      <c r="S452" s="355"/>
      <c r="T452" s="355"/>
      <c r="U452" s="355"/>
      <c r="V452" s="355"/>
      <c r="W452" s="355"/>
      <c r="X452" s="355"/>
      <c r="Y452" s="355"/>
      <c r="Z452" s="355"/>
    </row>
    <row r="453" spans="1:26" ht="13.5" customHeight="1" x14ac:dyDescent="0.25">
      <c r="A453" s="382"/>
      <c r="B453" s="355"/>
      <c r="C453" s="450"/>
      <c r="D453" s="450"/>
      <c r="E453" s="355"/>
      <c r="F453" s="355"/>
      <c r="G453" s="355"/>
      <c r="H453" s="355"/>
      <c r="I453" s="355"/>
      <c r="J453" s="355"/>
      <c r="K453" s="355"/>
      <c r="L453" s="355"/>
      <c r="M453" s="355"/>
      <c r="N453" s="355"/>
      <c r="O453" s="355"/>
      <c r="P453" s="355"/>
      <c r="Q453" s="355"/>
      <c r="R453" s="355"/>
      <c r="S453" s="355"/>
      <c r="T453" s="355"/>
      <c r="U453" s="355"/>
      <c r="V453" s="355"/>
      <c r="W453" s="355"/>
      <c r="X453" s="355"/>
      <c r="Y453" s="355"/>
      <c r="Z453" s="355"/>
    </row>
    <row r="454" spans="1:26" ht="13.5" customHeight="1" x14ac:dyDescent="0.25">
      <c r="A454" s="382"/>
      <c r="B454" s="355"/>
      <c r="C454" s="450"/>
      <c r="D454" s="450"/>
      <c r="E454" s="355"/>
      <c r="F454" s="355"/>
      <c r="G454" s="355"/>
      <c r="H454" s="355"/>
      <c r="I454" s="355"/>
      <c r="J454" s="355"/>
      <c r="K454" s="355"/>
      <c r="L454" s="355"/>
      <c r="M454" s="355"/>
      <c r="N454" s="355"/>
      <c r="O454" s="355"/>
      <c r="P454" s="355"/>
      <c r="Q454" s="355"/>
      <c r="R454" s="355"/>
      <c r="S454" s="355"/>
      <c r="T454" s="355"/>
      <c r="U454" s="355"/>
      <c r="V454" s="355"/>
      <c r="W454" s="355"/>
      <c r="X454" s="355"/>
      <c r="Y454" s="355"/>
      <c r="Z454" s="355"/>
    </row>
    <row r="455" spans="1:26" ht="13.5" customHeight="1" x14ac:dyDescent="0.25">
      <c r="A455" s="382"/>
      <c r="B455" s="355"/>
      <c r="C455" s="450"/>
      <c r="D455" s="450"/>
      <c r="E455" s="355"/>
      <c r="F455" s="355"/>
      <c r="G455" s="355"/>
      <c r="H455" s="355"/>
      <c r="I455" s="355"/>
      <c r="J455" s="355"/>
      <c r="K455" s="355"/>
      <c r="L455" s="355"/>
      <c r="M455" s="355"/>
      <c r="N455" s="355"/>
      <c r="O455" s="355"/>
      <c r="P455" s="355"/>
      <c r="Q455" s="355"/>
      <c r="R455" s="355"/>
      <c r="S455" s="355"/>
      <c r="T455" s="355"/>
      <c r="U455" s="355"/>
      <c r="V455" s="355"/>
      <c r="W455" s="355"/>
      <c r="X455" s="355"/>
      <c r="Y455" s="355"/>
      <c r="Z455" s="355"/>
    </row>
    <row r="456" spans="1:26" ht="13.5" customHeight="1" x14ac:dyDescent="0.25">
      <c r="A456" s="382"/>
      <c r="B456" s="355"/>
      <c r="C456" s="450"/>
      <c r="D456" s="450"/>
      <c r="E456" s="355"/>
      <c r="F456" s="355"/>
      <c r="G456" s="355"/>
      <c r="H456" s="355"/>
      <c r="I456" s="355"/>
      <c r="J456" s="355"/>
      <c r="K456" s="355"/>
      <c r="L456" s="355"/>
      <c r="M456" s="355"/>
      <c r="N456" s="355"/>
      <c r="O456" s="355"/>
      <c r="P456" s="355"/>
      <c r="Q456" s="355"/>
      <c r="R456" s="355"/>
      <c r="S456" s="355"/>
      <c r="T456" s="355"/>
      <c r="U456" s="355"/>
      <c r="V456" s="355"/>
      <c r="W456" s="355"/>
      <c r="X456" s="355"/>
      <c r="Y456" s="355"/>
      <c r="Z456" s="355"/>
    </row>
    <row r="457" spans="1:26" ht="13.5" customHeight="1" x14ac:dyDescent="0.25">
      <c r="A457" s="382"/>
      <c r="B457" s="355"/>
      <c r="C457" s="450"/>
      <c r="D457" s="450"/>
      <c r="E457" s="355"/>
      <c r="F457" s="355"/>
      <c r="G457" s="355"/>
      <c r="H457" s="355"/>
      <c r="I457" s="355"/>
      <c r="J457" s="355"/>
      <c r="K457" s="355"/>
      <c r="L457" s="355"/>
      <c r="M457" s="355"/>
      <c r="N457" s="355"/>
      <c r="O457" s="355"/>
      <c r="P457" s="355"/>
      <c r="Q457" s="355"/>
      <c r="R457" s="355"/>
      <c r="S457" s="355"/>
      <c r="T457" s="355"/>
      <c r="U457" s="355"/>
      <c r="V457" s="355"/>
      <c r="W457" s="355"/>
      <c r="X457" s="355"/>
      <c r="Y457" s="355"/>
      <c r="Z457" s="355"/>
    </row>
    <row r="458" spans="1:26" ht="13.5" customHeight="1" x14ac:dyDescent="0.25">
      <c r="A458" s="382"/>
      <c r="B458" s="355"/>
      <c r="C458" s="450"/>
      <c r="D458" s="450"/>
      <c r="E458" s="355"/>
      <c r="F458" s="355"/>
      <c r="G458" s="355"/>
      <c r="H458" s="355"/>
      <c r="I458" s="355"/>
      <c r="J458" s="355"/>
      <c r="K458" s="355"/>
      <c r="L458" s="355"/>
      <c r="M458" s="355"/>
      <c r="N458" s="355"/>
      <c r="O458" s="355"/>
      <c r="P458" s="355"/>
      <c r="Q458" s="355"/>
      <c r="R458" s="355"/>
      <c r="S458" s="355"/>
      <c r="T458" s="355"/>
      <c r="U458" s="355"/>
      <c r="V458" s="355"/>
      <c r="W458" s="355"/>
      <c r="X458" s="355"/>
      <c r="Y458" s="355"/>
      <c r="Z458" s="355"/>
    </row>
    <row r="459" spans="1:26" ht="13.5" customHeight="1" x14ac:dyDescent="0.25">
      <c r="A459" s="382"/>
      <c r="B459" s="355"/>
      <c r="C459" s="450"/>
      <c r="D459" s="450"/>
      <c r="E459" s="355"/>
      <c r="F459" s="355"/>
      <c r="G459" s="355"/>
      <c r="H459" s="355"/>
      <c r="I459" s="355"/>
      <c r="J459" s="355"/>
      <c r="K459" s="355"/>
      <c r="L459" s="355"/>
      <c r="M459" s="355"/>
      <c r="N459" s="355"/>
      <c r="O459" s="355"/>
      <c r="P459" s="355"/>
      <c r="Q459" s="355"/>
      <c r="R459" s="355"/>
      <c r="S459" s="355"/>
      <c r="T459" s="355"/>
      <c r="U459" s="355"/>
      <c r="V459" s="355"/>
      <c r="W459" s="355"/>
      <c r="X459" s="355"/>
      <c r="Y459" s="355"/>
      <c r="Z459" s="355"/>
    </row>
    <row r="460" spans="1:26" ht="13.5" customHeight="1" x14ac:dyDescent="0.25">
      <c r="A460" s="382"/>
      <c r="B460" s="355"/>
      <c r="C460" s="450"/>
      <c r="D460" s="450"/>
      <c r="E460" s="355"/>
      <c r="F460" s="355"/>
      <c r="G460" s="355"/>
      <c r="H460" s="355"/>
      <c r="I460" s="355"/>
      <c r="J460" s="355"/>
      <c r="K460" s="355"/>
      <c r="L460" s="355"/>
      <c r="M460" s="355"/>
      <c r="N460" s="355"/>
      <c r="O460" s="355"/>
      <c r="P460" s="355"/>
      <c r="Q460" s="355"/>
      <c r="R460" s="355"/>
      <c r="S460" s="355"/>
      <c r="T460" s="355"/>
      <c r="U460" s="355"/>
      <c r="V460" s="355"/>
      <c r="W460" s="355"/>
      <c r="X460" s="355"/>
      <c r="Y460" s="355"/>
      <c r="Z460" s="355"/>
    </row>
    <row r="461" spans="1:26" ht="13.5" customHeight="1" x14ac:dyDescent="0.25">
      <c r="A461" s="382"/>
      <c r="B461" s="355"/>
      <c r="C461" s="450"/>
      <c r="D461" s="450"/>
      <c r="E461" s="355"/>
      <c r="F461" s="355"/>
      <c r="G461" s="355"/>
      <c r="H461" s="355"/>
      <c r="I461" s="355"/>
      <c r="J461" s="355"/>
      <c r="K461" s="355"/>
      <c r="L461" s="355"/>
      <c r="M461" s="355"/>
      <c r="N461" s="355"/>
      <c r="O461" s="355"/>
      <c r="P461" s="355"/>
      <c r="Q461" s="355"/>
      <c r="R461" s="355"/>
      <c r="S461" s="355"/>
      <c r="T461" s="355"/>
      <c r="U461" s="355"/>
      <c r="V461" s="355"/>
      <c r="W461" s="355"/>
      <c r="X461" s="355"/>
      <c r="Y461" s="355"/>
      <c r="Z461" s="355"/>
    </row>
    <row r="462" spans="1:26" ht="13.5" customHeight="1" x14ac:dyDescent="0.25">
      <c r="A462" s="382"/>
      <c r="B462" s="355"/>
      <c r="C462" s="450"/>
      <c r="D462" s="450"/>
      <c r="E462" s="355"/>
      <c r="F462" s="355"/>
      <c r="G462" s="355"/>
      <c r="H462" s="355"/>
      <c r="I462" s="355"/>
      <c r="J462" s="355"/>
      <c r="K462" s="355"/>
      <c r="L462" s="355"/>
      <c r="M462" s="355"/>
      <c r="N462" s="355"/>
      <c r="O462" s="355"/>
      <c r="P462" s="355"/>
      <c r="Q462" s="355"/>
      <c r="R462" s="355"/>
      <c r="S462" s="355"/>
      <c r="T462" s="355"/>
      <c r="U462" s="355"/>
      <c r="V462" s="355"/>
      <c r="W462" s="355"/>
      <c r="X462" s="355"/>
      <c r="Y462" s="355"/>
      <c r="Z462" s="355"/>
    </row>
    <row r="463" spans="1:26" ht="13.5" customHeight="1" x14ac:dyDescent="0.25">
      <c r="A463" s="382"/>
      <c r="B463" s="355"/>
      <c r="C463" s="450"/>
      <c r="D463" s="450"/>
      <c r="E463" s="355"/>
      <c r="F463" s="355"/>
      <c r="G463" s="355"/>
      <c r="H463" s="355"/>
      <c r="I463" s="355"/>
      <c r="J463" s="355"/>
      <c r="K463" s="355"/>
      <c r="L463" s="355"/>
      <c r="M463" s="355"/>
      <c r="N463" s="355"/>
      <c r="O463" s="355"/>
      <c r="P463" s="355"/>
      <c r="Q463" s="355"/>
      <c r="R463" s="355"/>
      <c r="S463" s="355"/>
      <c r="T463" s="355"/>
      <c r="U463" s="355"/>
      <c r="V463" s="355"/>
      <c r="W463" s="355"/>
      <c r="X463" s="355"/>
      <c r="Y463" s="355"/>
      <c r="Z463" s="355"/>
    </row>
    <row r="464" spans="1:26" ht="13.5" customHeight="1" x14ac:dyDescent="0.25">
      <c r="A464" s="382"/>
      <c r="B464" s="355"/>
      <c r="C464" s="450"/>
      <c r="D464" s="450"/>
      <c r="E464" s="355"/>
      <c r="F464" s="355"/>
      <c r="G464" s="355"/>
      <c r="H464" s="355"/>
      <c r="I464" s="355"/>
      <c r="J464" s="355"/>
      <c r="K464" s="355"/>
      <c r="L464" s="355"/>
      <c r="M464" s="355"/>
      <c r="N464" s="355"/>
      <c r="O464" s="355"/>
      <c r="P464" s="355"/>
      <c r="Q464" s="355"/>
      <c r="R464" s="355"/>
      <c r="S464" s="355"/>
      <c r="T464" s="355"/>
      <c r="U464" s="355"/>
      <c r="V464" s="355"/>
      <c r="W464" s="355"/>
      <c r="X464" s="355"/>
      <c r="Y464" s="355"/>
      <c r="Z464" s="355"/>
    </row>
    <row r="465" spans="1:26" ht="13.5" customHeight="1" x14ac:dyDescent="0.25">
      <c r="A465" s="382"/>
      <c r="B465" s="355"/>
      <c r="C465" s="450"/>
      <c r="D465" s="450"/>
      <c r="E465" s="355"/>
      <c r="F465" s="355"/>
      <c r="G465" s="355"/>
      <c r="H465" s="355"/>
      <c r="I465" s="355"/>
      <c r="J465" s="355"/>
      <c r="K465" s="355"/>
      <c r="L465" s="355"/>
      <c r="M465" s="355"/>
      <c r="N465" s="355"/>
      <c r="O465" s="355"/>
      <c r="P465" s="355"/>
      <c r="Q465" s="355"/>
      <c r="R465" s="355"/>
      <c r="S465" s="355"/>
      <c r="T465" s="355"/>
      <c r="U465" s="355"/>
      <c r="V465" s="355"/>
      <c r="W465" s="355"/>
      <c r="X465" s="355"/>
      <c r="Y465" s="355"/>
      <c r="Z465" s="355"/>
    </row>
    <row r="466" spans="1:26" ht="13.5" customHeight="1" x14ac:dyDescent="0.25">
      <c r="A466" s="382"/>
      <c r="B466" s="355"/>
      <c r="C466" s="450"/>
      <c r="D466" s="450"/>
      <c r="E466" s="355"/>
      <c r="F466" s="355"/>
      <c r="G466" s="355"/>
      <c r="H466" s="355"/>
      <c r="I466" s="355"/>
      <c r="J466" s="355"/>
      <c r="K466" s="355"/>
      <c r="L466" s="355"/>
      <c r="M466" s="355"/>
      <c r="N466" s="355"/>
      <c r="O466" s="355"/>
      <c r="P466" s="355"/>
      <c r="Q466" s="355"/>
      <c r="R466" s="355"/>
      <c r="S466" s="355"/>
      <c r="T466" s="355"/>
      <c r="U466" s="355"/>
      <c r="V466" s="355"/>
      <c r="W466" s="355"/>
      <c r="X466" s="355"/>
      <c r="Y466" s="355"/>
      <c r="Z466" s="355"/>
    </row>
    <row r="467" spans="1:26" ht="13.5" customHeight="1" x14ac:dyDescent="0.25">
      <c r="A467" s="382"/>
      <c r="B467" s="355"/>
      <c r="C467" s="450"/>
      <c r="D467" s="450"/>
      <c r="E467" s="355"/>
      <c r="F467" s="355"/>
      <c r="G467" s="355"/>
      <c r="H467" s="355"/>
      <c r="I467" s="355"/>
      <c r="J467" s="355"/>
      <c r="K467" s="355"/>
      <c r="L467" s="355"/>
      <c r="M467" s="355"/>
      <c r="N467" s="355"/>
      <c r="O467" s="355"/>
      <c r="P467" s="355"/>
      <c r="Q467" s="355"/>
      <c r="R467" s="355"/>
      <c r="S467" s="355"/>
      <c r="T467" s="355"/>
      <c r="U467" s="355"/>
      <c r="V467" s="355"/>
      <c r="W467" s="355"/>
      <c r="X467" s="355"/>
      <c r="Y467" s="355"/>
      <c r="Z467" s="355"/>
    </row>
    <row r="468" spans="1:26" ht="13.5" customHeight="1" x14ac:dyDescent="0.25">
      <c r="A468" s="382"/>
      <c r="B468" s="355"/>
      <c r="C468" s="450"/>
      <c r="D468" s="450"/>
      <c r="E468" s="355"/>
      <c r="F468" s="355"/>
      <c r="G468" s="355"/>
      <c r="H468" s="355"/>
      <c r="I468" s="355"/>
      <c r="J468" s="355"/>
      <c r="K468" s="355"/>
      <c r="L468" s="355"/>
      <c r="M468" s="355"/>
      <c r="N468" s="355"/>
      <c r="O468" s="355"/>
      <c r="P468" s="355"/>
      <c r="Q468" s="355"/>
      <c r="R468" s="355"/>
      <c r="S468" s="355"/>
      <c r="T468" s="355"/>
      <c r="U468" s="355"/>
      <c r="V468" s="355"/>
      <c r="W468" s="355"/>
      <c r="X468" s="355"/>
      <c r="Y468" s="355"/>
      <c r="Z468" s="355"/>
    </row>
    <row r="469" spans="1:26" ht="13.5" customHeight="1" x14ac:dyDescent="0.25">
      <c r="A469" s="382"/>
      <c r="B469" s="355"/>
      <c r="C469" s="450"/>
      <c r="D469" s="450"/>
      <c r="E469" s="355"/>
      <c r="F469" s="355"/>
      <c r="G469" s="355"/>
      <c r="H469" s="355"/>
      <c r="I469" s="355"/>
      <c r="J469" s="355"/>
      <c r="K469" s="355"/>
      <c r="L469" s="355"/>
      <c r="M469" s="355"/>
      <c r="N469" s="355"/>
      <c r="O469" s="355"/>
      <c r="P469" s="355"/>
      <c r="Q469" s="355"/>
      <c r="R469" s="355"/>
      <c r="S469" s="355"/>
      <c r="T469" s="355"/>
      <c r="U469" s="355"/>
      <c r="V469" s="355"/>
      <c r="W469" s="355"/>
      <c r="X469" s="355"/>
      <c r="Y469" s="355"/>
      <c r="Z469" s="355"/>
    </row>
    <row r="470" spans="1:26" ht="13.5" customHeight="1" x14ac:dyDescent="0.25">
      <c r="A470" s="382"/>
      <c r="B470" s="355"/>
      <c r="C470" s="450"/>
      <c r="D470" s="450"/>
      <c r="E470" s="355"/>
      <c r="F470" s="355"/>
      <c r="G470" s="355"/>
      <c r="H470" s="355"/>
      <c r="I470" s="355"/>
      <c r="J470" s="355"/>
      <c r="K470" s="355"/>
      <c r="L470" s="355"/>
      <c r="M470" s="355"/>
      <c r="N470" s="355"/>
      <c r="O470" s="355"/>
      <c r="P470" s="355"/>
      <c r="Q470" s="355"/>
      <c r="R470" s="355"/>
      <c r="S470" s="355"/>
      <c r="T470" s="355"/>
      <c r="U470" s="355"/>
      <c r="V470" s="355"/>
      <c r="W470" s="355"/>
      <c r="X470" s="355"/>
      <c r="Y470" s="355"/>
      <c r="Z470" s="355"/>
    </row>
    <row r="471" spans="1:26" ht="13.5" customHeight="1" x14ac:dyDescent="0.25">
      <c r="A471" s="382"/>
      <c r="B471" s="355"/>
      <c r="C471" s="450"/>
      <c r="D471" s="450"/>
      <c r="E471" s="355"/>
      <c r="F471" s="355"/>
      <c r="G471" s="355"/>
      <c r="H471" s="355"/>
      <c r="I471" s="355"/>
      <c r="J471" s="355"/>
      <c r="K471" s="355"/>
      <c r="L471" s="355"/>
      <c r="M471" s="355"/>
      <c r="N471" s="355"/>
      <c r="O471" s="355"/>
      <c r="P471" s="355"/>
      <c r="Q471" s="355"/>
      <c r="R471" s="355"/>
      <c r="S471" s="355"/>
      <c r="T471" s="355"/>
      <c r="U471" s="355"/>
      <c r="V471" s="355"/>
      <c r="W471" s="355"/>
      <c r="X471" s="355"/>
      <c r="Y471" s="355"/>
      <c r="Z471" s="355"/>
    </row>
    <row r="472" spans="1:26" ht="13.5" customHeight="1" x14ac:dyDescent="0.25">
      <c r="A472" s="382"/>
      <c r="B472" s="355"/>
      <c r="C472" s="450"/>
      <c r="D472" s="450"/>
      <c r="E472" s="355"/>
      <c r="F472" s="355"/>
      <c r="G472" s="355"/>
      <c r="H472" s="355"/>
      <c r="I472" s="355"/>
      <c r="J472" s="355"/>
      <c r="K472" s="355"/>
      <c r="L472" s="355"/>
      <c r="M472" s="355"/>
      <c r="N472" s="355"/>
      <c r="O472" s="355"/>
      <c r="P472" s="355"/>
      <c r="Q472" s="355"/>
      <c r="R472" s="355"/>
      <c r="S472" s="355"/>
      <c r="T472" s="355"/>
      <c r="U472" s="355"/>
      <c r="V472" s="355"/>
      <c r="W472" s="355"/>
      <c r="X472" s="355"/>
      <c r="Y472" s="355"/>
      <c r="Z472" s="355"/>
    </row>
    <row r="473" spans="1:26" ht="13.5" customHeight="1" x14ac:dyDescent="0.25">
      <c r="A473" s="382"/>
      <c r="B473" s="355"/>
      <c r="C473" s="450"/>
      <c r="D473" s="450"/>
      <c r="E473" s="355"/>
      <c r="F473" s="355"/>
      <c r="G473" s="355"/>
      <c r="H473" s="355"/>
      <c r="I473" s="355"/>
      <c r="J473" s="355"/>
      <c r="K473" s="355"/>
      <c r="L473" s="355"/>
      <c r="M473" s="355"/>
      <c r="N473" s="355"/>
      <c r="O473" s="355"/>
      <c r="P473" s="355"/>
      <c r="Q473" s="355"/>
      <c r="R473" s="355"/>
      <c r="S473" s="355"/>
      <c r="T473" s="355"/>
      <c r="U473" s="355"/>
      <c r="V473" s="355"/>
      <c r="W473" s="355"/>
      <c r="X473" s="355"/>
      <c r="Y473" s="355"/>
      <c r="Z473" s="355"/>
    </row>
    <row r="474" spans="1:26" ht="13.5" customHeight="1" x14ac:dyDescent="0.25">
      <c r="A474" s="382"/>
      <c r="B474" s="355"/>
      <c r="C474" s="450"/>
      <c r="D474" s="450"/>
      <c r="E474" s="355"/>
      <c r="F474" s="355"/>
      <c r="G474" s="355"/>
      <c r="H474" s="355"/>
      <c r="I474" s="355"/>
      <c r="J474" s="355"/>
      <c r="K474" s="355"/>
      <c r="L474" s="355"/>
      <c r="M474" s="355"/>
      <c r="N474" s="355"/>
      <c r="O474" s="355"/>
      <c r="P474" s="355"/>
      <c r="Q474" s="355"/>
      <c r="R474" s="355"/>
      <c r="S474" s="355"/>
      <c r="T474" s="355"/>
      <c r="U474" s="355"/>
      <c r="V474" s="355"/>
      <c r="W474" s="355"/>
      <c r="X474" s="355"/>
      <c r="Y474" s="355"/>
      <c r="Z474" s="355"/>
    </row>
    <row r="475" spans="1:26" ht="13.5" customHeight="1" x14ac:dyDescent="0.25">
      <c r="A475" s="382"/>
      <c r="B475" s="355"/>
      <c r="C475" s="450"/>
      <c r="D475" s="450"/>
      <c r="E475" s="355"/>
      <c r="F475" s="355"/>
      <c r="G475" s="355"/>
      <c r="H475" s="355"/>
      <c r="I475" s="355"/>
      <c r="J475" s="355"/>
      <c r="K475" s="355"/>
      <c r="L475" s="355"/>
      <c r="M475" s="355"/>
      <c r="N475" s="355"/>
      <c r="O475" s="355"/>
      <c r="P475" s="355"/>
      <c r="Q475" s="355"/>
      <c r="R475" s="355"/>
      <c r="S475" s="355"/>
      <c r="T475" s="355"/>
      <c r="U475" s="355"/>
      <c r="V475" s="355"/>
      <c r="W475" s="355"/>
      <c r="X475" s="355"/>
      <c r="Y475" s="355"/>
      <c r="Z475" s="355"/>
    </row>
    <row r="476" spans="1:26" ht="13.5" customHeight="1" x14ac:dyDescent="0.25">
      <c r="A476" s="382"/>
      <c r="B476" s="355"/>
      <c r="C476" s="450"/>
      <c r="D476" s="450"/>
      <c r="E476" s="355"/>
      <c r="F476" s="355"/>
      <c r="G476" s="355"/>
      <c r="H476" s="355"/>
      <c r="I476" s="355"/>
      <c r="J476" s="355"/>
      <c r="K476" s="355"/>
      <c r="L476" s="355"/>
      <c r="M476" s="355"/>
      <c r="N476" s="355"/>
      <c r="O476" s="355"/>
      <c r="P476" s="355"/>
      <c r="Q476" s="355"/>
      <c r="R476" s="355"/>
      <c r="S476" s="355"/>
      <c r="T476" s="355"/>
      <c r="U476" s="355"/>
      <c r="V476" s="355"/>
      <c r="W476" s="355"/>
      <c r="X476" s="355"/>
      <c r="Y476" s="355"/>
      <c r="Z476" s="355"/>
    </row>
    <row r="477" spans="1:26" ht="13.5" customHeight="1" x14ac:dyDescent="0.25">
      <c r="A477" s="382"/>
      <c r="B477" s="355"/>
      <c r="C477" s="450"/>
      <c r="D477" s="450"/>
      <c r="E477" s="355"/>
      <c r="F477" s="355"/>
      <c r="G477" s="355"/>
      <c r="H477" s="355"/>
      <c r="I477" s="355"/>
      <c r="J477" s="355"/>
      <c r="K477" s="355"/>
      <c r="L477" s="355"/>
      <c r="M477" s="355"/>
      <c r="N477" s="355"/>
      <c r="O477" s="355"/>
      <c r="P477" s="355"/>
      <c r="Q477" s="355"/>
      <c r="R477" s="355"/>
      <c r="S477" s="355"/>
      <c r="T477" s="355"/>
      <c r="U477" s="355"/>
      <c r="V477" s="355"/>
      <c r="W477" s="355"/>
      <c r="X477" s="355"/>
      <c r="Y477" s="355"/>
      <c r="Z477" s="355"/>
    </row>
    <row r="478" spans="1:26" ht="13.5" customHeight="1" x14ac:dyDescent="0.25">
      <c r="A478" s="382"/>
      <c r="B478" s="355"/>
      <c r="C478" s="450"/>
      <c r="D478" s="450"/>
      <c r="E478" s="355"/>
      <c r="F478" s="355"/>
      <c r="G478" s="355"/>
      <c r="H478" s="355"/>
      <c r="I478" s="355"/>
      <c r="J478" s="355"/>
      <c r="K478" s="355"/>
      <c r="L478" s="355"/>
      <c r="M478" s="355"/>
      <c r="N478" s="355"/>
      <c r="O478" s="355"/>
      <c r="P478" s="355"/>
      <c r="Q478" s="355"/>
      <c r="R478" s="355"/>
      <c r="S478" s="355"/>
      <c r="T478" s="355"/>
      <c r="U478" s="355"/>
      <c r="V478" s="355"/>
      <c r="W478" s="355"/>
      <c r="X478" s="355"/>
      <c r="Y478" s="355"/>
      <c r="Z478" s="355"/>
    </row>
    <row r="479" spans="1:26" ht="13.5" customHeight="1" x14ac:dyDescent="0.25">
      <c r="A479" s="382"/>
      <c r="B479" s="355"/>
      <c r="C479" s="450"/>
      <c r="D479" s="450"/>
      <c r="E479" s="355"/>
      <c r="F479" s="355"/>
      <c r="G479" s="355"/>
      <c r="H479" s="355"/>
      <c r="I479" s="355"/>
      <c r="J479" s="355"/>
      <c r="K479" s="355"/>
      <c r="L479" s="355"/>
      <c r="M479" s="355"/>
      <c r="N479" s="355"/>
      <c r="O479" s="355"/>
      <c r="P479" s="355"/>
      <c r="Q479" s="355"/>
      <c r="R479" s="355"/>
      <c r="S479" s="355"/>
      <c r="T479" s="355"/>
      <c r="U479" s="355"/>
      <c r="V479" s="355"/>
      <c r="W479" s="355"/>
      <c r="X479" s="355"/>
      <c r="Y479" s="355"/>
      <c r="Z479" s="355"/>
    </row>
    <row r="480" spans="1:26" ht="13.5" customHeight="1" x14ac:dyDescent="0.25">
      <c r="A480" s="382"/>
      <c r="B480" s="355"/>
      <c r="C480" s="450"/>
      <c r="D480" s="450"/>
      <c r="E480" s="355"/>
      <c r="F480" s="355"/>
      <c r="G480" s="355"/>
      <c r="H480" s="355"/>
      <c r="I480" s="355"/>
      <c r="J480" s="355"/>
      <c r="K480" s="355"/>
      <c r="L480" s="355"/>
      <c r="M480" s="355"/>
      <c r="N480" s="355"/>
      <c r="O480" s="355"/>
      <c r="P480" s="355"/>
      <c r="Q480" s="355"/>
      <c r="R480" s="355"/>
      <c r="S480" s="355"/>
      <c r="T480" s="355"/>
      <c r="U480" s="355"/>
      <c r="V480" s="355"/>
      <c r="W480" s="355"/>
      <c r="X480" s="355"/>
      <c r="Y480" s="355"/>
      <c r="Z480" s="355"/>
    </row>
    <row r="481" spans="1:26" ht="13.5" customHeight="1" x14ac:dyDescent="0.25">
      <c r="A481" s="382"/>
      <c r="B481" s="355"/>
      <c r="C481" s="450"/>
      <c r="D481" s="450"/>
      <c r="E481" s="355"/>
      <c r="F481" s="355"/>
      <c r="G481" s="355"/>
      <c r="H481" s="355"/>
      <c r="I481" s="355"/>
      <c r="J481" s="355"/>
      <c r="K481" s="355"/>
      <c r="L481" s="355"/>
      <c r="M481" s="355"/>
      <c r="N481" s="355"/>
      <c r="O481" s="355"/>
      <c r="P481" s="355"/>
      <c r="Q481" s="355"/>
      <c r="R481" s="355"/>
      <c r="S481" s="355"/>
      <c r="T481" s="355"/>
      <c r="U481" s="355"/>
      <c r="V481" s="355"/>
      <c r="W481" s="355"/>
      <c r="X481" s="355"/>
      <c r="Y481" s="355"/>
      <c r="Z481" s="355"/>
    </row>
    <row r="482" spans="1:26" ht="13.5" customHeight="1" x14ac:dyDescent="0.25">
      <c r="A482" s="382"/>
      <c r="B482" s="355"/>
      <c r="C482" s="450"/>
      <c r="D482" s="450"/>
      <c r="E482" s="355"/>
      <c r="F482" s="355"/>
      <c r="G482" s="355"/>
      <c r="H482" s="355"/>
      <c r="I482" s="355"/>
      <c r="J482" s="355"/>
      <c r="K482" s="355"/>
      <c r="L482" s="355"/>
      <c r="M482" s="355"/>
      <c r="N482" s="355"/>
      <c r="O482" s="355"/>
      <c r="P482" s="355"/>
      <c r="Q482" s="355"/>
      <c r="R482" s="355"/>
      <c r="S482" s="355"/>
      <c r="T482" s="355"/>
      <c r="U482" s="355"/>
      <c r="V482" s="355"/>
      <c r="W482" s="355"/>
      <c r="X482" s="355"/>
      <c r="Y482" s="355"/>
      <c r="Z482" s="355"/>
    </row>
    <row r="483" spans="1:26" ht="13.5" customHeight="1" x14ac:dyDescent="0.25">
      <c r="A483" s="382"/>
      <c r="B483" s="355"/>
      <c r="C483" s="450"/>
      <c r="D483" s="450"/>
      <c r="E483" s="355"/>
      <c r="F483" s="355"/>
      <c r="G483" s="355"/>
      <c r="H483" s="355"/>
      <c r="I483" s="355"/>
      <c r="J483" s="355"/>
      <c r="K483" s="355"/>
      <c r="L483" s="355"/>
      <c r="M483" s="355"/>
      <c r="N483" s="355"/>
      <c r="O483" s="355"/>
      <c r="P483" s="355"/>
      <c r="Q483" s="355"/>
      <c r="R483" s="355"/>
      <c r="S483" s="355"/>
      <c r="T483" s="355"/>
      <c r="U483" s="355"/>
      <c r="V483" s="355"/>
      <c r="W483" s="355"/>
      <c r="X483" s="355"/>
      <c r="Y483" s="355"/>
      <c r="Z483" s="355"/>
    </row>
    <row r="484" spans="1:26" ht="13.5" customHeight="1" x14ac:dyDescent="0.25">
      <c r="A484" s="382"/>
      <c r="B484" s="355"/>
      <c r="C484" s="450"/>
      <c r="D484" s="450"/>
      <c r="E484" s="355"/>
      <c r="F484" s="355"/>
      <c r="G484" s="355"/>
      <c r="H484" s="355"/>
      <c r="I484" s="355"/>
      <c r="J484" s="355"/>
      <c r="K484" s="355"/>
      <c r="L484" s="355"/>
      <c r="M484" s="355"/>
      <c r="N484" s="355"/>
      <c r="O484" s="355"/>
      <c r="P484" s="355"/>
      <c r="Q484" s="355"/>
      <c r="R484" s="355"/>
      <c r="S484" s="355"/>
      <c r="T484" s="355"/>
      <c r="U484" s="355"/>
      <c r="V484" s="355"/>
      <c r="W484" s="355"/>
      <c r="X484" s="355"/>
      <c r="Y484" s="355"/>
      <c r="Z484" s="355"/>
    </row>
    <row r="485" spans="1:26" ht="13.5" customHeight="1" x14ac:dyDescent="0.25">
      <c r="A485" s="382"/>
      <c r="B485" s="355"/>
      <c r="C485" s="450"/>
      <c r="D485" s="450"/>
      <c r="E485" s="355"/>
      <c r="F485" s="355"/>
      <c r="G485" s="355"/>
      <c r="H485" s="355"/>
      <c r="I485" s="355"/>
      <c r="J485" s="355"/>
      <c r="K485" s="355"/>
      <c r="L485" s="355"/>
      <c r="M485" s="355"/>
      <c r="N485" s="355"/>
      <c r="O485" s="355"/>
      <c r="P485" s="355"/>
      <c r="Q485" s="355"/>
      <c r="R485" s="355"/>
      <c r="S485" s="355"/>
      <c r="T485" s="355"/>
      <c r="U485" s="355"/>
      <c r="V485" s="355"/>
      <c r="W485" s="355"/>
      <c r="X485" s="355"/>
      <c r="Y485" s="355"/>
      <c r="Z485" s="355"/>
    </row>
    <row r="486" spans="1:26" ht="13.5" customHeight="1" x14ac:dyDescent="0.25">
      <c r="A486" s="382"/>
      <c r="B486" s="355"/>
      <c r="C486" s="450"/>
      <c r="D486" s="450"/>
      <c r="E486" s="355"/>
      <c r="F486" s="355"/>
      <c r="G486" s="355"/>
      <c r="H486" s="355"/>
      <c r="I486" s="355"/>
      <c r="J486" s="355"/>
      <c r="K486" s="355"/>
      <c r="L486" s="355"/>
      <c r="M486" s="355"/>
      <c r="N486" s="355"/>
      <c r="O486" s="355"/>
      <c r="P486" s="355"/>
      <c r="Q486" s="355"/>
      <c r="R486" s="355"/>
      <c r="S486" s="355"/>
      <c r="T486" s="355"/>
      <c r="U486" s="355"/>
      <c r="V486" s="355"/>
      <c r="W486" s="355"/>
      <c r="X486" s="355"/>
      <c r="Y486" s="355"/>
      <c r="Z486" s="355"/>
    </row>
    <row r="487" spans="1:26" ht="13.5" customHeight="1" x14ac:dyDescent="0.25">
      <c r="A487" s="382"/>
      <c r="B487" s="355"/>
      <c r="C487" s="450"/>
      <c r="D487" s="450"/>
      <c r="E487" s="355"/>
      <c r="F487" s="355"/>
      <c r="G487" s="355"/>
      <c r="H487" s="355"/>
      <c r="I487" s="355"/>
      <c r="J487" s="355"/>
      <c r="K487" s="355"/>
      <c r="L487" s="355"/>
      <c r="M487" s="355"/>
      <c r="N487" s="355"/>
      <c r="O487" s="355"/>
      <c r="P487" s="355"/>
      <c r="Q487" s="355"/>
      <c r="R487" s="355"/>
      <c r="S487" s="355"/>
      <c r="T487" s="355"/>
      <c r="U487" s="355"/>
      <c r="V487" s="355"/>
      <c r="W487" s="355"/>
      <c r="X487" s="355"/>
      <c r="Y487" s="355"/>
      <c r="Z487" s="355"/>
    </row>
    <row r="488" spans="1:26" ht="13.5" customHeight="1" x14ac:dyDescent="0.25">
      <c r="A488" s="382"/>
      <c r="B488" s="355"/>
      <c r="C488" s="450"/>
      <c r="D488" s="450"/>
      <c r="E488" s="355"/>
      <c r="F488" s="355"/>
      <c r="G488" s="355"/>
      <c r="H488" s="355"/>
      <c r="I488" s="355"/>
      <c r="J488" s="355"/>
      <c r="K488" s="355"/>
      <c r="L488" s="355"/>
      <c r="M488" s="355"/>
      <c r="N488" s="355"/>
      <c r="O488" s="355"/>
      <c r="P488" s="355"/>
      <c r="Q488" s="355"/>
      <c r="R488" s="355"/>
      <c r="S488" s="355"/>
      <c r="T488" s="355"/>
      <c r="U488" s="355"/>
      <c r="V488" s="355"/>
      <c r="W488" s="355"/>
      <c r="X488" s="355"/>
      <c r="Y488" s="355"/>
      <c r="Z488" s="355"/>
    </row>
    <row r="489" spans="1:26" ht="13.5" customHeight="1" x14ac:dyDescent="0.25">
      <c r="A489" s="382"/>
      <c r="B489" s="355"/>
      <c r="C489" s="450"/>
      <c r="D489" s="450"/>
      <c r="E489" s="355"/>
      <c r="F489" s="355"/>
      <c r="G489" s="355"/>
      <c r="H489" s="355"/>
      <c r="I489" s="355"/>
      <c r="J489" s="355"/>
      <c r="K489" s="355"/>
      <c r="L489" s="355"/>
      <c r="M489" s="355"/>
      <c r="N489" s="355"/>
      <c r="O489" s="355"/>
      <c r="P489" s="355"/>
      <c r="Q489" s="355"/>
      <c r="R489" s="355"/>
      <c r="S489" s="355"/>
      <c r="T489" s="355"/>
      <c r="U489" s="355"/>
      <c r="V489" s="355"/>
      <c r="W489" s="355"/>
      <c r="X489" s="355"/>
      <c r="Y489" s="355"/>
      <c r="Z489" s="355"/>
    </row>
    <row r="490" spans="1:26" ht="13.5" customHeight="1" x14ac:dyDescent="0.25">
      <c r="A490" s="382"/>
      <c r="B490" s="355"/>
      <c r="C490" s="450"/>
      <c r="D490" s="450"/>
      <c r="E490" s="355"/>
      <c r="F490" s="355"/>
      <c r="G490" s="355"/>
      <c r="H490" s="355"/>
      <c r="I490" s="355"/>
      <c r="J490" s="355"/>
      <c r="K490" s="355"/>
      <c r="L490" s="355"/>
      <c r="M490" s="355"/>
      <c r="N490" s="355"/>
      <c r="O490" s="355"/>
      <c r="P490" s="355"/>
      <c r="Q490" s="355"/>
      <c r="R490" s="355"/>
      <c r="S490" s="355"/>
      <c r="T490" s="355"/>
      <c r="U490" s="355"/>
      <c r="V490" s="355"/>
      <c r="W490" s="355"/>
      <c r="X490" s="355"/>
      <c r="Y490" s="355"/>
      <c r="Z490" s="355"/>
    </row>
    <row r="491" spans="1:26" ht="13.5" customHeight="1" x14ac:dyDescent="0.25">
      <c r="A491" s="382"/>
      <c r="B491" s="355"/>
      <c r="C491" s="450"/>
      <c r="D491" s="450"/>
      <c r="E491" s="355"/>
      <c r="F491" s="355"/>
      <c r="G491" s="355"/>
      <c r="H491" s="355"/>
      <c r="I491" s="355"/>
      <c r="J491" s="355"/>
      <c r="K491" s="355"/>
      <c r="L491" s="355"/>
      <c r="M491" s="355"/>
      <c r="N491" s="355"/>
      <c r="O491" s="355"/>
      <c r="P491" s="355"/>
      <c r="Q491" s="355"/>
      <c r="R491" s="355"/>
      <c r="S491" s="355"/>
      <c r="T491" s="355"/>
      <c r="U491" s="355"/>
      <c r="V491" s="355"/>
      <c r="W491" s="355"/>
      <c r="X491" s="355"/>
      <c r="Y491" s="355"/>
      <c r="Z491" s="355"/>
    </row>
    <row r="492" spans="1:26" ht="13.5" customHeight="1" x14ac:dyDescent="0.25">
      <c r="A492" s="382"/>
      <c r="B492" s="355"/>
      <c r="C492" s="450"/>
      <c r="D492" s="450"/>
      <c r="E492" s="355"/>
      <c r="F492" s="355"/>
      <c r="G492" s="355"/>
      <c r="H492" s="355"/>
      <c r="I492" s="355"/>
      <c r="J492" s="355"/>
      <c r="K492" s="355"/>
      <c r="L492" s="355"/>
      <c r="M492" s="355"/>
      <c r="N492" s="355"/>
      <c r="O492" s="355"/>
      <c r="P492" s="355"/>
      <c r="Q492" s="355"/>
      <c r="R492" s="355"/>
      <c r="S492" s="355"/>
      <c r="T492" s="355"/>
      <c r="U492" s="355"/>
      <c r="V492" s="355"/>
      <c r="W492" s="355"/>
      <c r="X492" s="355"/>
      <c r="Y492" s="355"/>
      <c r="Z492" s="355"/>
    </row>
    <row r="493" spans="1:26" ht="13.5" customHeight="1" x14ac:dyDescent="0.25">
      <c r="A493" s="382"/>
      <c r="B493" s="355"/>
      <c r="C493" s="450"/>
      <c r="D493" s="450"/>
      <c r="E493" s="355"/>
      <c r="F493" s="355"/>
      <c r="G493" s="355"/>
      <c r="H493" s="355"/>
      <c r="I493" s="355"/>
      <c r="J493" s="355"/>
      <c r="K493" s="355"/>
      <c r="L493" s="355"/>
      <c r="M493" s="355"/>
      <c r="N493" s="355"/>
      <c r="O493" s="355"/>
      <c r="P493" s="355"/>
      <c r="Q493" s="355"/>
      <c r="R493" s="355"/>
      <c r="S493" s="355"/>
      <c r="T493" s="355"/>
      <c r="U493" s="355"/>
      <c r="V493" s="355"/>
      <c r="W493" s="355"/>
      <c r="X493" s="355"/>
      <c r="Y493" s="355"/>
      <c r="Z493" s="355"/>
    </row>
    <row r="494" spans="1:26" ht="13.5" customHeight="1" x14ac:dyDescent="0.25">
      <c r="A494" s="382"/>
      <c r="B494" s="355"/>
      <c r="C494" s="450"/>
      <c r="D494" s="450"/>
      <c r="E494" s="355"/>
      <c r="F494" s="355"/>
      <c r="G494" s="355"/>
      <c r="H494" s="355"/>
      <c r="I494" s="355"/>
      <c r="J494" s="355"/>
      <c r="K494" s="355"/>
      <c r="L494" s="355"/>
      <c r="M494" s="355"/>
      <c r="N494" s="355"/>
      <c r="O494" s="355"/>
      <c r="P494" s="355"/>
      <c r="Q494" s="355"/>
      <c r="R494" s="355"/>
      <c r="S494" s="355"/>
      <c r="T494" s="355"/>
      <c r="U494" s="355"/>
      <c r="V494" s="355"/>
      <c r="W494" s="355"/>
      <c r="X494" s="355"/>
      <c r="Y494" s="355"/>
      <c r="Z494" s="355"/>
    </row>
    <row r="495" spans="1:26" ht="13.5" customHeight="1" x14ac:dyDescent="0.25">
      <c r="A495" s="382"/>
      <c r="B495" s="355"/>
      <c r="C495" s="450"/>
      <c r="D495" s="450"/>
      <c r="E495" s="355"/>
      <c r="F495" s="355"/>
      <c r="G495" s="355"/>
      <c r="H495" s="355"/>
      <c r="I495" s="355"/>
      <c r="J495" s="355"/>
      <c r="K495" s="355"/>
      <c r="L495" s="355"/>
      <c r="M495" s="355"/>
      <c r="N495" s="355"/>
      <c r="O495" s="355"/>
      <c r="P495" s="355"/>
      <c r="Q495" s="355"/>
      <c r="R495" s="355"/>
      <c r="S495" s="355"/>
      <c r="T495" s="355"/>
      <c r="U495" s="355"/>
      <c r="V495" s="355"/>
      <c r="W495" s="355"/>
      <c r="X495" s="355"/>
      <c r="Y495" s="355"/>
      <c r="Z495" s="355"/>
    </row>
    <row r="496" spans="1:26" ht="13.5" customHeight="1" x14ac:dyDescent="0.25">
      <c r="A496" s="382"/>
      <c r="B496" s="355"/>
      <c r="C496" s="450"/>
      <c r="D496" s="450"/>
      <c r="E496" s="355"/>
      <c r="F496" s="355"/>
      <c r="G496" s="355"/>
      <c r="H496" s="355"/>
      <c r="I496" s="355"/>
      <c r="J496" s="355"/>
      <c r="K496" s="355"/>
      <c r="L496" s="355"/>
      <c r="M496" s="355"/>
      <c r="N496" s="355"/>
      <c r="O496" s="355"/>
      <c r="P496" s="355"/>
      <c r="Q496" s="355"/>
      <c r="R496" s="355"/>
      <c r="S496" s="355"/>
      <c r="T496" s="355"/>
      <c r="U496" s="355"/>
      <c r="V496" s="355"/>
      <c r="W496" s="355"/>
      <c r="X496" s="355"/>
      <c r="Y496" s="355"/>
      <c r="Z496" s="355"/>
    </row>
    <row r="497" spans="1:26" ht="13.5" customHeight="1" x14ac:dyDescent="0.25">
      <c r="A497" s="382"/>
      <c r="B497" s="355"/>
      <c r="C497" s="450"/>
      <c r="D497" s="450"/>
      <c r="E497" s="355"/>
      <c r="F497" s="355"/>
      <c r="G497" s="355"/>
      <c r="H497" s="355"/>
      <c r="I497" s="355"/>
      <c r="J497" s="355"/>
      <c r="K497" s="355"/>
      <c r="L497" s="355"/>
      <c r="M497" s="355"/>
      <c r="N497" s="355"/>
      <c r="O497" s="355"/>
      <c r="P497" s="355"/>
      <c r="Q497" s="355"/>
      <c r="R497" s="355"/>
      <c r="S497" s="355"/>
      <c r="T497" s="355"/>
      <c r="U497" s="355"/>
      <c r="V497" s="355"/>
      <c r="W497" s="355"/>
      <c r="X497" s="355"/>
      <c r="Y497" s="355"/>
      <c r="Z497" s="355"/>
    </row>
    <row r="498" spans="1:26" ht="13.5" customHeight="1" x14ac:dyDescent="0.25">
      <c r="A498" s="382"/>
      <c r="B498" s="355"/>
      <c r="C498" s="450"/>
      <c r="D498" s="450"/>
      <c r="E498" s="355"/>
      <c r="F498" s="355"/>
      <c r="G498" s="355"/>
      <c r="H498" s="355"/>
      <c r="I498" s="355"/>
      <c r="J498" s="355"/>
      <c r="K498" s="355"/>
      <c r="L498" s="355"/>
      <c r="M498" s="355"/>
      <c r="N498" s="355"/>
      <c r="O498" s="355"/>
      <c r="P498" s="355"/>
      <c r="Q498" s="355"/>
      <c r="R498" s="355"/>
      <c r="S498" s="355"/>
      <c r="T498" s="355"/>
      <c r="U498" s="355"/>
      <c r="V498" s="355"/>
      <c r="W498" s="355"/>
      <c r="X498" s="355"/>
      <c r="Y498" s="355"/>
      <c r="Z498" s="355"/>
    </row>
    <row r="499" spans="1:26" ht="13.5" customHeight="1" x14ac:dyDescent="0.25">
      <c r="A499" s="382"/>
      <c r="B499" s="355"/>
      <c r="C499" s="450"/>
      <c r="D499" s="450"/>
      <c r="E499" s="355"/>
      <c r="F499" s="355"/>
      <c r="G499" s="355"/>
      <c r="H499" s="355"/>
      <c r="I499" s="355"/>
      <c r="J499" s="355"/>
      <c r="K499" s="355"/>
      <c r="L499" s="355"/>
      <c r="M499" s="355"/>
      <c r="N499" s="355"/>
      <c r="O499" s="355"/>
      <c r="P499" s="355"/>
      <c r="Q499" s="355"/>
      <c r="R499" s="355"/>
      <c r="S499" s="355"/>
      <c r="T499" s="355"/>
      <c r="U499" s="355"/>
      <c r="V499" s="355"/>
      <c r="W499" s="355"/>
      <c r="X499" s="355"/>
      <c r="Y499" s="355"/>
      <c r="Z499" s="355"/>
    </row>
    <row r="500" spans="1:26" ht="13.5" customHeight="1" x14ac:dyDescent="0.25">
      <c r="A500" s="382"/>
      <c r="B500" s="355"/>
      <c r="C500" s="450"/>
      <c r="D500" s="450"/>
      <c r="E500" s="355"/>
      <c r="F500" s="355"/>
      <c r="G500" s="355"/>
      <c r="H500" s="355"/>
      <c r="I500" s="355"/>
      <c r="J500" s="355"/>
      <c r="K500" s="355"/>
      <c r="L500" s="355"/>
      <c r="M500" s="355"/>
      <c r="N500" s="355"/>
      <c r="O500" s="355"/>
      <c r="P500" s="355"/>
      <c r="Q500" s="355"/>
      <c r="R500" s="355"/>
      <c r="S500" s="355"/>
      <c r="T500" s="355"/>
      <c r="U500" s="355"/>
      <c r="V500" s="355"/>
      <c r="W500" s="355"/>
      <c r="X500" s="355"/>
      <c r="Y500" s="355"/>
      <c r="Z500" s="355"/>
    </row>
    <row r="501" spans="1:26" ht="13.5" customHeight="1" x14ac:dyDescent="0.25">
      <c r="A501" s="382"/>
      <c r="B501" s="355"/>
      <c r="C501" s="450"/>
      <c r="D501" s="450"/>
      <c r="E501" s="355"/>
      <c r="F501" s="355"/>
      <c r="G501" s="355"/>
      <c r="H501" s="355"/>
      <c r="I501" s="355"/>
      <c r="J501" s="355"/>
      <c r="K501" s="355"/>
      <c r="L501" s="355"/>
      <c r="M501" s="355"/>
      <c r="N501" s="355"/>
      <c r="O501" s="355"/>
      <c r="P501" s="355"/>
      <c r="Q501" s="355"/>
      <c r="R501" s="355"/>
      <c r="S501" s="355"/>
      <c r="T501" s="355"/>
      <c r="U501" s="355"/>
      <c r="V501" s="355"/>
      <c r="W501" s="355"/>
      <c r="X501" s="355"/>
      <c r="Y501" s="355"/>
      <c r="Z501" s="355"/>
    </row>
    <row r="502" spans="1:26" ht="13.5" customHeight="1" x14ac:dyDescent="0.25">
      <c r="A502" s="382"/>
      <c r="B502" s="355"/>
      <c r="C502" s="450"/>
      <c r="D502" s="450"/>
      <c r="E502" s="355"/>
      <c r="F502" s="355"/>
      <c r="G502" s="355"/>
      <c r="H502" s="355"/>
      <c r="I502" s="355"/>
      <c r="J502" s="355"/>
      <c r="K502" s="355"/>
      <c r="L502" s="355"/>
      <c r="M502" s="355"/>
      <c r="N502" s="355"/>
      <c r="O502" s="355"/>
      <c r="P502" s="355"/>
      <c r="Q502" s="355"/>
      <c r="R502" s="355"/>
      <c r="S502" s="355"/>
      <c r="T502" s="355"/>
      <c r="U502" s="355"/>
      <c r="V502" s="355"/>
      <c r="W502" s="355"/>
      <c r="X502" s="355"/>
      <c r="Y502" s="355"/>
      <c r="Z502" s="355"/>
    </row>
    <row r="503" spans="1:26" ht="13.5" customHeight="1" x14ac:dyDescent="0.25">
      <c r="A503" s="382"/>
      <c r="B503" s="355"/>
      <c r="C503" s="450"/>
      <c r="D503" s="450"/>
      <c r="E503" s="355"/>
      <c r="F503" s="355"/>
      <c r="G503" s="355"/>
      <c r="H503" s="355"/>
      <c r="I503" s="355"/>
      <c r="J503" s="355"/>
      <c r="K503" s="355"/>
      <c r="L503" s="355"/>
      <c r="M503" s="355"/>
      <c r="N503" s="355"/>
      <c r="O503" s="355"/>
      <c r="P503" s="355"/>
      <c r="Q503" s="355"/>
      <c r="R503" s="355"/>
      <c r="S503" s="355"/>
      <c r="T503" s="355"/>
      <c r="U503" s="355"/>
      <c r="V503" s="355"/>
      <c r="W503" s="355"/>
      <c r="X503" s="355"/>
      <c r="Y503" s="355"/>
      <c r="Z503" s="355"/>
    </row>
    <row r="504" spans="1:26" ht="13.5" customHeight="1" x14ac:dyDescent="0.25">
      <c r="A504" s="382"/>
      <c r="B504" s="355"/>
      <c r="C504" s="450"/>
      <c r="D504" s="450"/>
      <c r="E504" s="355"/>
      <c r="F504" s="355"/>
      <c r="G504" s="355"/>
      <c r="H504" s="355"/>
      <c r="I504" s="355"/>
      <c r="J504" s="355"/>
      <c r="K504" s="355"/>
      <c r="L504" s="355"/>
      <c r="M504" s="355"/>
      <c r="N504" s="355"/>
      <c r="O504" s="355"/>
      <c r="P504" s="355"/>
      <c r="Q504" s="355"/>
      <c r="R504" s="355"/>
      <c r="S504" s="355"/>
      <c r="T504" s="355"/>
      <c r="U504" s="355"/>
      <c r="V504" s="355"/>
      <c r="W504" s="355"/>
      <c r="X504" s="355"/>
      <c r="Y504" s="355"/>
      <c r="Z504" s="355"/>
    </row>
    <row r="505" spans="1:26" ht="13.5" customHeight="1" x14ac:dyDescent="0.25">
      <c r="A505" s="382"/>
      <c r="B505" s="355"/>
      <c r="C505" s="450"/>
      <c r="D505" s="450"/>
      <c r="E505" s="355"/>
      <c r="F505" s="355"/>
      <c r="G505" s="355"/>
      <c r="H505" s="355"/>
      <c r="I505" s="355"/>
      <c r="J505" s="355"/>
      <c r="K505" s="355"/>
      <c r="L505" s="355"/>
      <c r="M505" s="355"/>
      <c r="N505" s="355"/>
      <c r="O505" s="355"/>
      <c r="P505" s="355"/>
      <c r="Q505" s="355"/>
      <c r="R505" s="355"/>
      <c r="S505" s="355"/>
      <c r="T505" s="355"/>
      <c r="U505" s="355"/>
      <c r="V505" s="355"/>
      <c r="W505" s="355"/>
      <c r="X505" s="355"/>
      <c r="Y505" s="355"/>
      <c r="Z505" s="355"/>
    </row>
    <row r="506" spans="1:26" ht="13.5" customHeight="1" x14ac:dyDescent="0.25">
      <c r="A506" s="382"/>
      <c r="B506" s="355"/>
      <c r="C506" s="450"/>
      <c r="D506" s="450"/>
      <c r="E506" s="355"/>
      <c r="F506" s="355"/>
      <c r="G506" s="355"/>
      <c r="H506" s="355"/>
      <c r="I506" s="355"/>
      <c r="J506" s="355"/>
      <c r="K506" s="355"/>
      <c r="L506" s="355"/>
      <c r="M506" s="355"/>
      <c r="N506" s="355"/>
      <c r="O506" s="355"/>
      <c r="P506" s="355"/>
      <c r="Q506" s="355"/>
      <c r="R506" s="355"/>
      <c r="S506" s="355"/>
      <c r="T506" s="355"/>
      <c r="U506" s="355"/>
      <c r="V506" s="355"/>
      <c r="W506" s="355"/>
      <c r="X506" s="355"/>
      <c r="Y506" s="355"/>
      <c r="Z506" s="355"/>
    </row>
    <row r="507" spans="1:26" ht="13.5" customHeight="1" x14ac:dyDescent="0.25">
      <c r="A507" s="382"/>
      <c r="B507" s="355"/>
      <c r="C507" s="450"/>
      <c r="D507" s="450"/>
      <c r="E507" s="355"/>
      <c r="F507" s="355"/>
      <c r="G507" s="355"/>
      <c r="H507" s="355"/>
      <c r="I507" s="355"/>
      <c r="J507" s="355"/>
      <c r="K507" s="355"/>
      <c r="L507" s="355"/>
      <c r="M507" s="355"/>
      <c r="N507" s="355"/>
      <c r="O507" s="355"/>
      <c r="P507" s="355"/>
      <c r="Q507" s="355"/>
      <c r="R507" s="355"/>
      <c r="S507" s="355"/>
      <c r="T507" s="355"/>
      <c r="U507" s="355"/>
      <c r="V507" s="355"/>
      <c r="W507" s="355"/>
      <c r="X507" s="355"/>
      <c r="Y507" s="355"/>
      <c r="Z507" s="355"/>
    </row>
    <row r="508" spans="1:26" ht="13.5" customHeight="1" x14ac:dyDescent="0.25">
      <c r="A508" s="382"/>
      <c r="B508" s="355"/>
      <c r="C508" s="450"/>
      <c r="D508" s="450"/>
      <c r="E508" s="355"/>
      <c r="F508" s="355"/>
      <c r="G508" s="355"/>
      <c r="H508" s="355"/>
      <c r="I508" s="355"/>
      <c r="J508" s="355"/>
      <c r="K508" s="355"/>
      <c r="L508" s="355"/>
      <c r="M508" s="355"/>
      <c r="N508" s="355"/>
      <c r="O508" s="355"/>
      <c r="P508" s="355"/>
      <c r="Q508" s="355"/>
      <c r="R508" s="355"/>
      <c r="S508" s="355"/>
      <c r="T508" s="355"/>
      <c r="U508" s="355"/>
      <c r="V508" s="355"/>
      <c r="W508" s="355"/>
      <c r="X508" s="355"/>
      <c r="Y508" s="355"/>
      <c r="Z508" s="355"/>
    </row>
    <row r="509" spans="1:26" ht="13.5" customHeight="1" x14ac:dyDescent="0.25">
      <c r="A509" s="382"/>
      <c r="B509" s="355"/>
      <c r="C509" s="450"/>
      <c r="D509" s="450"/>
      <c r="E509" s="355"/>
      <c r="F509" s="355"/>
      <c r="G509" s="355"/>
      <c r="H509" s="355"/>
      <c r="I509" s="355"/>
      <c r="J509" s="355"/>
      <c r="K509" s="355"/>
      <c r="L509" s="355"/>
      <c r="M509" s="355"/>
      <c r="N509" s="355"/>
      <c r="O509" s="355"/>
      <c r="P509" s="355"/>
      <c r="Q509" s="355"/>
      <c r="R509" s="355"/>
      <c r="S509" s="355"/>
      <c r="T509" s="355"/>
      <c r="U509" s="355"/>
      <c r="V509" s="355"/>
      <c r="W509" s="355"/>
      <c r="X509" s="355"/>
      <c r="Y509" s="355"/>
      <c r="Z509" s="355"/>
    </row>
    <row r="510" spans="1:26" ht="13.5" customHeight="1" x14ac:dyDescent="0.25">
      <c r="A510" s="382"/>
      <c r="B510" s="355"/>
      <c r="C510" s="450"/>
      <c r="D510" s="450"/>
      <c r="E510" s="355"/>
      <c r="F510" s="355"/>
      <c r="G510" s="355"/>
      <c r="H510" s="355"/>
      <c r="I510" s="355"/>
      <c r="J510" s="355"/>
      <c r="K510" s="355"/>
      <c r="L510" s="355"/>
      <c r="M510" s="355"/>
      <c r="N510" s="355"/>
      <c r="O510" s="355"/>
      <c r="P510" s="355"/>
      <c r="Q510" s="355"/>
      <c r="R510" s="355"/>
      <c r="S510" s="355"/>
      <c r="T510" s="355"/>
      <c r="U510" s="355"/>
      <c r="V510" s="355"/>
      <c r="W510" s="355"/>
      <c r="X510" s="355"/>
      <c r="Y510" s="355"/>
      <c r="Z510" s="355"/>
    </row>
    <row r="511" spans="1:26" ht="13.5" customHeight="1" x14ac:dyDescent="0.25">
      <c r="A511" s="382"/>
      <c r="B511" s="355"/>
      <c r="C511" s="450"/>
      <c r="D511" s="450"/>
      <c r="E511" s="355"/>
      <c r="F511" s="355"/>
      <c r="G511" s="355"/>
      <c r="H511" s="355"/>
      <c r="I511" s="355"/>
      <c r="J511" s="355"/>
      <c r="K511" s="355"/>
      <c r="L511" s="355"/>
      <c r="M511" s="355"/>
      <c r="N511" s="355"/>
      <c r="O511" s="355"/>
      <c r="P511" s="355"/>
      <c r="Q511" s="355"/>
      <c r="R511" s="355"/>
      <c r="S511" s="355"/>
      <c r="T511" s="355"/>
      <c r="U511" s="355"/>
      <c r="V511" s="355"/>
      <c r="W511" s="355"/>
      <c r="X511" s="355"/>
      <c r="Y511" s="355"/>
      <c r="Z511" s="355"/>
    </row>
    <row r="512" spans="1:26" ht="13.5" customHeight="1" x14ac:dyDescent="0.25">
      <c r="A512" s="382"/>
      <c r="B512" s="355"/>
      <c r="C512" s="450"/>
      <c r="D512" s="450"/>
      <c r="E512" s="355"/>
      <c r="F512" s="355"/>
      <c r="G512" s="355"/>
      <c r="H512" s="355"/>
      <c r="I512" s="355"/>
      <c r="J512" s="355"/>
      <c r="K512" s="355"/>
      <c r="L512" s="355"/>
      <c r="M512" s="355"/>
      <c r="N512" s="355"/>
      <c r="O512" s="355"/>
      <c r="P512" s="355"/>
      <c r="Q512" s="355"/>
      <c r="R512" s="355"/>
      <c r="S512" s="355"/>
      <c r="T512" s="355"/>
      <c r="U512" s="355"/>
      <c r="V512" s="355"/>
      <c r="W512" s="355"/>
      <c r="X512" s="355"/>
      <c r="Y512" s="355"/>
      <c r="Z512" s="355"/>
    </row>
    <row r="513" spans="1:26" ht="13.5" customHeight="1" x14ac:dyDescent="0.25">
      <c r="A513" s="382"/>
      <c r="B513" s="355"/>
      <c r="C513" s="450"/>
      <c r="D513" s="450"/>
      <c r="E513" s="355"/>
      <c r="F513" s="355"/>
      <c r="G513" s="355"/>
      <c r="H513" s="355"/>
      <c r="I513" s="355"/>
      <c r="J513" s="355"/>
      <c r="K513" s="355"/>
      <c r="L513" s="355"/>
      <c r="M513" s="355"/>
      <c r="N513" s="355"/>
      <c r="O513" s="355"/>
      <c r="P513" s="355"/>
      <c r="Q513" s="355"/>
      <c r="R513" s="355"/>
      <c r="S513" s="355"/>
      <c r="T513" s="355"/>
      <c r="U513" s="355"/>
      <c r="V513" s="355"/>
      <c r="W513" s="355"/>
      <c r="X513" s="355"/>
      <c r="Y513" s="355"/>
      <c r="Z513" s="355"/>
    </row>
    <row r="514" spans="1:26" ht="13.5" customHeight="1" x14ac:dyDescent="0.25">
      <c r="A514" s="382"/>
      <c r="B514" s="355"/>
      <c r="C514" s="450"/>
      <c r="D514" s="450"/>
      <c r="E514" s="355"/>
      <c r="F514" s="355"/>
      <c r="G514" s="355"/>
      <c r="H514" s="355"/>
      <c r="I514" s="355"/>
      <c r="J514" s="355"/>
      <c r="K514" s="355"/>
      <c r="L514" s="355"/>
      <c r="M514" s="355"/>
      <c r="N514" s="355"/>
      <c r="O514" s="355"/>
      <c r="P514" s="355"/>
      <c r="Q514" s="355"/>
      <c r="R514" s="355"/>
      <c r="S514" s="355"/>
      <c r="T514" s="355"/>
      <c r="U514" s="355"/>
      <c r="V514" s="355"/>
      <c r="W514" s="355"/>
      <c r="X514" s="355"/>
      <c r="Y514" s="355"/>
      <c r="Z514" s="355"/>
    </row>
    <row r="515" spans="1:26" ht="13.5" customHeight="1" x14ac:dyDescent="0.25">
      <c r="A515" s="382"/>
      <c r="B515" s="355"/>
      <c r="C515" s="450"/>
      <c r="D515" s="450"/>
      <c r="E515" s="355"/>
      <c r="F515" s="355"/>
      <c r="G515" s="355"/>
      <c r="H515" s="355"/>
      <c r="I515" s="355"/>
      <c r="J515" s="355"/>
      <c r="K515" s="355"/>
      <c r="L515" s="355"/>
      <c r="M515" s="355"/>
      <c r="N515" s="355"/>
      <c r="O515" s="355"/>
      <c r="P515" s="355"/>
      <c r="Q515" s="355"/>
      <c r="R515" s="355"/>
      <c r="S515" s="355"/>
      <c r="T515" s="355"/>
      <c r="U515" s="355"/>
      <c r="V515" s="355"/>
      <c r="W515" s="355"/>
      <c r="X515" s="355"/>
      <c r="Y515" s="355"/>
      <c r="Z515" s="355"/>
    </row>
    <row r="516" spans="1:26" ht="13.5" customHeight="1" x14ac:dyDescent="0.25">
      <c r="A516" s="382"/>
      <c r="B516" s="355"/>
      <c r="C516" s="450"/>
      <c r="D516" s="450"/>
      <c r="E516" s="355"/>
      <c r="F516" s="355"/>
      <c r="G516" s="355"/>
      <c r="H516" s="355"/>
      <c r="I516" s="355"/>
      <c r="J516" s="355"/>
      <c r="K516" s="355"/>
      <c r="L516" s="355"/>
      <c r="M516" s="355"/>
      <c r="N516" s="355"/>
      <c r="O516" s="355"/>
      <c r="P516" s="355"/>
      <c r="Q516" s="355"/>
      <c r="R516" s="355"/>
      <c r="S516" s="355"/>
      <c r="T516" s="355"/>
      <c r="U516" s="355"/>
      <c r="V516" s="355"/>
      <c r="W516" s="355"/>
      <c r="X516" s="355"/>
      <c r="Y516" s="355"/>
      <c r="Z516" s="355"/>
    </row>
    <row r="517" spans="1:26" ht="13.5" customHeight="1" x14ac:dyDescent="0.25">
      <c r="A517" s="382"/>
      <c r="B517" s="355"/>
      <c r="C517" s="450"/>
      <c r="D517" s="450"/>
      <c r="E517" s="355"/>
      <c r="F517" s="355"/>
      <c r="G517" s="355"/>
      <c r="H517" s="355"/>
      <c r="I517" s="355"/>
      <c r="J517" s="355"/>
      <c r="K517" s="355"/>
      <c r="L517" s="355"/>
      <c r="M517" s="355"/>
      <c r="N517" s="355"/>
      <c r="O517" s="355"/>
      <c r="P517" s="355"/>
      <c r="Q517" s="355"/>
      <c r="R517" s="355"/>
      <c r="S517" s="355"/>
      <c r="T517" s="355"/>
      <c r="U517" s="355"/>
      <c r="V517" s="355"/>
      <c r="W517" s="355"/>
      <c r="X517" s="355"/>
      <c r="Y517" s="355"/>
      <c r="Z517" s="355"/>
    </row>
    <row r="518" spans="1:26" ht="13.5" customHeight="1" x14ac:dyDescent="0.25">
      <c r="A518" s="382"/>
      <c r="B518" s="355"/>
      <c r="C518" s="450"/>
      <c r="D518" s="450"/>
      <c r="E518" s="355"/>
      <c r="F518" s="355"/>
      <c r="G518" s="355"/>
      <c r="H518" s="355"/>
      <c r="I518" s="355"/>
      <c r="J518" s="355"/>
      <c r="K518" s="355"/>
      <c r="L518" s="355"/>
      <c r="M518" s="355"/>
      <c r="N518" s="355"/>
      <c r="O518" s="355"/>
      <c r="P518" s="355"/>
      <c r="Q518" s="355"/>
      <c r="R518" s="355"/>
      <c r="S518" s="355"/>
      <c r="T518" s="355"/>
      <c r="U518" s="355"/>
      <c r="V518" s="355"/>
      <c r="W518" s="355"/>
      <c r="X518" s="355"/>
      <c r="Y518" s="355"/>
      <c r="Z518" s="355"/>
    </row>
    <row r="519" spans="1:26" ht="13.5" customHeight="1" x14ac:dyDescent="0.25">
      <c r="A519" s="382"/>
      <c r="B519" s="355"/>
      <c r="C519" s="450"/>
      <c r="D519" s="450"/>
      <c r="E519" s="355"/>
      <c r="F519" s="355"/>
      <c r="G519" s="355"/>
      <c r="H519" s="355"/>
      <c r="I519" s="355"/>
      <c r="J519" s="355"/>
      <c r="K519" s="355"/>
      <c r="L519" s="355"/>
      <c r="M519" s="355"/>
      <c r="N519" s="355"/>
      <c r="O519" s="355"/>
      <c r="P519" s="355"/>
      <c r="Q519" s="355"/>
      <c r="R519" s="355"/>
      <c r="S519" s="355"/>
      <c r="T519" s="355"/>
      <c r="U519" s="355"/>
      <c r="V519" s="355"/>
      <c r="W519" s="355"/>
      <c r="X519" s="355"/>
      <c r="Y519" s="355"/>
      <c r="Z519" s="355"/>
    </row>
    <row r="520" spans="1:26" ht="13.5" customHeight="1" x14ac:dyDescent="0.25">
      <c r="A520" s="382"/>
      <c r="B520" s="355"/>
      <c r="C520" s="450"/>
      <c r="D520" s="450"/>
      <c r="E520" s="355"/>
      <c r="F520" s="355"/>
      <c r="G520" s="355"/>
      <c r="H520" s="355"/>
      <c r="I520" s="355"/>
      <c r="J520" s="355"/>
      <c r="K520" s="355"/>
      <c r="L520" s="355"/>
      <c r="M520" s="355"/>
      <c r="N520" s="355"/>
      <c r="O520" s="355"/>
      <c r="P520" s="355"/>
      <c r="Q520" s="355"/>
      <c r="R520" s="355"/>
      <c r="S520" s="355"/>
      <c r="T520" s="355"/>
      <c r="U520" s="355"/>
      <c r="V520" s="355"/>
      <c r="W520" s="355"/>
      <c r="X520" s="355"/>
      <c r="Y520" s="355"/>
      <c r="Z520" s="355"/>
    </row>
    <row r="521" spans="1:26" ht="13.5" customHeight="1" x14ac:dyDescent="0.25">
      <c r="A521" s="382"/>
      <c r="B521" s="355"/>
      <c r="C521" s="450"/>
      <c r="D521" s="450"/>
      <c r="E521" s="355"/>
      <c r="F521" s="355"/>
      <c r="G521" s="355"/>
      <c r="H521" s="355"/>
      <c r="I521" s="355"/>
      <c r="J521" s="355"/>
      <c r="K521" s="355"/>
      <c r="L521" s="355"/>
      <c r="M521" s="355"/>
      <c r="N521" s="355"/>
      <c r="O521" s="355"/>
      <c r="P521" s="355"/>
      <c r="Q521" s="355"/>
      <c r="R521" s="355"/>
      <c r="S521" s="355"/>
      <c r="T521" s="355"/>
      <c r="U521" s="355"/>
      <c r="V521" s="355"/>
      <c r="W521" s="355"/>
      <c r="X521" s="355"/>
      <c r="Y521" s="355"/>
      <c r="Z521" s="355"/>
    </row>
    <row r="522" spans="1:26" ht="13.5" customHeight="1" x14ac:dyDescent="0.25">
      <c r="A522" s="382"/>
      <c r="B522" s="355"/>
      <c r="C522" s="450"/>
      <c r="D522" s="450"/>
      <c r="E522" s="355"/>
      <c r="F522" s="355"/>
      <c r="G522" s="355"/>
      <c r="H522" s="355"/>
      <c r="I522" s="355"/>
      <c r="J522" s="355"/>
      <c r="K522" s="355"/>
      <c r="L522" s="355"/>
      <c r="M522" s="355"/>
      <c r="N522" s="355"/>
      <c r="O522" s="355"/>
      <c r="P522" s="355"/>
      <c r="Q522" s="355"/>
      <c r="R522" s="355"/>
      <c r="S522" s="355"/>
      <c r="T522" s="355"/>
      <c r="U522" s="355"/>
      <c r="V522" s="355"/>
      <c r="W522" s="355"/>
      <c r="X522" s="355"/>
      <c r="Y522" s="355"/>
      <c r="Z522" s="355"/>
    </row>
    <row r="523" spans="1:26" ht="13.5" customHeight="1" x14ac:dyDescent="0.25">
      <c r="A523" s="382"/>
      <c r="B523" s="355"/>
      <c r="C523" s="450"/>
      <c r="D523" s="450"/>
      <c r="E523" s="355"/>
      <c r="F523" s="355"/>
      <c r="G523" s="355"/>
      <c r="H523" s="355"/>
      <c r="I523" s="355"/>
      <c r="J523" s="355"/>
      <c r="K523" s="355"/>
      <c r="L523" s="355"/>
      <c r="M523" s="355"/>
      <c r="N523" s="355"/>
      <c r="O523" s="355"/>
      <c r="P523" s="355"/>
      <c r="Q523" s="355"/>
      <c r="R523" s="355"/>
      <c r="S523" s="355"/>
      <c r="T523" s="355"/>
      <c r="U523" s="355"/>
      <c r="V523" s="355"/>
      <c r="W523" s="355"/>
      <c r="X523" s="355"/>
      <c r="Y523" s="355"/>
      <c r="Z523" s="355"/>
    </row>
    <row r="524" spans="1:26" ht="13.5" customHeight="1" x14ac:dyDescent="0.25">
      <c r="A524" s="382"/>
      <c r="B524" s="355"/>
      <c r="C524" s="450"/>
      <c r="D524" s="450"/>
      <c r="E524" s="355"/>
      <c r="F524" s="355"/>
      <c r="G524" s="355"/>
      <c r="H524" s="355"/>
      <c r="I524" s="355"/>
      <c r="J524" s="355"/>
      <c r="K524" s="355"/>
      <c r="L524" s="355"/>
      <c r="M524" s="355"/>
      <c r="N524" s="355"/>
      <c r="O524" s="355"/>
      <c r="P524" s="355"/>
      <c r="Q524" s="355"/>
      <c r="R524" s="355"/>
      <c r="S524" s="355"/>
      <c r="T524" s="355"/>
      <c r="U524" s="355"/>
      <c r="V524" s="355"/>
      <c r="W524" s="355"/>
      <c r="X524" s="355"/>
      <c r="Y524" s="355"/>
      <c r="Z524" s="355"/>
    </row>
    <row r="525" spans="1:26" ht="13.5" customHeight="1" x14ac:dyDescent="0.25">
      <c r="A525" s="382"/>
      <c r="B525" s="355"/>
      <c r="C525" s="450"/>
      <c r="D525" s="450"/>
      <c r="E525" s="355"/>
      <c r="F525" s="355"/>
      <c r="G525" s="355"/>
      <c r="H525" s="355"/>
      <c r="I525" s="355"/>
      <c r="J525" s="355"/>
      <c r="K525" s="355"/>
      <c r="L525" s="355"/>
      <c r="M525" s="355"/>
      <c r="N525" s="355"/>
      <c r="O525" s="355"/>
      <c r="P525" s="355"/>
      <c r="Q525" s="355"/>
      <c r="R525" s="355"/>
      <c r="S525" s="355"/>
      <c r="T525" s="355"/>
      <c r="U525" s="355"/>
      <c r="V525" s="355"/>
      <c r="W525" s="355"/>
      <c r="X525" s="355"/>
      <c r="Y525" s="355"/>
      <c r="Z525" s="355"/>
    </row>
    <row r="526" spans="1:26" ht="13.5" customHeight="1" x14ac:dyDescent="0.25">
      <c r="A526" s="382"/>
      <c r="B526" s="355"/>
      <c r="C526" s="450"/>
      <c r="D526" s="450"/>
      <c r="E526" s="355"/>
      <c r="F526" s="355"/>
      <c r="G526" s="355"/>
      <c r="H526" s="355"/>
      <c r="I526" s="355"/>
      <c r="J526" s="355"/>
      <c r="K526" s="355"/>
      <c r="L526" s="355"/>
      <c r="M526" s="355"/>
      <c r="N526" s="355"/>
      <c r="O526" s="355"/>
      <c r="P526" s="355"/>
      <c r="Q526" s="355"/>
      <c r="R526" s="355"/>
      <c r="S526" s="355"/>
      <c r="T526" s="355"/>
      <c r="U526" s="355"/>
      <c r="V526" s="355"/>
      <c r="W526" s="355"/>
      <c r="X526" s="355"/>
      <c r="Y526" s="355"/>
      <c r="Z526" s="355"/>
    </row>
    <row r="527" spans="1:26" ht="13.5" customHeight="1" x14ac:dyDescent="0.25">
      <c r="A527" s="382"/>
      <c r="B527" s="355"/>
      <c r="C527" s="450"/>
      <c r="D527" s="450"/>
      <c r="E527" s="355"/>
      <c r="F527" s="355"/>
      <c r="G527" s="355"/>
      <c r="H527" s="355"/>
      <c r="I527" s="355"/>
      <c r="J527" s="355"/>
      <c r="K527" s="355"/>
      <c r="L527" s="355"/>
      <c r="M527" s="355"/>
      <c r="N527" s="355"/>
      <c r="O527" s="355"/>
      <c r="P527" s="355"/>
      <c r="Q527" s="355"/>
      <c r="R527" s="355"/>
      <c r="S527" s="355"/>
      <c r="T527" s="355"/>
      <c r="U527" s="355"/>
      <c r="V527" s="355"/>
      <c r="W527" s="355"/>
      <c r="X527" s="355"/>
      <c r="Y527" s="355"/>
      <c r="Z527" s="355"/>
    </row>
    <row r="528" spans="1:26" ht="13.5" customHeight="1" x14ac:dyDescent="0.25">
      <c r="A528" s="382"/>
      <c r="B528" s="355"/>
      <c r="C528" s="450"/>
      <c r="D528" s="450"/>
      <c r="E528" s="355"/>
      <c r="F528" s="355"/>
      <c r="G528" s="355"/>
      <c r="H528" s="355"/>
      <c r="I528" s="355"/>
      <c r="J528" s="355"/>
      <c r="K528" s="355"/>
      <c r="L528" s="355"/>
      <c r="M528" s="355"/>
      <c r="N528" s="355"/>
      <c r="O528" s="355"/>
      <c r="P528" s="355"/>
      <c r="Q528" s="355"/>
      <c r="R528" s="355"/>
      <c r="S528" s="355"/>
      <c r="T528" s="355"/>
      <c r="U528" s="355"/>
      <c r="V528" s="355"/>
      <c r="W528" s="355"/>
      <c r="X528" s="355"/>
      <c r="Y528" s="355"/>
      <c r="Z528" s="355"/>
    </row>
    <row r="529" spans="1:26" ht="13.5" customHeight="1" x14ac:dyDescent="0.25">
      <c r="A529" s="382"/>
      <c r="B529" s="355"/>
      <c r="C529" s="450"/>
      <c r="D529" s="450"/>
      <c r="E529" s="355"/>
      <c r="F529" s="355"/>
      <c r="G529" s="355"/>
      <c r="H529" s="355"/>
      <c r="I529" s="355"/>
      <c r="J529" s="355"/>
      <c r="K529" s="355"/>
      <c r="L529" s="355"/>
      <c r="M529" s="355"/>
      <c r="N529" s="355"/>
      <c r="O529" s="355"/>
      <c r="P529" s="355"/>
      <c r="Q529" s="355"/>
      <c r="R529" s="355"/>
      <c r="S529" s="355"/>
      <c r="T529" s="355"/>
      <c r="U529" s="355"/>
      <c r="V529" s="355"/>
      <c r="W529" s="355"/>
      <c r="X529" s="355"/>
      <c r="Y529" s="355"/>
      <c r="Z529" s="355"/>
    </row>
    <row r="530" spans="1:26" ht="13.5" customHeight="1" x14ac:dyDescent="0.25">
      <c r="A530" s="382"/>
      <c r="B530" s="355"/>
      <c r="C530" s="450"/>
      <c r="D530" s="450"/>
      <c r="E530" s="355"/>
      <c r="F530" s="355"/>
      <c r="G530" s="355"/>
      <c r="H530" s="355"/>
      <c r="I530" s="355"/>
      <c r="J530" s="355"/>
      <c r="K530" s="355"/>
      <c r="L530" s="355"/>
      <c r="M530" s="355"/>
      <c r="N530" s="355"/>
      <c r="O530" s="355"/>
      <c r="P530" s="355"/>
      <c r="Q530" s="355"/>
      <c r="R530" s="355"/>
      <c r="S530" s="355"/>
      <c r="T530" s="355"/>
      <c r="U530" s="355"/>
      <c r="V530" s="355"/>
      <c r="W530" s="355"/>
      <c r="X530" s="355"/>
      <c r="Y530" s="355"/>
      <c r="Z530" s="355"/>
    </row>
    <row r="531" spans="1:26" ht="13.5" customHeight="1" x14ac:dyDescent="0.25">
      <c r="A531" s="382"/>
      <c r="B531" s="355"/>
      <c r="C531" s="450"/>
      <c r="D531" s="450"/>
      <c r="E531" s="355"/>
      <c r="F531" s="355"/>
      <c r="G531" s="355"/>
      <c r="H531" s="355"/>
      <c r="I531" s="355"/>
      <c r="J531" s="355"/>
      <c r="K531" s="355"/>
      <c r="L531" s="355"/>
      <c r="M531" s="355"/>
      <c r="N531" s="355"/>
      <c r="O531" s="355"/>
      <c r="P531" s="355"/>
      <c r="Q531" s="355"/>
      <c r="R531" s="355"/>
      <c r="S531" s="355"/>
      <c r="T531" s="355"/>
      <c r="U531" s="355"/>
      <c r="V531" s="355"/>
      <c r="W531" s="355"/>
      <c r="X531" s="355"/>
      <c r="Y531" s="355"/>
      <c r="Z531" s="355"/>
    </row>
    <row r="532" spans="1:26" ht="13.5" customHeight="1" x14ac:dyDescent="0.25">
      <c r="A532" s="382"/>
      <c r="B532" s="355"/>
      <c r="C532" s="450"/>
      <c r="D532" s="450"/>
      <c r="E532" s="355"/>
      <c r="F532" s="355"/>
      <c r="G532" s="355"/>
      <c r="H532" s="355"/>
      <c r="I532" s="355"/>
      <c r="J532" s="355"/>
      <c r="K532" s="355"/>
      <c r="L532" s="355"/>
      <c r="M532" s="355"/>
      <c r="N532" s="355"/>
      <c r="O532" s="355"/>
      <c r="P532" s="355"/>
      <c r="Q532" s="355"/>
      <c r="R532" s="355"/>
      <c r="S532" s="355"/>
      <c r="T532" s="355"/>
      <c r="U532" s="355"/>
      <c r="V532" s="355"/>
      <c r="W532" s="355"/>
      <c r="X532" s="355"/>
      <c r="Y532" s="355"/>
      <c r="Z532" s="355"/>
    </row>
    <row r="533" spans="1:26" ht="13.5" customHeight="1" x14ac:dyDescent="0.25">
      <c r="A533" s="382"/>
      <c r="B533" s="355"/>
      <c r="C533" s="450"/>
      <c r="D533" s="450"/>
      <c r="E533" s="355"/>
      <c r="F533" s="355"/>
      <c r="G533" s="355"/>
      <c r="H533" s="355"/>
      <c r="I533" s="355"/>
      <c r="J533" s="355"/>
      <c r="K533" s="355"/>
      <c r="L533" s="355"/>
      <c r="M533" s="355"/>
      <c r="N533" s="355"/>
      <c r="O533" s="355"/>
      <c r="P533" s="355"/>
      <c r="Q533" s="355"/>
      <c r="R533" s="355"/>
      <c r="S533" s="355"/>
      <c r="T533" s="355"/>
      <c r="U533" s="355"/>
      <c r="V533" s="355"/>
      <c r="W533" s="355"/>
      <c r="X533" s="355"/>
      <c r="Y533" s="355"/>
      <c r="Z533" s="355"/>
    </row>
    <row r="534" spans="1:26" ht="13.5" customHeight="1" x14ac:dyDescent="0.25">
      <c r="A534" s="382"/>
      <c r="B534" s="355"/>
      <c r="C534" s="450"/>
      <c r="D534" s="450"/>
      <c r="E534" s="355"/>
      <c r="F534" s="355"/>
      <c r="G534" s="355"/>
      <c r="H534" s="355"/>
      <c r="I534" s="355"/>
      <c r="J534" s="355"/>
      <c r="K534" s="355"/>
      <c r="L534" s="355"/>
      <c r="M534" s="355"/>
      <c r="N534" s="355"/>
      <c r="O534" s="355"/>
      <c r="P534" s="355"/>
      <c r="Q534" s="355"/>
      <c r="R534" s="355"/>
      <c r="S534" s="355"/>
      <c r="T534" s="355"/>
      <c r="U534" s="355"/>
      <c r="V534" s="355"/>
      <c r="W534" s="355"/>
      <c r="X534" s="355"/>
      <c r="Y534" s="355"/>
      <c r="Z534" s="355"/>
    </row>
    <row r="535" spans="1:26" ht="13.5" customHeight="1" x14ac:dyDescent="0.25">
      <c r="A535" s="382"/>
      <c r="B535" s="355"/>
      <c r="C535" s="450"/>
      <c r="D535" s="450"/>
      <c r="E535" s="355"/>
      <c r="F535" s="355"/>
      <c r="G535" s="355"/>
      <c r="H535" s="355"/>
      <c r="I535" s="355"/>
      <c r="J535" s="355"/>
      <c r="K535" s="355"/>
      <c r="L535" s="355"/>
      <c r="M535" s="355"/>
      <c r="N535" s="355"/>
      <c r="O535" s="355"/>
      <c r="P535" s="355"/>
      <c r="Q535" s="355"/>
      <c r="R535" s="355"/>
      <c r="S535" s="355"/>
      <c r="T535" s="355"/>
      <c r="U535" s="355"/>
      <c r="V535" s="355"/>
      <c r="W535" s="355"/>
      <c r="X535" s="355"/>
      <c r="Y535" s="355"/>
      <c r="Z535" s="355"/>
    </row>
    <row r="536" spans="1:26" ht="13.5" customHeight="1" x14ac:dyDescent="0.25">
      <c r="A536" s="382"/>
      <c r="B536" s="355"/>
      <c r="C536" s="450"/>
      <c r="D536" s="450"/>
      <c r="E536" s="355"/>
      <c r="F536" s="355"/>
      <c r="G536" s="355"/>
      <c r="H536" s="355"/>
      <c r="I536" s="355"/>
      <c r="J536" s="355"/>
      <c r="K536" s="355"/>
      <c r="L536" s="355"/>
      <c r="M536" s="355"/>
      <c r="N536" s="355"/>
      <c r="O536" s="355"/>
      <c r="P536" s="355"/>
      <c r="Q536" s="355"/>
      <c r="R536" s="355"/>
      <c r="S536" s="355"/>
      <c r="T536" s="355"/>
      <c r="U536" s="355"/>
      <c r="V536" s="355"/>
      <c r="W536" s="355"/>
      <c r="X536" s="355"/>
      <c r="Y536" s="355"/>
      <c r="Z536" s="355"/>
    </row>
    <row r="537" spans="1:26" ht="13.5" customHeight="1" x14ac:dyDescent="0.25">
      <c r="A537" s="382"/>
      <c r="B537" s="355"/>
      <c r="C537" s="450"/>
      <c r="D537" s="450"/>
      <c r="E537" s="355"/>
      <c r="F537" s="355"/>
      <c r="G537" s="355"/>
      <c r="H537" s="355"/>
      <c r="I537" s="355"/>
      <c r="J537" s="355"/>
      <c r="K537" s="355"/>
      <c r="L537" s="355"/>
      <c r="M537" s="355"/>
      <c r="N537" s="355"/>
      <c r="O537" s="355"/>
      <c r="P537" s="355"/>
      <c r="Q537" s="355"/>
      <c r="R537" s="355"/>
      <c r="S537" s="355"/>
      <c r="T537" s="355"/>
      <c r="U537" s="355"/>
      <c r="V537" s="355"/>
      <c r="W537" s="355"/>
      <c r="X537" s="355"/>
      <c r="Y537" s="355"/>
      <c r="Z537" s="355"/>
    </row>
    <row r="538" spans="1:26" ht="13.5" customHeight="1" x14ac:dyDescent="0.25">
      <c r="A538" s="382"/>
      <c r="B538" s="355"/>
      <c r="C538" s="450"/>
      <c r="D538" s="450"/>
      <c r="E538" s="355"/>
      <c r="F538" s="355"/>
      <c r="G538" s="355"/>
      <c r="H538" s="355"/>
      <c r="I538" s="355"/>
      <c r="J538" s="355"/>
      <c r="K538" s="355"/>
      <c r="L538" s="355"/>
      <c r="M538" s="355"/>
      <c r="N538" s="355"/>
      <c r="O538" s="355"/>
      <c r="P538" s="355"/>
      <c r="Q538" s="355"/>
      <c r="R538" s="355"/>
      <c r="S538" s="355"/>
      <c r="T538" s="355"/>
      <c r="U538" s="355"/>
      <c r="V538" s="355"/>
      <c r="W538" s="355"/>
      <c r="X538" s="355"/>
      <c r="Y538" s="355"/>
      <c r="Z538" s="355"/>
    </row>
    <row r="539" spans="1:26" ht="13.5" customHeight="1" x14ac:dyDescent="0.25">
      <c r="A539" s="382"/>
      <c r="B539" s="355"/>
      <c r="C539" s="450"/>
      <c r="D539" s="450"/>
      <c r="E539" s="355"/>
      <c r="F539" s="355"/>
      <c r="G539" s="355"/>
      <c r="H539" s="355"/>
      <c r="I539" s="355"/>
      <c r="J539" s="355"/>
      <c r="K539" s="355"/>
      <c r="L539" s="355"/>
      <c r="M539" s="355"/>
      <c r="N539" s="355"/>
      <c r="O539" s="355"/>
      <c r="P539" s="355"/>
      <c r="Q539" s="355"/>
      <c r="R539" s="355"/>
      <c r="S539" s="355"/>
      <c r="T539" s="355"/>
      <c r="U539" s="355"/>
      <c r="V539" s="355"/>
      <c r="W539" s="355"/>
      <c r="X539" s="355"/>
      <c r="Y539" s="355"/>
      <c r="Z539" s="355"/>
    </row>
    <row r="540" spans="1:26" ht="13.5" customHeight="1" x14ac:dyDescent="0.25">
      <c r="A540" s="382"/>
      <c r="B540" s="355"/>
      <c r="C540" s="450"/>
      <c r="D540" s="450"/>
      <c r="E540" s="355"/>
      <c r="F540" s="355"/>
      <c r="G540" s="355"/>
      <c r="H540" s="355"/>
      <c r="I540" s="355"/>
      <c r="J540" s="355"/>
      <c r="K540" s="355"/>
      <c r="L540" s="355"/>
      <c r="M540" s="355"/>
      <c r="N540" s="355"/>
      <c r="O540" s="355"/>
      <c r="P540" s="355"/>
      <c r="Q540" s="355"/>
      <c r="R540" s="355"/>
      <c r="S540" s="355"/>
      <c r="T540" s="355"/>
      <c r="U540" s="355"/>
      <c r="V540" s="355"/>
      <c r="W540" s="355"/>
      <c r="X540" s="355"/>
      <c r="Y540" s="355"/>
      <c r="Z540" s="355"/>
    </row>
    <row r="541" spans="1:26" ht="13.5" customHeight="1" x14ac:dyDescent="0.25">
      <c r="A541" s="382"/>
      <c r="B541" s="355"/>
      <c r="C541" s="450"/>
      <c r="D541" s="450"/>
      <c r="E541" s="355"/>
      <c r="F541" s="355"/>
      <c r="G541" s="355"/>
      <c r="H541" s="355"/>
      <c r="I541" s="355"/>
      <c r="J541" s="355"/>
      <c r="K541" s="355"/>
      <c r="L541" s="355"/>
      <c r="M541" s="355"/>
      <c r="N541" s="355"/>
      <c r="O541" s="355"/>
      <c r="P541" s="355"/>
      <c r="Q541" s="355"/>
      <c r="R541" s="355"/>
      <c r="S541" s="355"/>
      <c r="T541" s="355"/>
      <c r="U541" s="355"/>
      <c r="V541" s="355"/>
      <c r="W541" s="355"/>
      <c r="X541" s="355"/>
      <c r="Y541" s="355"/>
      <c r="Z541" s="355"/>
    </row>
    <row r="542" spans="1:26" ht="13.5" customHeight="1" x14ac:dyDescent="0.25">
      <c r="A542" s="382"/>
      <c r="B542" s="355"/>
      <c r="C542" s="450"/>
      <c r="D542" s="450"/>
      <c r="E542" s="355"/>
      <c r="F542" s="355"/>
      <c r="G542" s="355"/>
      <c r="H542" s="355"/>
      <c r="I542" s="355"/>
      <c r="J542" s="355"/>
      <c r="K542" s="355"/>
      <c r="L542" s="355"/>
      <c r="M542" s="355"/>
      <c r="N542" s="355"/>
      <c r="O542" s="355"/>
      <c r="P542" s="355"/>
      <c r="Q542" s="355"/>
      <c r="R542" s="355"/>
      <c r="S542" s="355"/>
      <c r="T542" s="355"/>
      <c r="U542" s="355"/>
      <c r="V542" s="355"/>
      <c r="W542" s="355"/>
      <c r="X542" s="355"/>
      <c r="Y542" s="355"/>
      <c r="Z542" s="355"/>
    </row>
    <row r="543" spans="1:26" ht="13.5" customHeight="1" x14ac:dyDescent="0.25">
      <c r="A543" s="382"/>
      <c r="B543" s="355"/>
      <c r="C543" s="450"/>
      <c r="D543" s="450"/>
      <c r="E543" s="355"/>
      <c r="F543" s="355"/>
      <c r="G543" s="355"/>
      <c r="H543" s="355"/>
      <c r="I543" s="355"/>
      <c r="J543" s="355"/>
      <c r="K543" s="355"/>
      <c r="L543" s="355"/>
      <c r="M543" s="355"/>
      <c r="N543" s="355"/>
      <c r="O543" s="355"/>
      <c r="P543" s="355"/>
      <c r="Q543" s="355"/>
      <c r="R543" s="355"/>
      <c r="S543" s="355"/>
      <c r="T543" s="355"/>
      <c r="U543" s="355"/>
      <c r="V543" s="355"/>
      <c r="W543" s="355"/>
      <c r="X543" s="355"/>
      <c r="Y543" s="355"/>
      <c r="Z543" s="355"/>
    </row>
    <row r="544" spans="1:26" ht="13.5" customHeight="1" x14ac:dyDescent="0.25">
      <c r="A544" s="382"/>
      <c r="B544" s="355"/>
      <c r="C544" s="450"/>
      <c r="D544" s="450"/>
      <c r="E544" s="355"/>
      <c r="F544" s="355"/>
      <c r="G544" s="355"/>
      <c r="H544" s="355"/>
      <c r="I544" s="355"/>
      <c r="J544" s="355"/>
      <c r="K544" s="355"/>
      <c r="L544" s="355"/>
      <c r="M544" s="355"/>
      <c r="N544" s="355"/>
      <c r="O544" s="355"/>
      <c r="P544" s="355"/>
      <c r="Q544" s="355"/>
      <c r="R544" s="355"/>
      <c r="S544" s="355"/>
      <c r="T544" s="355"/>
      <c r="U544" s="355"/>
      <c r="V544" s="355"/>
      <c r="W544" s="355"/>
      <c r="X544" s="355"/>
      <c r="Y544" s="355"/>
      <c r="Z544" s="355"/>
    </row>
    <row r="545" spans="1:26" ht="13.5" customHeight="1" x14ac:dyDescent="0.25">
      <c r="A545" s="382"/>
      <c r="B545" s="355"/>
      <c r="C545" s="450"/>
      <c r="D545" s="450"/>
      <c r="E545" s="355"/>
      <c r="F545" s="355"/>
      <c r="G545" s="355"/>
      <c r="H545" s="355"/>
      <c r="I545" s="355"/>
      <c r="J545" s="355"/>
      <c r="K545" s="355"/>
      <c r="L545" s="355"/>
      <c r="M545" s="355"/>
      <c r="N545" s="355"/>
      <c r="O545" s="355"/>
      <c r="P545" s="355"/>
      <c r="Q545" s="355"/>
      <c r="R545" s="355"/>
      <c r="S545" s="355"/>
      <c r="T545" s="355"/>
      <c r="U545" s="355"/>
      <c r="V545" s="355"/>
      <c r="W545" s="355"/>
      <c r="X545" s="355"/>
      <c r="Y545" s="355"/>
      <c r="Z545" s="355"/>
    </row>
    <row r="546" spans="1:26" ht="13.5" customHeight="1" x14ac:dyDescent="0.25">
      <c r="A546" s="382"/>
      <c r="B546" s="355"/>
      <c r="C546" s="450"/>
      <c r="D546" s="450"/>
      <c r="E546" s="355"/>
      <c r="F546" s="355"/>
      <c r="G546" s="355"/>
      <c r="H546" s="355"/>
      <c r="I546" s="355"/>
      <c r="J546" s="355"/>
      <c r="K546" s="355"/>
      <c r="L546" s="355"/>
      <c r="M546" s="355"/>
      <c r="N546" s="355"/>
      <c r="O546" s="355"/>
      <c r="P546" s="355"/>
      <c r="Q546" s="355"/>
      <c r="R546" s="355"/>
      <c r="S546" s="355"/>
      <c r="T546" s="355"/>
      <c r="U546" s="355"/>
      <c r="V546" s="355"/>
      <c r="W546" s="355"/>
      <c r="X546" s="355"/>
      <c r="Y546" s="355"/>
      <c r="Z546" s="355"/>
    </row>
    <row r="547" spans="1:26" ht="13.5" customHeight="1" x14ac:dyDescent="0.25">
      <c r="A547" s="382"/>
      <c r="B547" s="355"/>
      <c r="C547" s="450"/>
      <c r="D547" s="450"/>
      <c r="E547" s="355"/>
      <c r="F547" s="355"/>
      <c r="G547" s="355"/>
      <c r="H547" s="355"/>
      <c r="I547" s="355"/>
      <c r="J547" s="355"/>
      <c r="K547" s="355"/>
      <c r="L547" s="355"/>
      <c r="M547" s="355"/>
      <c r="N547" s="355"/>
      <c r="O547" s="355"/>
      <c r="P547" s="355"/>
      <c r="Q547" s="355"/>
      <c r="R547" s="355"/>
      <c r="S547" s="355"/>
      <c r="T547" s="355"/>
      <c r="U547" s="355"/>
      <c r="V547" s="355"/>
      <c r="W547" s="355"/>
      <c r="X547" s="355"/>
      <c r="Y547" s="355"/>
      <c r="Z547" s="355"/>
    </row>
    <row r="548" spans="1:26" ht="13.5" customHeight="1" x14ac:dyDescent="0.25">
      <c r="A548" s="382"/>
      <c r="B548" s="355"/>
      <c r="C548" s="450"/>
      <c r="D548" s="450"/>
      <c r="E548" s="355"/>
      <c r="F548" s="355"/>
      <c r="G548" s="355"/>
      <c r="H548" s="355"/>
      <c r="I548" s="355"/>
      <c r="J548" s="355"/>
      <c r="K548" s="355"/>
      <c r="L548" s="355"/>
      <c r="M548" s="355"/>
      <c r="N548" s="355"/>
      <c r="O548" s="355"/>
      <c r="P548" s="355"/>
      <c r="Q548" s="355"/>
      <c r="R548" s="355"/>
      <c r="S548" s="355"/>
      <c r="T548" s="355"/>
      <c r="U548" s="355"/>
      <c r="V548" s="355"/>
      <c r="W548" s="355"/>
      <c r="X548" s="355"/>
      <c r="Y548" s="355"/>
      <c r="Z548" s="355"/>
    </row>
    <row r="549" spans="1:26" ht="13.5" customHeight="1" x14ac:dyDescent="0.25">
      <c r="A549" s="382"/>
      <c r="B549" s="355"/>
      <c r="C549" s="450"/>
      <c r="D549" s="450"/>
      <c r="E549" s="355"/>
      <c r="F549" s="355"/>
      <c r="G549" s="355"/>
      <c r="H549" s="355"/>
      <c r="I549" s="355"/>
      <c r="J549" s="355"/>
      <c r="K549" s="355"/>
      <c r="L549" s="355"/>
      <c r="M549" s="355"/>
      <c r="N549" s="355"/>
      <c r="O549" s="355"/>
      <c r="P549" s="355"/>
      <c r="Q549" s="355"/>
      <c r="R549" s="355"/>
      <c r="S549" s="355"/>
      <c r="T549" s="355"/>
      <c r="U549" s="355"/>
      <c r="V549" s="355"/>
      <c r="W549" s="355"/>
      <c r="X549" s="355"/>
      <c r="Y549" s="355"/>
      <c r="Z549" s="355"/>
    </row>
    <row r="550" spans="1:26" ht="13.5" customHeight="1" x14ac:dyDescent="0.25">
      <c r="A550" s="382"/>
      <c r="B550" s="355"/>
      <c r="C550" s="450"/>
      <c r="D550" s="450"/>
      <c r="E550" s="355"/>
      <c r="F550" s="355"/>
      <c r="G550" s="355"/>
      <c r="H550" s="355"/>
      <c r="I550" s="355"/>
      <c r="J550" s="355"/>
      <c r="K550" s="355"/>
      <c r="L550" s="355"/>
      <c r="M550" s="355"/>
      <c r="N550" s="355"/>
      <c r="O550" s="355"/>
      <c r="P550" s="355"/>
      <c r="Q550" s="355"/>
      <c r="R550" s="355"/>
      <c r="S550" s="355"/>
      <c r="T550" s="355"/>
      <c r="U550" s="355"/>
      <c r="V550" s="355"/>
      <c r="W550" s="355"/>
      <c r="X550" s="355"/>
      <c r="Y550" s="355"/>
      <c r="Z550" s="355"/>
    </row>
    <row r="551" spans="1:26" ht="13.5" customHeight="1" x14ac:dyDescent="0.25">
      <c r="A551" s="382"/>
      <c r="B551" s="355"/>
      <c r="C551" s="450"/>
      <c r="D551" s="450"/>
      <c r="E551" s="355"/>
      <c r="F551" s="355"/>
      <c r="G551" s="355"/>
      <c r="H551" s="355"/>
      <c r="I551" s="355"/>
      <c r="J551" s="355"/>
      <c r="K551" s="355"/>
      <c r="L551" s="355"/>
      <c r="M551" s="355"/>
      <c r="N551" s="355"/>
      <c r="O551" s="355"/>
      <c r="P551" s="355"/>
      <c r="Q551" s="355"/>
      <c r="R551" s="355"/>
      <c r="S551" s="355"/>
      <c r="T551" s="355"/>
      <c r="U551" s="355"/>
      <c r="V551" s="355"/>
      <c r="W551" s="355"/>
      <c r="X551" s="355"/>
      <c r="Y551" s="355"/>
      <c r="Z551" s="355"/>
    </row>
    <row r="552" spans="1:26" ht="13.5" customHeight="1" x14ac:dyDescent="0.25">
      <c r="A552" s="382"/>
      <c r="B552" s="355"/>
      <c r="C552" s="450"/>
      <c r="D552" s="450"/>
      <c r="E552" s="355"/>
      <c r="F552" s="355"/>
      <c r="G552" s="355"/>
      <c r="H552" s="355"/>
      <c r="I552" s="355"/>
      <c r="J552" s="355"/>
      <c r="K552" s="355"/>
      <c r="L552" s="355"/>
      <c r="M552" s="355"/>
      <c r="N552" s="355"/>
      <c r="O552" s="355"/>
      <c r="P552" s="355"/>
      <c r="Q552" s="355"/>
      <c r="R552" s="355"/>
      <c r="S552" s="355"/>
      <c r="T552" s="355"/>
      <c r="U552" s="355"/>
      <c r="V552" s="355"/>
      <c r="W552" s="355"/>
      <c r="X552" s="355"/>
      <c r="Y552" s="355"/>
      <c r="Z552" s="355"/>
    </row>
    <row r="553" spans="1:26" ht="13.5" customHeight="1" x14ac:dyDescent="0.25">
      <c r="A553" s="382"/>
      <c r="B553" s="355"/>
      <c r="C553" s="450"/>
      <c r="D553" s="450"/>
      <c r="E553" s="355"/>
      <c r="F553" s="355"/>
      <c r="G553" s="355"/>
      <c r="H553" s="355"/>
      <c r="I553" s="355"/>
      <c r="J553" s="355"/>
      <c r="K553" s="355"/>
      <c r="L553" s="355"/>
      <c r="M553" s="355"/>
      <c r="N553" s="355"/>
      <c r="O553" s="355"/>
      <c r="P553" s="355"/>
      <c r="Q553" s="355"/>
      <c r="R553" s="355"/>
      <c r="S553" s="355"/>
      <c r="T553" s="355"/>
      <c r="U553" s="355"/>
      <c r="V553" s="355"/>
      <c r="W553" s="355"/>
      <c r="X553" s="355"/>
      <c r="Y553" s="355"/>
      <c r="Z553" s="355"/>
    </row>
    <row r="554" spans="1:26" ht="13.5" customHeight="1" x14ac:dyDescent="0.25">
      <c r="A554" s="382"/>
      <c r="B554" s="355"/>
      <c r="C554" s="450"/>
      <c r="D554" s="450"/>
      <c r="E554" s="355"/>
      <c r="F554" s="355"/>
      <c r="G554" s="355"/>
      <c r="H554" s="355"/>
      <c r="I554" s="355"/>
      <c r="J554" s="355"/>
      <c r="K554" s="355"/>
      <c r="L554" s="355"/>
      <c r="M554" s="355"/>
      <c r="N554" s="355"/>
      <c r="O554" s="355"/>
      <c r="P554" s="355"/>
      <c r="Q554" s="355"/>
      <c r="R554" s="355"/>
      <c r="S554" s="355"/>
      <c r="T554" s="355"/>
      <c r="U554" s="355"/>
      <c r="V554" s="355"/>
      <c r="W554" s="355"/>
      <c r="X554" s="355"/>
      <c r="Y554" s="355"/>
      <c r="Z554" s="355"/>
    </row>
    <row r="555" spans="1:26" ht="13.5" customHeight="1" x14ac:dyDescent="0.25">
      <c r="A555" s="382"/>
      <c r="B555" s="355"/>
      <c r="C555" s="450"/>
      <c r="D555" s="450"/>
      <c r="E555" s="355"/>
      <c r="F555" s="355"/>
      <c r="G555" s="355"/>
      <c r="H555" s="355"/>
      <c r="I555" s="355"/>
      <c r="J555" s="355"/>
      <c r="K555" s="355"/>
      <c r="L555" s="355"/>
      <c r="M555" s="355"/>
      <c r="N555" s="355"/>
      <c r="O555" s="355"/>
      <c r="P555" s="355"/>
      <c r="Q555" s="355"/>
      <c r="R555" s="355"/>
      <c r="S555" s="355"/>
      <c r="T555" s="355"/>
      <c r="U555" s="355"/>
      <c r="V555" s="355"/>
      <c r="W555" s="355"/>
      <c r="X555" s="355"/>
      <c r="Y555" s="355"/>
      <c r="Z555" s="355"/>
    </row>
    <row r="556" spans="1:26" ht="13.5" customHeight="1" x14ac:dyDescent="0.25">
      <c r="A556" s="382"/>
      <c r="B556" s="355"/>
      <c r="C556" s="450"/>
      <c r="D556" s="450"/>
      <c r="E556" s="355"/>
      <c r="F556" s="355"/>
      <c r="G556" s="355"/>
      <c r="H556" s="355"/>
      <c r="I556" s="355"/>
      <c r="J556" s="355"/>
      <c r="K556" s="355"/>
      <c r="L556" s="355"/>
      <c r="M556" s="355"/>
      <c r="N556" s="355"/>
      <c r="O556" s="355"/>
      <c r="P556" s="355"/>
      <c r="Q556" s="355"/>
      <c r="R556" s="355"/>
      <c r="S556" s="355"/>
      <c r="T556" s="355"/>
      <c r="U556" s="355"/>
      <c r="V556" s="355"/>
      <c r="W556" s="355"/>
      <c r="X556" s="355"/>
      <c r="Y556" s="355"/>
      <c r="Z556" s="355"/>
    </row>
    <row r="557" spans="1:26" ht="13.5" customHeight="1" x14ac:dyDescent="0.25">
      <c r="A557" s="382"/>
      <c r="B557" s="355"/>
      <c r="C557" s="450"/>
      <c r="D557" s="450"/>
      <c r="E557" s="355"/>
      <c r="F557" s="355"/>
      <c r="G557" s="355"/>
      <c r="H557" s="355"/>
      <c r="I557" s="355"/>
      <c r="J557" s="355"/>
      <c r="K557" s="355"/>
      <c r="L557" s="355"/>
      <c r="M557" s="355"/>
      <c r="N557" s="355"/>
      <c r="O557" s="355"/>
      <c r="P557" s="355"/>
      <c r="Q557" s="355"/>
      <c r="R557" s="355"/>
      <c r="S557" s="355"/>
      <c r="T557" s="355"/>
      <c r="U557" s="355"/>
      <c r="V557" s="355"/>
      <c r="W557" s="355"/>
      <c r="X557" s="355"/>
      <c r="Y557" s="355"/>
      <c r="Z557" s="355"/>
    </row>
    <row r="558" spans="1:26" ht="13.5" customHeight="1" x14ac:dyDescent="0.25">
      <c r="A558" s="382"/>
      <c r="B558" s="355"/>
      <c r="C558" s="450"/>
      <c r="D558" s="450"/>
      <c r="E558" s="355"/>
      <c r="F558" s="355"/>
      <c r="G558" s="355"/>
      <c r="H558" s="355"/>
      <c r="I558" s="355"/>
      <c r="J558" s="355"/>
      <c r="K558" s="355"/>
      <c r="L558" s="355"/>
      <c r="M558" s="355"/>
      <c r="N558" s="355"/>
      <c r="O558" s="355"/>
      <c r="P558" s="355"/>
      <c r="Q558" s="355"/>
      <c r="R558" s="355"/>
      <c r="S558" s="355"/>
      <c r="T558" s="355"/>
      <c r="U558" s="355"/>
      <c r="V558" s="355"/>
      <c r="W558" s="355"/>
      <c r="X558" s="355"/>
      <c r="Y558" s="355"/>
      <c r="Z558" s="355"/>
    </row>
    <row r="559" spans="1:26" ht="13.5" customHeight="1" x14ac:dyDescent="0.25">
      <c r="A559" s="382"/>
      <c r="B559" s="355"/>
      <c r="C559" s="450"/>
      <c r="D559" s="450"/>
      <c r="E559" s="355"/>
      <c r="F559" s="355"/>
      <c r="G559" s="355"/>
      <c r="H559" s="355"/>
      <c r="I559" s="355"/>
      <c r="J559" s="355"/>
      <c r="K559" s="355"/>
      <c r="L559" s="355"/>
      <c r="M559" s="355"/>
      <c r="N559" s="355"/>
      <c r="O559" s="355"/>
      <c r="P559" s="355"/>
      <c r="Q559" s="355"/>
      <c r="R559" s="355"/>
      <c r="S559" s="355"/>
      <c r="T559" s="355"/>
      <c r="U559" s="355"/>
      <c r="V559" s="355"/>
      <c r="W559" s="355"/>
      <c r="X559" s="355"/>
      <c r="Y559" s="355"/>
      <c r="Z559" s="355"/>
    </row>
    <row r="560" spans="1:26" ht="13.5" customHeight="1" x14ac:dyDescent="0.25">
      <c r="A560" s="382"/>
      <c r="B560" s="355"/>
      <c r="C560" s="450"/>
      <c r="D560" s="450"/>
      <c r="E560" s="355"/>
      <c r="F560" s="355"/>
      <c r="G560" s="355"/>
      <c r="H560" s="355"/>
      <c r="I560" s="355"/>
      <c r="J560" s="355"/>
      <c r="K560" s="355"/>
      <c r="L560" s="355"/>
      <c r="M560" s="355"/>
      <c r="N560" s="355"/>
      <c r="O560" s="355"/>
      <c r="P560" s="355"/>
      <c r="Q560" s="355"/>
      <c r="R560" s="355"/>
      <c r="S560" s="355"/>
      <c r="T560" s="355"/>
      <c r="U560" s="355"/>
      <c r="V560" s="355"/>
      <c r="W560" s="355"/>
      <c r="X560" s="355"/>
      <c r="Y560" s="355"/>
      <c r="Z560" s="355"/>
    </row>
    <row r="561" spans="1:26" ht="13.5" customHeight="1" x14ac:dyDescent="0.25">
      <c r="A561" s="382"/>
      <c r="B561" s="355"/>
      <c r="C561" s="450"/>
      <c r="D561" s="450"/>
      <c r="E561" s="355"/>
      <c r="F561" s="355"/>
      <c r="G561" s="355"/>
      <c r="H561" s="355"/>
      <c r="I561" s="355"/>
      <c r="J561" s="355"/>
      <c r="K561" s="355"/>
      <c r="L561" s="355"/>
      <c r="M561" s="355"/>
      <c r="N561" s="355"/>
      <c r="O561" s="355"/>
      <c r="P561" s="355"/>
      <c r="Q561" s="355"/>
      <c r="R561" s="355"/>
      <c r="S561" s="355"/>
      <c r="T561" s="355"/>
      <c r="U561" s="355"/>
      <c r="V561" s="355"/>
      <c r="W561" s="355"/>
      <c r="X561" s="355"/>
      <c r="Y561" s="355"/>
      <c r="Z561" s="355"/>
    </row>
    <row r="562" spans="1:26" ht="13.5" customHeight="1" x14ac:dyDescent="0.25">
      <c r="A562" s="382"/>
      <c r="B562" s="355"/>
      <c r="C562" s="450"/>
      <c r="D562" s="450"/>
      <c r="E562" s="355"/>
      <c r="F562" s="355"/>
      <c r="G562" s="355"/>
      <c r="H562" s="355"/>
      <c r="I562" s="355"/>
      <c r="J562" s="355"/>
      <c r="K562" s="355"/>
      <c r="L562" s="355"/>
      <c r="M562" s="355"/>
      <c r="N562" s="355"/>
      <c r="O562" s="355"/>
      <c r="P562" s="355"/>
      <c r="Q562" s="355"/>
      <c r="R562" s="355"/>
      <c r="S562" s="355"/>
      <c r="T562" s="355"/>
      <c r="U562" s="355"/>
      <c r="V562" s="355"/>
      <c r="W562" s="355"/>
      <c r="X562" s="355"/>
      <c r="Y562" s="355"/>
      <c r="Z562" s="355"/>
    </row>
    <row r="563" spans="1:26" ht="13.5" customHeight="1" x14ac:dyDescent="0.25">
      <c r="A563" s="382"/>
      <c r="B563" s="355"/>
      <c r="C563" s="450"/>
      <c r="D563" s="450"/>
      <c r="E563" s="355"/>
      <c r="F563" s="355"/>
      <c r="G563" s="355"/>
      <c r="H563" s="355"/>
      <c r="I563" s="355"/>
      <c r="J563" s="355"/>
      <c r="K563" s="355"/>
      <c r="L563" s="355"/>
      <c r="M563" s="355"/>
      <c r="N563" s="355"/>
      <c r="O563" s="355"/>
      <c r="P563" s="355"/>
      <c r="Q563" s="355"/>
      <c r="R563" s="355"/>
      <c r="S563" s="355"/>
      <c r="T563" s="355"/>
      <c r="U563" s="355"/>
      <c r="V563" s="355"/>
      <c r="W563" s="355"/>
      <c r="X563" s="355"/>
      <c r="Y563" s="355"/>
      <c r="Z563" s="355"/>
    </row>
    <row r="564" spans="1:26" ht="13.5" customHeight="1" x14ac:dyDescent="0.25">
      <c r="A564" s="382"/>
      <c r="B564" s="355"/>
      <c r="C564" s="450"/>
      <c r="D564" s="450"/>
      <c r="E564" s="355"/>
      <c r="F564" s="355"/>
      <c r="G564" s="355"/>
      <c r="H564" s="355"/>
      <c r="I564" s="355"/>
      <c r="J564" s="355"/>
      <c r="K564" s="355"/>
      <c r="L564" s="355"/>
      <c r="M564" s="355"/>
      <c r="N564" s="355"/>
      <c r="O564" s="355"/>
      <c r="P564" s="355"/>
      <c r="Q564" s="355"/>
      <c r="R564" s="355"/>
      <c r="S564" s="355"/>
      <c r="T564" s="355"/>
      <c r="U564" s="355"/>
      <c r="V564" s="355"/>
      <c r="W564" s="355"/>
      <c r="X564" s="355"/>
      <c r="Y564" s="355"/>
      <c r="Z564" s="355"/>
    </row>
    <row r="565" spans="1:26" ht="13.5" customHeight="1" x14ac:dyDescent="0.25">
      <c r="A565" s="382"/>
      <c r="B565" s="355"/>
      <c r="C565" s="450"/>
      <c r="D565" s="450"/>
      <c r="E565" s="355"/>
      <c r="F565" s="355"/>
      <c r="G565" s="355"/>
      <c r="H565" s="355"/>
      <c r="I565" s="355"/>
      <c r="J565" s="355"/>
      <c r="K565" s="355"/>
      <c r="L565" s="355"/>
      <c r="M565" s="355"/>
      <c r="N565" s="355"/>
      <c r="O565" s="355"/>
      <c r="P565" s="355"/>
      <c r="Q565" s="355"/>
      <c r="R565" s="355"/>
      <c r="S565" s="355"/>
      <c r="T565" s="355"/>
      <c r="U565" s="355"/>
      <c r="V565" s="355"/>
      <c r="W565" s="355"/>
      <c r="X565" s="355"/>
      <c r="Y565" s="355"/>
      <c r="Z565" s="355"/>
    </row>
    <row r="566" spans="1:26" ht="13.5" customHeight="1" x14ac:dyDescent="0.25">
      <c r="A566" s="382"/>
      <c r="B566" s="355"/>
      <c r="C566" s="450"/>
      <c r="D566" s="450"/>
      <c r="E566" s="355"/>
      <c r="F566" s="355"/>
      <c r="G566" s="355"/>
      <c r="H566" s="355"/>
      <c r="I566" s="355"/>
      <c r="J566" s="355"/>
      <c r="K566" s="355"/>
      <c r="L566" s="355"/>
      <c r="M566" s="355"/>
      <c r="N566" s="355"/>
      <c r="O566" s="355"/>
      <c r="P566" s="355"/>
      <c r="Q566" s="355"/>
      <c r="R566" s="355"/>
      <c r="S566" s="355"/>
      <c r="T566" s="355"/>
      <c r="U566" s="355"/>
      <c r="V566" s="355"/>
      <c r="W566" s="355"/>
      <c r="X566" s="355"/>
      <c r="Y566" s="355"/>
      <c r="Z566" s="355"/>
    </row>
    <row r="567" spans="1:26" ht="13.5" customHeight="1" x14ac:dyDescent="0.25">
      <c r="A567" s="382"/>
      <c r="B567" s="355"/>
      <c r="C567" s="450"/>
      <c r="D567" s="450"/>
      <c r="E567" s="355"/>
      <c r="F567" s="355"/>
      <c r="G567" s="355"/>
      <c r="H567" s="355"/>
      <c r="I567" s="355"/>
      <c r="J567" s="355"/>
      <c r="K567" s="355"/>
      <c r="L567" s="355"/>
      <c r="M567" s="355"/>
      <c r="N567" s="355"/>
      <c r="O567" s="355"/>
      <c r="P567" s="355"/>
      <c r="Q567" s="355"/>
      <c r="R567" s="355"/>
      <c r="S567" s="355"/>
      <c r="T567" s="355"/>
      <c r="U567" s="355"/>
      <c r="V567" s="355"/>
      <c r="W567" s="355"/>
      <c r="X567" s="355"/>
      <c r="Y567" s="355"/>
      <c r="Z567" s="355"/>
    </row>
    <row r="568" spans="1:26" ht="13.5" customHeight="1" x14ac:dyDescent="0.25">
      <c r="A568" s="382"/>
      <c r="B568" s="355"/>
      <c r="C568" s="450"/>
      <c r="D568" s="450"/>
      <c r="E568" s="355"/>
      <c r="F568" s="355"/>
      <c r="G568" s="355"/>
      <c r="H568" s="355"/>
      <c r="I568" s="355"/>
      <c r="J568" s="355"/>
      <c r="K568" s="355"/>
      <c r="L568" s="355"/>
      <c r="M568" s="355"/>
      <c r="N568" s="355"/>
      <c r="O568" s="355"/>
      <c r="P568" s="355"/>
      <c r="Q568" s="355"/>
      <c r="R568" s="355"/>
      <c r="S568" s="355"/>
      <c r="T568" s="355"/>
      <c r="U568" s="355"/>
      <c r="V568" s="355"/>
      <c r="W568" s="355"/>
      <c r="X568" s="355"/>
      <c r="Y568" s="355"/>
      <c r="Z568" s="355"/>
    </row>
    <row r="569" spans="1:26" ht="13.5" customHeight="1" x14ac:dyDescent="0.25">
      <c r="A569" s="382"/>
      <c r="B569" s="355"/>
      <c r="C569" s="450"/>
      <c r="D569" s="450"/>
      <c r="E569" s="355"/>
      <c r="F569" s="355"/>
      <c r="G569" s="355"/>
      <c r="H569" s="355"/>
      <c r="I569" s="355"/>
      <c r="J569" s="355"/>
      <c r="K569" s="355"/>
      <c r="L569" s="355"/>
      <c r="M569" s="355"/>
      <c r="N569" s="355"/>
      <c r="O569" s="355"/>
      <c r="P569" s="355"/>
      <c r="Q569" s="355"/>
      <c r="R569" s="355"/>
      <c r="S569" s="355"/>
      <c r="T569" s="355"/>
      <c r="U569" s="355"/>
      <c r="V569" s="355"/>
      <c r="W569" s="355"/>
      <c r="X569" s="355"/>
      <c r="Y569" s="355"/>
      <c r="Z569" s="355"/>
    </row>
    <row r="570" spans="1:26" ht="13.5" customHeight="1" x14ac:dyDescent="0.25">
      <c r="A570" s="382"/>
      <c r="B570" s="355"/>
      <c r="C570" s="450"/>
      <c r="D570" s="450"/>
      <c r="E570" s="355"/>
      <c r="F570" s="355"/>
      <c r="G570" s="355"/>
      <c r="H570" s="355"/>
      <c r="I570" s="355"/>
      <c r="J570" s="355"/>
      <c r="K570" s="355"/>
      <c r="L570" s="355"/>
      <c r="M570" s="355"/>
      <c r="N570" s="355"/>
      <c r="O570" s="355"/>
      <c r="P570" s="355"/>
      <c r="Q570" s="355"/>
      <c r="R570" s="355"/>
      <c r="S570" s="355"/>
      <c r="T570" s="355"/>
      <c r="U570" s="355"/>
      <c r="V570" s="355"/>
      <c r="W570" s="355"/>
      <c r="X570" s="355"/>
      <c r="Y570" s="355"/>
      <c r="Z570" s="355"/>
    </row>
    <row r="571" spans="1:26" ht="13.5" customHeight="1" x14ac:dyDescent="0.25">
      <c r="A571" s="382"/>
      <c r="B571" s="355"/>
      <c r="C571" s="450"/>
      <c r="D571" s="450"/>
      <c r="E571" s="355"/>
      <c r="F571" s="355"/>
      <c r="G571" s="355"/>
      <c r="H571" s="355"/>
      <c r="I571" s="355"/>
      <c r="J571" s="355"/>
      <c r="K571" s="355"/>
      <c r="L571" s="355"/>
      <c r="M571" s="355"/>
      <c r="N571" s="355"/>
      <c r="O571" s="355"/>
      <c r="P571" s="355"/>
      <c r="Q571" s="355"/>
      <c r="R571" s="355"/>
      <c r="S571" s="355"/>
      <c r="T571" s="355"/>
      <c r="U571" s="355"/>
      <c r="V571" s="355"/>
      <c r="W571" s="355"/>
      <c r="X571" s="355"/>
      <c r="Y571" s="355"/>
      <c r="Z571" s="355"/>
    </row>
    <row r="572" spans="1:26" ht="13.5" customHeight="1" x14ac:dyDescent="0.25">
      <c r="A572" s="382"/>
      <c r="B572" s="355"/>
      <c r="C572" s="450"/>
      <c r="D572" s="450"/>
      <c r="E572" s="355"/>
      <c r="F572" s="355"/>
      <c r="G572" s="355"/>
      <c r="H572" s="355"/>
      <c r="I572" s="355"/>
      <c r="J572" s="355"/>
      <c r="K572" s="355"/>
      <c r="L572" s="355"/>
      <c r="M572" s="355"/>
      <c r="N572" s="355"/>
      <c r="O572" s="355"/>
      <c r="P572" s="355"/>
      <c r="Q572" s="355"/>
      <c r="R572" s="355"/>
      <c r="S572" s="355"/>
      <c r="T572" s="355"/>
      <c r="U572" s="355"/>
      <c r="V572" s="355"/>
      <c r="W572" s="355"/>
      <c r="X572" s="355"/>
      <c r="Y572" s="355"/>
      <c r="Z572" s="355"/>
    </row>
    <row r="573" spans="1:26" ht="13.5" customHeight="1" x14ac:dyDescent="0.25">
      <c r="A573" s="382"/>
      <c r="B573" s="355"/>
      <c r="C573" s="450"/>
      <c r="D573" s="450"/>
      <c r="E573" s="355"/>
      <c r="F573" s="355"/>
      <c r="G573" s="355"/>
      <c r="H573" s="355"/>
      <c r="I573" s="355"/>
      <c r="J573" s="355"/>
      <c r="K573" s="355"/>
      <c r="L573" s="355"/>
      <c r="M573" s="355"/>
      <c r="N573" s="355"/>
      <c r="O573" s="355"/>
      <c r="P573" s="355"/>
      <c r="Q573" s="355"/>
      <c r="R573" s="355"/>
      <c r="S573" s="355"/>
      <c r="T573" s="355"/>
      <c r="U573" s="355"/>
      <c r="V573" s="355"/>
      <c r="W573" s="355"/>
      <c r="X573" s="355"/>
      <c r="Y573" s="355"/>
      <c r="Z573" s="355"/>
    </row>
    <row r="574" spans="1:26" ht="13.5" customHeight="1" x14ac:dyDescent="0.25">
      <c r="A574" s="382"/>
      <c r="B574" s="355"/>
      <c r="C574" s="450"/>
      <c r="D574" s="450"/>
      <c r="E574" s="355"/>
      <c r="F574" s="355"/>
      <c r="G574" s="355"/>
      <c r="H574" s="355"/>
      <c r="I574" s="355"/>
      <c r="J574" s="355"/>
      <c r="K574" s="355"/>
      <c r="L574" s="355"/>
      <c r="M574" s="355"/>
      <c r="N574" s="355"/>
      <c r="O574" s="355"/>
      <c r="P574" s="355"/>
      <c r="Q574" s="355"/>
      <c r="R574" s="355"/>
      <c r="S574" s="355"/>
      <c r="T574" s="355"/>
      <c r="U574" s="355"/>
      <c r="V574" s="355"/>
      <c r="W574" s="355"/>
      <c r="X574" s="355"/>
      <c r="Y574" s="355"/>
      <c r="Z574" s="355"/>
    </row>
    <row r="575" spans="1:26" ht="13.5" customHeight="1" x14ac:dyDescent="0.25">
      <c r="A575" s="382"/>
      <c r="B575" s="355"/>
      <c r="C575" s="450"/>
      <c r="D575" s="450"/>
      <c r="E575" s="355"/>
      <c r="F575" s="355"/>
      <c r="G575" s="355"/>
      <c r="H575" s="355"/>
      <c r="I575" s="355"/>
      <c r="J575" s="355"/>
      <c r="K575" s="355"/>
      <c r="L575" s="355"/>
      <c r="M575" s="355"/>
      <c r="N575" s="355"/>
      <c r="O575" s="355"/>
      <c r="P575" s="355"/>
      <c r="Q575" s="355"/>
      <c r="R575" s="355"/>
      <c r="S575" s="355"/>
      <c r="T575" s="355"/>
      <c r="U575" s="355"/>
      <c r="V575" s="355"/>
      <c r="W575" s="355"/>
      <c r="X575" s="355"/>
      <c r="Y575" s="355"/>
      <c r="Z575" s="355"/>
    </row>
    <row r="576" spans="1:26" ht="13.5" customHeight="1" x14ac:dyDescent="0.25">
      <c r="A576" s="382"/>
      <c r="B576" s="355"/>
      <c r="C576" s="450"/>
      <c r="D576" s="450"/>
      <c r="E576" s="355"/>
      <c r="F576" s="355"/>
      <c r="G576" s="355"/>
      <c r="H576" s="355"/>
      <c r="I576" s="355"/>
      <c r="J576" s="355"/>
      <c r="K576" s="355"/>
      <c r="L576" s="355"/>
      <c r="M576" s="355"/>
      <c r="N576" s="355"/>
      <c r="O576" s="355"/>
      <c r="P576" s="355"/>
      <c r="Q576" s="355"/>
      <c r="R576" s="355"/>
      <c r="S576" s="355"/>
      <c r="T576" s="355"/>
      <c r="U576" s="355"/>
      <c r="V576" s="355"/>
      <c r="W576" s="355"/>
      <c r="X576" s="355"/>
      <c r="Y576" s="355"/>
      <c r="Z576" s="355"/>
    </row>
    <row r="577" spans="1:26" ht="13.5" customHeight="1" x14ac:dyDescent="0.25">
      <c r="A577" s="382"/>
      <c r="B577" s="355"/>
      <c r="C577" s="450"/>
      <c r="D577" s="450"/>
      <c r="E577" s="355"/>
      <c r="F577" s="355"/>
      <c r="G577" s="355"/>
      <c r="H577" s="355"/>
      <c r="I577" s="355"/>
      <c r="J577" s="355"/>
      <c r="K577" s="355"/>
      <c r="L577" s="355"/>
      <c r="M577" s="355"/>
      <c r="N577" s="355"/>
      <c r="O577" s="355"/>
      <c r="P577" s="355"/>
      <c r="Q577" s="355"/>
      <c r="R577" s="355"/>
      <c r="S577" s="355"/>
      <c r="T577" s="355"/>
      <c r="U577" s="355"/>
      <c r="V577" s="355"/>
      <c r="W577" s="355"/>
      <c r="X577" s="355"/>
      <c r="Y577" s="355"/>
      <c r="Z577" s="355"/>
    </row>
    <row r="578" spans="1:26" ht="13.5" customHeight="1" x14ac:dyDescent="0.25">
      <c r="A578" s="382"/>
      <c r="B578" s="355"/>
      <c r="C578" s="450"/>
      <c r="D578" s="450"/>
      <c r="E578" s="355"/>
      <c r="F578" s="355"/>
      <c r="G578" s="355"/>
      <c r="H578" s="355"/>
      <c r="I578" s="355"/>
      <c r="J578" s="355"/>
      <c r="K578" s="355"/>
      <c r="L578" s="355"/>
      <c r="M578" s="355"/>
      <c r="N578" s="355"/>
      <c r="O578" s="355"/>
      <c r="P578" s="355"/>
      <c r="Q578" s="355"/>
      <c r="R578" s="355"/>
      <c r="S578" s="355"/>
      <c r="T578" s="355"/>
      <c r="U578" s="355"/>
      <c r="V578" s="355"/>
      <c r="W578" s="355"/>
      <c r="X578" s="355"/>
      <c r="Y578" s="355"/>
      <c r="Z578" s="355"/>
    </row>
    <row r="579" spans="1:26" ht="13.5" customHeight="1" x14ac:dyDescent="0.25">
      <c r="A579" s="382"/>
      <c r="B579" s="355"/>
      <c r="C579" s="450"/>
      <c r="D579" s="450"/>
      <c r="E579" s="355"/>
      <c r="F579" s="355"/>
      <c r="G579" s="355"/>
      <c r="H579" s="355"/>
      <c r="I579" s="355"/>
      <c r="J579" s="355"/>
      <c r="K579" s="355"/>
      <c r="L579" s="355"/>
      <c r="M579" s="355"/>
      <c r="N579" s="355"/>
      <c r="O579" s="355"/>
      <c r="P579" s="355"/>
      <c r="Q579" s="355"/>
      <c r="R579" s="355"/>
      <c r="S579" s="355"/>
      <c r="T579" s="355"/>
      <c r="U579" s="355"/>
      <c r="V579" s="355"/>
      <c r="W579" s="355"/>
      <c r="X579" s="355"/>
      <c r="Y579" s="355"/>
      <c r="Z579" s="355"/>
    </row>
    <row r="580" spans="1:26" ht="13.5" customHeight="1" x14ac:dyDescent="0.25">
      <c r="A580" s="382"/>
      <c r="B580" s="355"/>
      <c r="C580" s="450"/>
      <c r="D580" s="450"/>
      <c r="E580" s="355"/>
      <c r="F580" s="355"/>
      <c r="G580" s="355"/>
      <c r="H580" s="355"/>
      <c r="I580" s="355"/>
      <c r="J580" s="355"/>
      <c r="K580" s="355"/>
      <c r="L580" s="355"/>
      <c r="M580" s="355"/>
      <c r="N580" s="355"/>
      <c r="O580" s="355"/>
      <c r="P580" s="355"/>
      <c r="Q580" s="355"/>
      <c r="R580" s="355"/>
      <c r="S580" s="355"/>
      <c r="T580" s="355"/>
      <c r="U580" s="355"/>
      <c r="V580" s="355"/>
      <c r="W580" s="355"/>
      <c r="X580" s="355"/>
      <c r="Y580" s="355"/>
      <c r="Z580" s="355"/>
    </row>
    <row r="581" spans="1:26" ht="13.5" customHeight="1" x14ac:dyDescent="0.25">
      <c r="A581" s="382"/>
      <c r="B581" s="355"/>
      <c r="C581" s="450"/>
      <c r="D581" s="450"/>
      <c r="E581" s="355"/>
      <c r="F581" s="355"/>
      <c r="G581" s="355"/>
      <c r="H581" s="355"/>
      <c r="I581" s="355"/>
      <c r="J581" s="355"/>
      <c r="K581" s="355"/>
      <c r="L581" s="355"/>
      <c r="M581" s="355"/>
      <c r="N581" s="355"/>
      <c r="O581" s="355"/>
      <c r="P581" s="355"/>
      <c r="Q581" s="355"/>
      <c r="R581" s="355"/>
      <c r="S581" s="355"/>
      <c r="T581" s="355"/>
      <c r="U581" s="355"/>
      <c r="V581" s="355"/>
      <c r="W581" s="355"/>
      <c r="X581" s="355"/>
      <c r="Y581" s="355"/>
      <c r="Z581" s="355"/>
    </row>
    <row r="582" spans="1:26" ht="13.5" customHeight="1" x14ac:dyDescent="0.25">
      <c r="A582" s="382"/>
      <c r="B582" s="355"/>
      <c r="C582" s="450"/>
      <c r="D582" s="450"/>
      <c r="E582" s="355"/>
      <c r="F582" s="355"/>
      <c r="G582" s="355"/>
      <c r="H582" s="355"/>
      <c r="I582" s="355"/>
      <c r="J582" s="355"/>
      <c r="K582" s="355"/>
      <c r="L582" s="355"/>
      <c r="M582" s="355"/>
      <c r="N582" s="355"/>
      <c r="O582" s="355"/>
      <c r="P582" s="355"/>
      <c r="Q582" s="355"/>
      <c r="R582" s="355"/>
      <c r="S582" s="355"/>
      <c r="T582" s="355"/>
      <c r="U582" s="355"/>
      <c r="V582" s="355"/>
      <c r="W582" s="355"/>
      <c r="X582" s="355"/>
      <c r="Y582" s="355"/>
      <c r="Z582" s="355"/>
    </row>
    <row r="583" spans="1:26" ht="13.5" customHeight="1" x14ac:dyDescent="0.25">
      <c r="A583" s="382"/>
      <c r="B583" s="355"/>
      <c r="C583" s="450"/>
      <c r="D583" s="450"/>
      <c r="E583" s="355"/>
      <c r="F583" s="355"/>
      <c r="G583" s="355"/>
      <c r="H583" s="355"/>
      <c r="I583" s="355"/>
      <c r="J583" s="355"/>
      <c r="K583" s="355"/>
      <c r="L583" s="355"/>
      <c r="M583" s="355"/>
      <c r="N583" s="355"/>
      <c r="O583" s="355"/>
      <c r="P583" s="355"/>
      <c r="Q583" s="355"/>
      <c r="R583" s="355"/>
      <c r="S583" s="355"/>
      <c r="T583" s="355"/>
      <c r="U583" s="355"/>
      <c r="V583" s="355"/>
      <c r="W583" s="355"/>
      <c r="X583" s="355"/>
      <c r="Y583" s="355"/>
      <c r="Z583" s="355"/>
    </row>
    <row r="584" spans="1:26" ht="13.5" customHeight="1" x14ac:dyDescent="0.25">
      <c r="A584" s="382"/>
      <c r="B584" s="355"/>
      <c r="C584" s="450"/>
      <c r="D584" s="450"/>
      <c r="E584" s="355"/>
      <c r="F584" s="355"/>
      <c r="G584" s="355"/>
      <c r="H584" s="355"/>
      <c r="I584" s="355"/>
      <c r="J584" s="355"/>
      <c r="K584" s="355"/>
      <c r="L584" s="355"/>
      <c r="M584" s="355"/>
      <c r="N584" s="355"/>
      <c r="O584" s="355"/>
      <c r="P584" s="355"/>
      <c r="Q584" s="355"/>
      <c r="R584" s="355"/>
      <c r="S584" s="355"/>
      <c r="T584" s="355"/>
      <c r="U584" s="355"/>
      <c r="V584" s="355"/>
      <c r="W584" s="355"/>
      <c r="X584" s="355"/>
      <c r="Y584" s="355"/>
      <c r="Z584" s="355"/>
    </row>
    <row r="585" spans="1:26" ht="13.5" customHeight="1" x14ac:dyDescent="0.25">
      <c r="A585" s="382"/>
      <c r="B585" s="355"/>
      <c r="C585" s="450"/>
      <c r="D585" s="450"/>
      <c r="E585" s="355"/>
      <c r="F585" s="355"/>
      <c r="G585" s="355"/>
      <c r="H585" s="355"/>
      <c r="I585" s="355"/>
      <c r="J585" s="355"/>
      <c r="K585" s="355"/>
      <c r="L585" s="355"/>
      <c r="M585" s="355"/>
      <c r="N585" s="355"/>
      <c r="O585" s="355"/>
      <c r="P585" s="355"/>
      <c r="Q585" s="355"/>
      <c r="R585" s="355"/>
      <c r="S585" s="355"/>
      <c r="T585" s="355"/>
      <c r="U585" s="355"/>
      <c r="V585" s="355"/>
      <c r="W585" s="355"/>
      <c r="X585" s="355"/>
      <c r="Y585" s="355"/>
      <c r="Z585" s="355"/>
    </row>
    <row r="586" spans="1:26" ht="13.5" customHeight="1" x14ac:dyDescent="0.25">
      <c r="A586" s="382"/>
      <c r="B586" s="355"/>
      <c r="C586" s="450"/>
      <c r="D586" s="450"/>
      <c r="E586" s="355"/>
      <c r="F586" s="355"/>
      <c r="G586" s="355"/>
      <c r="H586" s="355"/>
      <c r="I586" s="355"/>
      <c r="J586" s="355"/>
      <c r="K586" s="355"/>
      <c r="L586" s="355"/>
      <c r="M586" s="355"/>
      <c r="N586" s="355"/>
      <c r="O586" s="355"/>
      <c r="P586" s="355"/>
      <c r="Q586" s="355"/>
      <c r="R586" s="355"/>
      <c r="S586" s="355"/>
      <c r="T586" s="355"/>
      <c r="U586" s="355"/>
      <c r="V586" s="355"/>
      <c r="W586" s="355"/>
      <c r="X586" s="355"/>
      <c r="Y586" s="355"/>
      <c r="Z586" s="355"/>
    </row>
    <row r="587" spans="1:26" ht="13.5" customHeight="1" x14ac:dyDescent="0.25">
      <c r="A587" s="382"/>
      <c r="B587" s="355"/>
      <c r="C587" s="450"/>
      <c r="D587" s="450"/>
      <c r="E587" s="355"/>
      <c r="F587" s="355"/>
      <c r="G587" s="355"/>
      <c r="H587" s="355"/>
      <c r="I587" s="355"/>
      <c r="J587" s="355"/>
      <c r="K587" s="355"/>
      <c r="L587" s="355"/>
      <c r="M587" s="355"/>
      <c r="N587" s="355"/>
      <c r="O587" s="355"/>
      <c r="P587" s="355"/>
      <c r="Q587" s="355"/>
      <c r="R587" s="355"/>
      <c r="S587" s="355"/>
      <c r="T587" s="355"/>
      <c r="U587" s="355"/>
      <c r="V587" s="355"/>
      <c r="W587" s="355"/>
      <c r="X587" s="355"/>
      <c r="Y587" s="355"/>
      <c r="Z587" s="355"/>
    </row>
    <row r="588" spans="1:26" ht="13.5" customHeight="1" x14ac:dyDescent="0.25">
      <c r="A588" s="382"/>
      <c r="B588" s="355"/>
      <c r="C588" s="450"/>
      <c r="D588" s="450"/>
      <c r="E588" s="355"/>
      <c r="F588" s="355"/>
      <c r="G588" s="355"/>
      <c r="H588" s="355"/>
      <c r="I588" s="355"/>
      <c r="J588" s="355"/>
      <c r="K588" s="355"/>
      <c r="L588" s="355"/>
      <c r="M588" s="355"/>
      <c r="N588" s="355"/>
      <c r="O588" s="355"/>
      <c r="P588" s="355"/>
      <c r="Q588" s="355"/>
      <c r="R588" s="355"/>
      <c r="S588" s="355"/>
      <c r="T588" s="355"/>
      <c r="U588" s="355"/>
      <c r="V588" s="355"/>
      <c r="W588" s="355"/>
      <c r="X588" s="355"/>
      <c r="Y588" s="355"/>
      <c r="Z588" s="355"/>
    </row>
    <row r="589" spans="1:26" ht="13.5" customHeight="1" x14ac:dyDescent="0.25">
      <c r="A589" s="382"/>
      <c r="B589" s="355"/>
      <c r="C589" s="450"/>
      <c r="D589" s="450"/>
      <c r="E589" s="355"/>
      <c r="F589" s="355"/>
      <c r="G589" s="355"/>
      <c r="H589" s="355"/>
      <c r="I589" s="355"/>
      <c r="J589" s="355"/>
      <c r="K589" s="355"/>
      <c r="L589" s="355"/>
      <c r="M589" s="355"/>
      <c r="N589" s="355"/>
      <c r="O589" s="355"/>
      <c r="P589" s="355"/>
      <c r="Q589" s="355"/>
      <c r="R589" s="355"/>
      <c r="S589" s="355"/>
      <c r="T589" s="355"/>
      <c r="U589" s="355"/>
      <c r="V589" s="355"/>
      <c r="W589" s="355"/>
      <c r="X589" s="355"/>
      <c r="Y589" s="355"/>
      <c r="Z589" s="355"/>
    </row>
    <row r="590" spans="1:26" ht="13.5" customHeight="1" x14ac:dyDescent="0.25">
      <c r="A590" s="382"/>
      <c r="B590" s="355"/>
      <c r="C590" s="450"/>
      <c r="D590" s="450"/>
      <c r="E590" s="355"/>
      <c r="F590" s="355"/>
      <c r="G590" s="355"/>
      <c r="H590" s="355"/>
      <c r="I590" s="355"/>
      <c r="J590" s="355"/>
      <c r="K590" s="355"/>
      <c r="L590" s="355"/>
      <c r="M590" s="355"/>
      <c r="N590" s="355"/>
      <c r="O590" s="355"/>
      <c r="P590" s="355"/>
      <c r="Q590" s="355"/>
      <c r="R590" s="355"/>
      <c r="S590" s="355"/>
      <c r="T590" s="355"/>
      <c r="U590" s="355"/>
      <c r="V590" s="355"/>
      <c r="W590" s="355"/>
      <c r="X590" s="355"/>
      <c r="Y590" s="355"/>
      <c r="Z590" s="355"/>
    </row>
    <row r="591" spans="1:26" ht="13.5" customHeight="1" x14ac:dyDescent="0.25">
      <c r="A591" s="382"/>
      <c r="B591" s="355"/>
      <c r="C591" s="450"/>
      <c r="D591" s="450"/>
      <c r="E591" s="355"/>
      <c r="F591" s="355"/>
      <c r="G591" s="355"/>
      <c r="H591" s="355"/>
      <c r="I591" s="355"/>
      <c r="J591" s="355"/>
      <c r="K591" s="355"/>
      <c r="L591" s="355"/>
      <c r="M591" s="355"/>
      <c r="N591" s="355"/>
      <c r="O591" s="355"/>
      <c r="P591" s="355"/>
      <c r="Q591" s="355"/>
      <c r="R591" s="355"/>
      <c r="S591" s="355"/>
      <c r="T591" s="355"/>
      <c r="U591" s="355"/>
      <c r="V591" s="355"/>
      <c r="W591" s="355"/>
      <c r="X591" s="355"/>
      <c r="Y591" s="355"/>
      <c r="Z591" s="355"/>
    </row>
    <row r="592" spans="1:26" ht="13.5" customHeight="1" x14ac:dyDescent="0.25">
      <c r="A592" s="382"/>
      <c r="B592" s="355"/>
      <c r="C592" s="450"/>
      <c r="D592" s="450"/>
      <c r="E592" s="355"/>
      <c r="F592" s="355"/>
      <c r="G592" s="355"/>
      <c r="H592" s="355"/>
      <c r="I592" s="355"/>
      <c r="J592" s="355"/>
      <c r="K592" s="355"/>
      <c r="L592" s="355"/>
      <c r="M592" s="355"/>
      <c r="N592" s="355"/>
      <c r="O592" s="355"/>
      <c r="P592" s="355"/>
      <c r="Q592" s="355"/>
      <c r="R592" s="355"/>
      <c r="S592" s="355"/>
      <c r="T592" s="355"/>
      <c r="U592" s="355"/>
      <c r="V592" s="355"/>
      <c r="W592" s="355"/>
      <c r="X592" s="355"/>
      <c r="Y592" s="355"/>
      <c r="Z592" s="355"/>
    </row>
    <row r="593" spans="1:26" ht="13.5" customHeight="1" x14ac:dyDescent="0.25">
      <c r="A593" s="382"/>
      <c r="B593" s="355"/>
      <c r="C593" s="450"/>
      <c r="D593" s="450"/>
      <c r="E593" s="355"/>
      <c r="F593" s="355"/>
      <c r="G593" s="355"/>
      <c r="H593" s="355"/>
      <c r="I593" s="355"/>
      <c r="J593" s="355"/>
      <c r="K593" s="355"/>
      <c r="L593" s="355"/>
      <c r="M593" s="355"/>
      <c r="N593" s="355"/>
      <c r="O593" s="355"/>
      <c r="P593" s="355"/>
      <c r="Q593" s="355"/>
      <c r="R593" s="355"/>
      <c r="S593" s="355"/>
      <c r="T593" s="355"/>
      <c r="U593" s="355"/>
      <c r="V593" s="355"/>
      <c r="W593" s="355"/>
      <c r="X593" s="355"/>
      <c r="Y593" s="355"/>
      <c r="Z593" s="355"/>
    </row>
    <row r="594" spans="1:26" ht="13.5" customHeight="1" x14ac:dyDescent="0.25">
      <c r="A594" s="382"/>
      <c r="B594" s="355"/>
      <c r="C594" s="450"/>
      <c r="D594" s="450"/>
      <c r="E594" s="355"/>
      <c r="F594" s="355"/>
      <c r="G594" s="355"/>
      <c r="H594" s="355"/>
      <c r="I594" s="355"/>
      <c r="J594" s="355"/>
      <c r="K594" s="355"/>
      <c r="L594" s="355"/>
      <c r="M594" s="355"/>
      <c r="N594" s="355"/>
      <c r="O594" s="355"/>
      <c r="P594" s="355"/>
      <c r="Q594" s="355"/>
      <c r="R594" s="355"/>
      <c r="S594" s="355"/>
      <c r="T594" s="355"/>
      <c r="U594" s="355"/>
      <c r="V594" s="355"/>
      <c r="W594" s="355"/>
      <c r="X594" s="355"/>
      <c r="Y594" s="355"/>
      <c r="Z594" s="355"/>
    </row>
    <row r="595" spans="1:26" ht="13.5" customHeight="1" x14ac:dyDescent="0.25">
      <c r="A595" s="382"/>
      <c r="B595" s="355"/>
      <c r="C595" s="450"/>
      <c r="D595" s="450"/>
      <c r="E595" s="355"/>
      <c r="F595" s="355"/>
      <c r="G595" s="355"/>
      <c r="H595" s="355"/>
      <c r="I595" s="355"/>
      <c r="J595" s="355"/>
      <c r="K595" s="355"/>
      <c r="L595" s="355"/>
      <c r="M595" s="355"/>
      <c r="N595" s="355"/>
      <c r="O595" s="355"/>
      <c r="P595" s="355"/>
      <c r="Q595" s="355"/>
      <c r="R595" s="355"/>
      <c r="S595" s="355"/>
      <c r="T595" s="355"/>
      <c r="U595" s="355"/>
      <c r="V595" s="355"/>
      <c r="W595" s="355"/>
      <c r="X595" s="355"/>
      <c r="Y595" s="355"/>
      <c r="Z595" s="355"/>
    </row>
    <row r="596" spans="1:26" ht="13.5" customHeight="1" x14ac:dyDescent="0.25">
      <c r="A596" s="382"/>
      <c r="B596" s="355"/>
      <c r="C596" s="450"/>
      <c r="D596" s="450"/>
      <c r="E596" s="355"/>
      <c r="F596" s="355"/>
      <c r="G596" s="355"/>
      <c r="H596" s="355"/>
      <c r="I596" s="355"/>
      <c r="J596" s="355"/>
      <c r="K596" s="355"/>
      <c r="L596" s="355"/>
      <c r="M596" s="355"/>
      <c r="N596" s="355"/>
      <c r="O596" s="355"/>
      <c r="P596" s="355"/>
      <c r="Q596" s="355"/>
      <c r="R596" s="355"/>
      <c r="S596" s="355"/>
      <c r="T596" s="355"/>
      <c r="U596" s="355"/>
      <c r="V596" s="355"/>
      <c r="W596" s="355"/>
      <c r="X596" s="355"/>
      <c r="Y596" s="355"/>
      <c r="Z596" s="355"/>
    </row>
    <row r="597" spans="1:26" ht="13.5" customHeight="1" x14ac:dyDescent="0.25">
      <c r="A597" s="382"/>
      <c r="B597" s="355"/>
      <c r="C597" s="450"/>
      <c r="D597" s="450"/>
      <c r="E597" s="355"/>
      <c r="F597" s="355"/>
      <c r="G597" s="355"/>
      <c r="H597" s="355"/>
      <c r="I597" s="355"/>
      <c r="J597" s="355"/>
      <c r="K597" s="355"/>
      <c r="L597" s="355"/>
      <c r="M597" s="355"/>
      <c r="N597" s="355"/>
      <c r="O597" s="355"/>
      <c r="P597" s="355"/>
      <c r="Q597" s="355"/>
      <c r="R597" s="355"/>
      <c r="S597" s="355"/>
      <c r="T597" s="355"/>
      <c r="U597" s="355"/>
      <c r="V597" s="355"/>
      <c r="W597" s="355"/>
      <c r="X597" s="355"/>
      <c r="Y597" s="355"/>
      <c r="Z597" s="355"/>
    </row>
    <row r="598" spans="1:26" ht="13.5" customHeight="1" x14ac:dyDescent="0.25">
      <c r="A598" s="382"/>
      <c r="B598" s="355"/>
      <c r="C598" s="450"/>
      <c r="D598" s="450"/>
      <c r="E598" s="355"/>
      <c r="F598" s="355"/>
      <c r="G598" s="355"/>
      <c r="H598" s="355"/>
      <c r="I598" s="355"/>
      <c r="J598" s="355"/>
      <c r="K598" s="355"/>
      <c r="L598" s="355"/>
      <c r="M598" s="355"/>
      <c r="N598" s="355"/>
      <c r="O598" s="355"/>
      <c r="P598" s="355"/>
      <c r="Q598" s="355"/>
      <c r="R598" s="355"/>
      <c r="S598" s="355"/>
      <c r="T598" s="355"/>
      <c r="U598" s="355"/>
      <c r="V598" s="355"/>
      <c r="W598" s="355"/>
      <c r="X598" s="355"/>
      <c r="Y598" s="355"/>
      <c r="Z598" s="355"/>
    </row>
    <row r="599" spans="1:26" ht="13.5" customHeight="1" x14ac:dyDescent="0.25">
      <c r="A599" s="382"/>
      <c r="B599" s="355"/>
      <c r="C599" s="450"/>
      <c r="D599" s="450"/>
      <c r="E599" s="355"/>
      <c r="F599" s="355"/>
      <c r="G599" s="355"/>
      <c r="H599" s="355"/>
      <c r="I599" s="355"/>
      <c r="J599" s="355"/>
      <c r="K599" s="355"/>
      <c r="L599" s="355"/>
      <c r="M599" s="355"/>
      <c r="N599" s="355"/>
      <c r="O599" s="355"/>
      <c r="P599" s="355"/>
      <c r="Q599" s="355"/>
      <c r="R599" s="355"/>
      <c r="S599" s="355"/>
      <c r="T599" s="355"/>
      <c r="U599" s="355"/>
      <c r="V599" s="355"/>
      <c r="W599" s="355"/>
      <c r="X599" s="355"/>
      <c r="Y599" s="355"/>
      <c r="Z599" s="355"/>
    </row>
    <row r="600" spans="1:26" ht="13.5" customHeight="1" x14ac:dyDescent="0.25">
      <c r="A600" s="382"/>
      <c r="B600" s="355"/>
      <c r="C600" s="450"/>
      <c r="D600" s="450"/>
      <c r="E600" s="355"/>
      <c r="F600" s="355"/>
      <c r="G600" s="355"/>
      <c r="H600" s="355"/>
      <c r="I600" s="355"/>
      <c r="J600" s="355"/>
      <c r="K600" s="355"/>
      <c r="L600" s="355"/>
      <c r="M600" s="355"/>
      <c r="N600" s="355"/>
      <c r="O600" s="355"/>
      <c r="P600" s="355"/>
      <c r="Q600" s="355"/>
      <c r="R600" s="355"/>
      <c r="S600" s="355"/>
      <c r="T600" s="355"/>
      <c r="U600" s="355"/>
      <c r="V600" s="355"/>
      <c r="W600" s="355"/>
      <c r="X600" s="355"/>
      <c r="Y600" s="355"/>
      <c r="Z600" s="355"/>
    </row>
    <row r="601" spans="1:26" ht="13.5" customHeight="1" x14ac:dyDescent="0.25">
      <c r="A601" s="382"/>
      <c r="B601" s="355"/>
      <c r="C601" s="450"/>
      <c r="D601" s="450"/>
      <c r="E601" s="355"/>
      <c r="F601" s="355"/>
      <c r="G601" s="355"/>
      <c r="H601" s="355"/>
      <c r="I601" s="355"/>
      <c r="J601" s="355"/>
      <c r="K601" s="355"/>
      <c r="L601" s="355"/>
      <c r="M601" s="355"/>
      <c r="N601" s="355"/>
      <c r="O601" s="355"/>
      <c r="P601" s="355"/>
      <c r="Q601" s="355"/>
      <c r="R601" s="355"/>
      <c r="S601" s="355"/>
      <c r="T601" s="355"/>
      <c r="U601" s="355"/>
      <c r="V601" s="355"/>
      <c r="W601" s="355"/>
      <c r="X601" s="355"/>
      <c r="Y601" s="355"/>
      <c r="Z601" s="355"/>
    </row>
    <row r="602" spans="1:26" ht="13.5" customHeight="1" x14ac:dyDescent="0.25">
      <c r="A602" s="382"/>
      <c r="B602" s="355"/>
      <c r="C602" s="450"/>
      <c r="D602" s="450"/>
      <c r="E602" s="355"/>
      <c r="F602" s="355"/>
      <c r="G602" s="355"/>
      <c r="H602" s="355"/>
      <c r="I602" s="355"/>
      <c r="J602" s="355"/>
      <c r="K602" s="355"/>
      <c r="L602" s="355"/>
      <c r="M602" s="355"/>
      <c r="N602" s="355"/>
      <c r="O602" s="355"/>
      <c r="P602" s="355"/>
      <c r="Q602" s="355"/>
      <c r="R602" s="355"/>
      <c r="S602" s="355"/>
      <c r="T602" s="355"/>
      <c r="U602" s="355"/>
      <c r="V602" s="355"/>
      <c r="W602" s="355"/>
      <c r="X602" s="355"/>
      <c r="Y602" s="355"/>
      <c r="Z602" s="355"/>
    </row>
    <row r="603" spans="1:26" ht="13.5" customHeight="1" x14ac:dyDescent="0.25">
      <c r="A603" s="382"/>
      <c r="B603" s="355"/>
      <c r="C603" s="450"/>
      <c r="D603" s="450"/>
      <c r="E603" s="355"/>
      <c r="F603" s="355"/>
      <c r="G603" s="355"/>
      <c r="H603" s="355"/>
      <c r="I603" s="355"/>
      <c r="J603" s="355"/>
      <c r="K603" s="355"/>
      <c r="L603" s="355"/>
      <c r="M603" s="355"/>
      <c r="N603" s="355"/>
      <c r="O603" s="355"/>
      <c r="P603" s="355"/>
      <c r="Q603" s="355"/>
      <c r="R603" s="355"/>
      <c r="S603" s="355"/>
      <c r="T603" s="355"/>
      <c r="U603" s="355"/>
      <c r="V603" s="355"/>
      <c r="W603" s="355"/>
      <c r="X603" s="355"/>
      <c r="Y603" s="355"/>
      <c r="Z603" s="355"/>
    </row>
    <row r="604" spans="1:26" ht="13.5" customHeight="1" x14ac:dyDescent="0.25">
      <c r="A604" s="382"/>
      <c r="B604" s="355"/>
      <c r="C604" s="450"/>
      <c r="D604" s="450"/>
      <c r="E604" s="355"/>
      <c r="F604" s="355"/>
      <c r="G604" s="355"/>
      <c r="H604" s="355"/>
      <c r="I604" s="355"/>
      <c r="J604" s="355"/>
      <c r="K604" s="355"/>
      <c r="L604" s="355"/>
      <c r="M604" s="355"/>
      <c r="N604" s="355"/>
      <c r="O604" s="355"/>
      <c r="P604" s="355"/>
      <c r="Q604" s="355"/>
      <c r="R604" s="355"/>
      <c r="S604" s="355"/>
      <c r="T604" s="355"/>
      <c r="U604" s="355"/>
      <c r="V604" s="355"/>
      <c r="W604" s="355"/>
      <c r="X604" s="355"/>
      <c r="Y604" s="355"/>
      <c r="Z604" s="355"/>
    </row>
    <row r="605" spans="1:26" ht="13.5" customHeight="1" x14ac:dyDescent="0.25">
      <c r="A605" s="382"/>
      <c r="B605" s="355"/>
      <c r="C605" s="450"/>
      <c r="D605" s="450"/>
      <c r="E605" s="355"/>
      <c r="F605" s="355"/>
      <c r="G605" s="355"/>
      <c r="H605" s="355"/>
      <c r="I605" s="355"/>
      <c r="J605" s="355"/>
      <c r="K605" s="355"/>
      <c r="L605" s="355"/>
      <c r="M605" s="355"/>
      <c r="N605" s="355"/>
      <c r="O605" s="355"/>
      <c r="P605" s="355"/>
      <c r="Q605" s="355"/>
      <c r="R605" s="355"/>
      <c r="S605" s="355"/>
      <c r="T605" s="355"/>
      <c r="U605" s="355"/>
      <c r="V605" s="355"/>
      <c r="W605" s="355"/>
      <c r="X605" s="355"/>
      <c r="Y605" s="355"/>
      <c r="Z605" s="355"/>
    </row>
    <row r="606" spans="1:26" ht="13.5" customHeight="1" x14ac:dyDescent="0.25">
      <c r="A606" s="382"/>
      <c r="B606" s="355"/>
      <c r="C606" s="450"/>
      <c r="D606" s="450"/>
      <c r="E606" s="355"/>
      <c r="F606" s="355"/>
      <c r="G606" s="355"/>
      <c r="H606" s="355"/>
      <c r="I606" s="355"/>
      <c r="J606" s="355"/>
      <c r="K606" s="355"/>
      <c r="L606" s="355"/>
      <c r="M606" s="355"/>
      <c r="N606" s="355"/>
      <c r="O606" s="355"/>
      <c r="P606" s="355"/>
      <c r="Q606" s="355"/>
      <c r="R606" s="355"/>
      <c r="S606" s="355"/>
      <c r="T606" s="355"/>
      <c r="U606" s="355"/>
      <c r="V606" s="355"/>
      <c r="W606" s="355"/>
      <c r="X606" s="355"/>
      <c r="Y606" s="355"/>
      <c r="Z606" s="355"/>
    </row>
    <row r="607" spans="1:26" ht="13.5" customHeight="1" x14ac:dyDescent="0.25">
      <c r="A607" s="382"/>
      <c r="B607" s="355"/>
      <c r="C607" s="450"/>
      <c r="D607" s="450"/>
      <c r="E607" s="355"/>
      <c r="F607" s="355"/>
      <c r="G607" s="355"/>
      <c r="H607" s="355"/>
      <c r="I607" s="355"/>
      <c r="J607" s="355"/>
      <c r="K607" s="355"/>
      <c r="L607" s="355"/>
      <c r="M607" s="355"/>
      <c r="N607" s="355"/>
      <c r="O607" s="355"/>
      <c r="P607" s="355"/>
      <c r="Q607" s="355"/>
      <c r="R607" s="355"/>
      <c r="S607" s="355"/>
      <c r="T607" s="355"/>
      <c r="U607" s="355"/>
      <c r="V607" s="355"/>
      <c r="W607" s="355"/>
      <c r="X607" s="355"/>
      <c r="Y607" s="355"/>
      <c r="Z607" s="355"/>
    </row>
    <row r="608" spans="1:26" ht="13.5" customHeight="1" x14ac:dyDescent="0.25">
      <c r="A608" s="382"/>
      <c r="B608" s="355"/>
      <c r="C608" s="450"/>
      <c r="D608" s="450"/>
      <c r="E608" s="355"/>
      <c r="F608" s="355"/>
      <c r="G608" s="355"/>
      <c r="H608" s="355"/>
      <c r="I608" s="355"/>
      <c r="J608" s="355"/>
      <c r="K608" s="355"/>
      <c r="L608" s="355"/>
      <c r="M608" s="355"/>
      <c r="N608" s="355"/>
      <c r="O608" s="355"/>
      <c r="P608" s="355"/>
      <c r="Q608" s="355"/>
      <c r="R608" s="355"/>
      <c r="S608" s="355"/>
      <c r="T608" s="355"/>
      <c r="U608" s="355"/>
      <c r="V608" s="355"/>
      <c r="W608" s="355"/>
      <c r="X608" s="355"/>
      <c r="Y608" s="355"/>
      <c r="Z608" s="355"/>
    </row>
    <row r="609" spans="1:26" ht="13.5" customHeight="1" x14ac:dyDescent="0.25">
      <c r="A609" s="382"/>
      <c r="B609" s="355"/>
      <c r="C609" s="450"/>
      <c r="D609" s="450"/>
      <c r="E609" s="355"/>
      <c r="F609" s="355"/>
      <c r="G609" s="355"/>
      <c r="H609" s="355"/>
      <c r="I609" s="355"/>
      <c r="J609" s="355"/>
      <c r="K609" s="355"/>
      <c r="L609" s="355"/>
      <c r="M609" s="355"/>
      <c r="N609" s="355"/>
      <c r="O609" s="355"/>
      <c r="P609" s="355"/>
      <c r="Q609" s="355"/>
      <c r="R609" s="355"/>
      <c r="S609" s="355"/>
      <c r="T609" s="355"/>
      <c r="U609" s="355"/>
      <c r="V609" s="355"/>
      <c r="W609" s="355"/>
      <c r="X609" s="355"/>
      <c r="Y609" s="355"/>
      <c r="Z609" s="355"/>
    </row>
    <row r="610" spans="1:26" ht="13.5" customHeight="1" x14ac:dyDescent="0.25">
      <c r="A610" s="382"/>
      <c r="B610" s="355"/>
      <c r="C610" s="450"/>
      <c r="D610" s="450"/>
      <c r="E610" s="355"/>
      <c r="F610" s="355"/>
      <c r="G610" s="355"/>
      <c r="H610" s="355"/>
      <c r="I610" s="355"/>
      <c r="J610" s="355"/>
      <c r="K610" s="355"/>
      <c r="L610" s="355"/>
      <c r="M610" s="355"/>
      <c r="N610" s="355"/>
      <c r="O610" s="355"/>
      <c r="P610" s="355"/>
      <c r="Q610" s="355"/>
      <c r="R610" s="355"/>
      <c r="S610" s="355"/>
      <c r="T610" s="355"/>
      <c r="U610" s="355"/>
      <c r="V610" s="355"/>
      <c r="W610" s="355"/>
      <c r="X610" s="355"/>
      <c r="Y610" s="355"/>
      <c r="Z610" s="355"/>
    </row>
    <row r="611" spans="1:26" ht="13.5" customHeight="1" x14ac:dyDescent="0.25">
      <c r="A611" s="382"/>
      <c r="B611" s="355"/>
      <c r="C611" s="450"/>
      <c r="D611" s="450"/>
      <c r="E611" s="355"/>
      <c r="F611" s="355"/>
      <c r="G611" s="355"/>
      <c r="H611" s="355"/>
      <c r="I611" s="355"/>
      <c r="J611" s="355"/>
      <c r="K611" s="355"/>
      <c r="L611" s="355"/>
      <c r="M611" s="355"/>
      <c r="N611" s="355"/>
      <c r="O611" s="355"/>
      <c r="P611" s="355"/>
      <c r="Q611" s="355"/>
      <c r="R611" s="355"/>
      <c r="S611" s="355"/>
      <c r="T611" s="355"/>
      <c r="U611" s="355"/>
      <c r="V611" s="355"/>
      <c r="W611" s="355"/>
      <c r="X611" s="355"/>
      <c r="Y611" s="355"/>
      <c r="Z611" s="355"/>
    </row>
    <row r="612" spans="1:26" ht="13.5" customHeight="1" x14ac:dyDescent="0.25">
      <c r="A612" s="382"/>
      <c r="B612" s="355"/>
      <c r="C612" s="450"/>
      <c r="D612" s="450"/>
      <c r="E612" s="355"/>
      <c r="F612" s="355"/>
      <c r="G612" s="355"/>
      <c r="H612" s="355"/>
      <c r="I612" s="355"/>
      <c r="J612" s="355"/>
      <c r="K612" s="355"/>
      <c r="L612" s="355"/>
      <c r="M612" s="355"/>
      <c r="N612" s="355"/>
      <c r="O612" s="355"/>
      <c r="P612" s="355"/>
      <c r="Q612" s="355"/>
      <c r="R612" s="355"/>
      <c r="S612" s="355"/>
      <c r="T612" s="355"/>
      <c r="U612" s="355"/>
      <c r="V612" s="355"/>
      <c r="W612" s="355"/>
      <c r="X612" s="355"/>
      <c r="Y612" s="355"/>
      <c r="Z612" s="355"/>
    </row>
    <row r="613" spans="1:26" ht="13.5" customHeight="1" x14ac:dyDescent="0.25">
      <c r="A613" s="382"/>
      <c r="B613" s="355"/>
      <c r="C613" s="450"/>
      <c r="D613" s="450"/>
      <c r="E613" s="355"/>
      <c r="F613" s="355"/>
      <c r="G613" s="355"/>
      <c r="H613" s="355"/>
      <c r="I613" s="355"/>
      <c r="J613" s="355"/>
      <c r="K613" s="355"/>
      <c r="L613" s="355"/>
      <c r="M613" s="355"/>
      <c r="N613" s="355"/>
      <c r="O613" s="355"/>
      <c r="P613" s="355"/>
      <c r="Q613" s="355"/>
      <c r="R613" s="355"/>
      <c r="S613" s="355"/>
      <c r="T613" s="355"/>
      <c r="U613" s="355"/>
      <c r="V613" s="355"/>
      <c r="W613" s="355"/>
      <c r="X613" s="355"/>
      <c r="Y613" s="355"/>
      <c r="Z613" s="355"/>
    </row>
    <row r="614" spans="1:26" ht="13.5" customHeight="1" x14ac:dyDescent="0.25">
      <c r="A614" s="382"/>
      <c r="B614" s="355"/>
      <c r="C614" s="450"/>
      <c r="D614" s="450"/>
      <c r="E614" s="355"/>
      <c r="F614" s="355"/>
      <c r="G614" s="355"/>
      <c r="H614" s="355"/>
      <c r="I614" s="355"/>
      <c r="J614" s="355"/>
      <c r="K614" s="355"/>
      <c r="L614" s="355"/>
      <c r="M614" s="355"/>
      <c r="N614" s="355"/>
      <c r="O614" s="355"/>
      <c r="P614" s="355"/>
      <c r="Q614" s="355"/>
      <c r="R614" s="355"/>
      <c r="S614" s="355"/>
      <c r="T614" s="355"/>
      <c r="U614" s="355"/>
      <c r="V614" s="355"/>
      <c r="W614" s="355"/>
      <c r="X614" s="355"/>
      <c r="Y614" s="355"/>
      <c r="Z614" s="355"/>
    </row>
    <row r="615" spans="1:26" ht="13.5" customHeight="1" x14ac:dyDescent="0.25">
      <c r="A615" s="382"/>
      <c r="B615" s="355"/>
      <c r="C615" s="450"/>
      <c r="D615" s="450"/>
      <c r="E615" s="355"/>
      <c r="F615" s="355"/>
      <c r="G615" s="355"/>
      <c r="H615" s="355"/>
      <c r="I615" s="355"/>
      <c r="J615" s="355"/>
      <c r="K615" s="355"/>
      <c r="L615" s="355"/>
      <c r="M615" s="355"/>
      <c r="N615" s="355"/>
      <c r="O615" s="355"/>
      <c r="P615" s="355"/>
      <c r="Q615" s="355"/>
      <c r="R615" s="355"/>
      <c r="S615" s="355"/>
      <c r="T615" s="355"/>
      <c r="U615" s="355"/>
      <c r="V615" s="355"/>
      <c r="W615" s="355"/>
      <c r="X615" s="355"/>
      <c r="Y615" s="355"/>
      <c r="Z615" s="355"/>
    </row>
    <row r="616" spans="1:26" ht="13.5" customHeight="1" x14ac:dyDescent="0.25">
      <c r="A616" s="382"/>
      <c r="B616" s="355"/>
      <c r="C616" s="450"/>
      <c r="D616" s="450"/>
      <c r="E616" s="355"/>
      <c r="F616" s="355"/>
      <c r="G616" s="355"/>
      <c r="H616" s="355"/>
      <c r="I616" s="355"/>
      <c r="J616" s="355"/>
      <c r="K616" s="355"/>
      <c r="L616" s="355"/>
      <c r="M616" s="355"/>
      <c r="N616" s="355"/>
      <c r="O616" s="355"/>
      <c r="P616" s="355"/>
      <c r="Q616" s="355"/>
      <c r="R616" s="355"/>
      <c r="S616" s="355"/>
      <c r="T616" s="355"/>
      <c r="U616" s="355"/>
      <c r="V616" s="355"/>
      <c r="W616" s="355"/>
      <c r="X616" s="355"/>
      <c r="Y616" s="355"/>
      <c r="Z616" s="355"/>
    </row>
    <row r="617" spans="1:26" ht="13.5" customHeight="1" x14ac:dyDescent="0.25">
      <c r="A617" s="382"/>
      <c r="B617" s="355"/>
      <c r="C617" s="450"/>
      <c r="D617" s="450"/>
      <c r="E617" s="355"/>
      <c r="F617" s="355"/>
      <c r="G617" s="355"/>
      <c r="H617" s="355"/>
      <c r="I617" s="355"/>
      <c r="J617" s="355"/>
      <c r="K617" s="355"/>
      <c r="L617" s="355"/>
      <c r="M617" s="355"/>
      <c r="N617" s="355"/>
      <c r="O617" s="355"/>
      <c r="P617" s="355"/>
      <c r="Q617" s="355"/>
      <c r="R617" s="355"/>
      <c r="S617" s="355"/>
      <c r="T617" s="355"/>
      <c r="U617" s="355"/>
      <c r="V617" s="355"/>
      <c r="W617" s="355"/>
      <c r="X617" s="355"/>
      <c r="Y617" s="355"/>
      <c r="Z617" s="355"/>
    </row>
    <row r="618" spans="1:26" ht="13.5" customHeight="1" x14ac:dyDescent="0.25">
      <c r="A618" s="382"/>
      <c r="B618" s="355"/>
      <c r="C618" s="450"/>
      <c r="D618" s="450"/>
      <c r="E618" s="355"/>
      <c r="F618" s="355"/>
      <c r="G618" s="355"/>
      <c r="H618" s="355"/>
      <c r="I618" s="355"/>
      <c r="J618" s="355"/>
      <c r="K618" s="355"/>
      <c r="L618" s="355"/>
      <c r="M618" s="355"/>
      <c r="N618" s="355"/>
      <c r="O618" s="355"/>
      <c r="P618" s="355"/>
      <c r="Q618" s="355"/>
      <c r="R618" s="355"/>
      <c r="S618" s="355"/>
      <c r="T618" s="355"/>
      <c r="U618" s="355"/>
      <c r="V618" s="355"/>
      <c r="W618" s="355"/>
      <c r="X618" s="355"/>
      <c r="Y618" s="355"/>
      <c r="Z618" s="355"/>
    </row>
    <row r="619" spans="1:26" ht="13.5" customHeight="1" x14ac:dyDescent="0.25">
      <c r="A619" s="382"/>
      <c r="B619" s="355"/>
      <c r="C619" s="450"/>
      <c r="D619" s="450"/>
      <c r="E619" s="355"/>
      <c r="F619" s="355"/>
      <c r="G619" s="355"/>
      <c r="H619" s="355"/>
      <c r="I619" s="355"/>
      <c r="J619" s="355"/>
      <c r="K619" s="355"/>
      <c r="L619" s="355"/>
      <c r="M619" s="355"/>
      <c r="N619" s="355"/>
      <c r="O619" s="355"/>
      <c r="P619" s="355"/>
      <c r="Q619" s="355"/>
      <c r="R619" s="355"/>
      <c r="S619" s="355"/>
      <c r="T619" s="355"/>
      <c r="U619" s="355"/>
      <c r="V619" s="355"/>
      <c r="W619" s="355"/>
      <c r="X619" s="355"/>
      <c r="Y619" s="355"/>
      <c r="Z619" s="355"/>
    </row>
    <row r="620" spans="1:26" ht="13.5" customHeight="1" x14ac:dyDescent="0.25">
      <c r="A620" s="382"/>
      <c r="B620" s="355"/>
      <c r="C620" s="450"/>
      <c r="D620" s="450"/>
      <c r="E620" s="355"/>
      <c r="F620" s="355"/>
      <c r="G620" s="355"/>
      <c r="H620" s="355"/>
      <c r="I620" s="355"/>
      <c r="J620" s="355"/>
      <c r="K620" s="355"/>
      <c r="L620" s="355"/>
      <c r="M620" s="355"/>
      <c r="N620" s="355"/>
      <c r="O620" s="355"/>
      <c r="P620" s="355"/>
      <c r="Q620" s="355"/>
      <c r="R620" s="355"/>
      <c r="S620" s="355"/>
      <c r="T620" s="355"/>
      <c r="U620" s="355"/>
      <c r="V620" s="355"/>
      <c r="W620" s="355"/>
      <c r="X620" s="355"/>
      <c r="Y620" s="355"/>
      <c r="Z620" s="355"/>
    </row>
    <row r="621" spans="1:26" ht="13.5" customHeight="1" x14ac:dyDescent="0.25">
      <c r="A621" s="382"/>
      <c r="B621" s="355"/>
      <c r="C621" s="450"/>
      <c r="D621" s="450"/>
      <c r="E621" s="355"/>
      <c r="F621" s="355"/>
      <c r="G621" s="355"/>
      <c r="H621" s="355"/>
      <c r="I621" s="355"/>
      <c r="J621" s="355"/>
      <c r="K621" s="355"/>
      <c r="L621" s="355"/>
      <c r="M621" s="355"/>
      <c r="N621" s="355"/>
      <c r="O621" s="355"/>
      <c r="P621" s="355"/>
      <c r="Q621" s="355"/>
      <c r="R621" s="355"/>
      <c r="S621" s="355"/>
      <c r="T621" s="355"/>
      <c r="U621" s="355"/>
      <c r="V621" s="355"/>
      <c r="W621" s="355"/>
      <c r="X621" s="355"/>
      <c r="Y621" s="355"/>
      <c r="Z621" s="355"/>
    </row>
    <row r="622" spans="1:26" ht="13.5" customHeight="1" x14ac:dyDescent="0.25">
      <c r="A622" s="382"/>
      <c r="B622" s="355"/>
      <c r="C622" s="450"/>
      <c r="D622" s="450"/>
      <c r="E622" s="355"/>
      <c r="F622" s="355"/>
      <c r="G622" s="355"/>
      <c r="H622" s="355"/>
      <c r="I622" s="355"/>
      <c r="J622" s="355"/>
      <c r="K622" s="355"/>
      <c r="L622" s="355"/>
      <c r="M622" s="355"/>
      <c r="N622" s="355"/>
      <c r="O622" s="355"/>
      <c r="P622" s="355"/>
      <c r="Q622" s="355"/>
      <c r="R622" s="355"/>
      <c r="S622" s="355"/>
      <c r="T622" s="355"/>
      <c r="U622" s="355"/>
      <c r="V622" s="355"/>
      <c r="W622" s="355"/>
      <c r="X622" s="355"/>
      <c r="Y622" s="355"/>
      <c r="Z622" s="355"/>
    </row>
    <row r="623" spans="1:26" ht="13.5" customHeight="1" x14ac:dyDescent="0.25">
      <c r="A623" s="382"/>
      <c r="B623" s="355"/>
      <c r="C623" s="450"/>
      <c r="D623" s="450"/>
      <c r="E623" s="355"/>
      <c r="F623" s="355"/>
      <c r="G623" s="355"/>
      <c r="H623" s="355"/>
      <c r="I623" s="355"/>
      <c r="J623" s="355"/>
      <c r="K623" s="355"/>
      <c r="L623" s="355"/>
      <c r="M623" s="355"/>
      <c r="N623" s="355"/>
      <c r="O623" s="355"/>
      <c r="P623" s="355"/>
      <c r="Q623" s="355"/>
      <c r="R623" s="355"/>
      <c r="S623" s="355"/>
      <c r="T623" s="355"/>
      <c r="U623" s="355"/>
      <c r="V623" s="355"/>
      <c r="W623" s="355"/>
      <c r="X623" s="355"/>
      <c r="Y623" s="355"/>
      <c r="Z623" s="355"/>
    </row>
    <row r="624" spans="1:26" ht="13.5" customHeight="1" x14ac:dyDescent="0.25">
      <c r="A624" s="382"/>
      <c r="B624" s="355"/>
      <c r="C624" s="450"/>
      <c r="D624" s="450"/>
      <c r="E624" s="355"/>
      <c r="F624" s="355"/>
      <c r="G624" s="355"/>
      <c r="H624" s="355"/>
      <c r="I624" s="355"/>
      <c r="J624" s="355"/>
      <c r="K624" s="355"/>
      <c r="L624" s="355"/>
      <c r="M624" s="355"/>
      <c r="N624" s="355"/>
      <c r="O624" s="355"/>
      <c r="P624" s="355"/>
      <c r="Q624" s="355"/>
      <c r="R624" s="355"/>
      <c r="S624" s="355"/>
      <c r="T624" s="355"/>
      <c r="U624" s="355"/>
      <c r="V624" s="355"/>
      <c r="W624" s="355"/>
      <c r="X624" s="355"/>
      <c r="Y624" s="355"/>
      <c r="Z624" s="355"/>
    </row>
    <row r="625" spans="1:26" ht="13.5" customHeight="1" x14ac:dyDescent="0.25">
      <c r="A625" s="382"/>
      <c r="B625" s="355"/>
      <c r="C625" s="450"/>
      <c r="D625" s="450"/>
      <c r="E625" s="355"/>
      <c r="F625" s="355"/>
      <c r="G625" s="355"/>
      <c r="H625" s="355"/>
      <c r="I625" s="355"/>
      <c r="J625" s="355"/>
      <c r="K625" s="355"/>
      <c r="L625" s="355"/>
      <c r="M625" s="355"/>
      <c r="N625" s="355"/>
      <c r="O625" s="355"/>
      <c r="P625" s="355"/>
      <c r="Q625" s="355"/>
      <c r="R625" s="355"/>
      <c r="S625" s="355"/>
      <c r="T625" s="355"/>
      <c r="U625" s="355"/>
      <c r="V625" s="355"/>
      <c r="W625" s="355"/>
      <c r="X625" s="355"/>
      <c r="Y625" s="355"/>
      <c r="Z625" s="355"/>
    </row>
    <row r="626" spans="1:26" ht="13.5" customHeight="1" x14ac:dyDescent="0.25">
      <c r="A626" s="382"/>
      <c r="B626" s="355"/>
      <c r="C626" s="450"/>
      <c r="D626" s="450"/>
      <c r="E626" s="355"/>
      <c r="F626" s="355"/>
      <c r="G626" s="355"/>
      <c r="H626" s="355"/>
      <c r="I626" s="355"/>
      <c r="J626" s="355"/>
      <c r="K626" s="355"/>
      <c r="L626" s="355"/>
      <c r="M626" s="355"/>
      <c r="N626" s="355"/>
      <c r="O626" s="355"/>
      <c r="P626" s="355"/>
      <c r="Q626" s="355"/>
      <c r="R626" s="355"/>
      <c r="S626" s="355"/>
      <c r="T626" s="355"/>
      <c r="U626" s="355"/>
      <c r="V626" s="355"/>
      <c r="W626" s="355"/>
      <c r="X626" s="355"/>
      <c r="Y626" s="355"/>
      <c r="Z626" s="355"/>
    </row>
    <row r="627" spans="1:26" ht="13.5" customHeight="1" x14ac:dyDescent="0.25">
      <c r="A627" s="382"/>
      <c r="B627" s="355"/>
      <c r="C627" s="450"/>
      <c r="D627" s="450"/>
      <c r="E627" s="355"/>
      <c r="F627" s="355"/>
      <c r="G627" s="355"/>
      <c r="H627" s="355"/>
      <c r="I627" s="355"/>
      <c r="J627" s="355"/>
      <c r="K627" s="355"/>
      <c r="L627" s="355"/>
      <c r="M627" s="355"/>
      <c r="N627" s="355"/>
      <c r="O627" s="355"/>
      <c r="P627" s="355"/>
      <c r="Q627" s="355"/>
      <c r="R627" s="355"/>
      <c r="S627" s="355"/>
      <c r="T627" s="355"/>
      <c r="U627" s="355"/>
      <c r="V627" s="355"/>
      <c r="W627" s="355"/>
      <c r="X627" s="355"/>
      <c r="Y627" s="355"/>
      <c r="Z627" s="355"/>
    </row>
    <row r="628" spans="1:26" ht="13.5" customHeight="1" x14ac:dyDescent="0.25">
      <c r="A628" s="382"/>
      <c r="B628" s="355"/>
      <c r="C628" s="450"/>
      <c r="D628" s="450"/>
      <c r="E628" s="355"/>
      <c r="F628" s="355"/>
      <c r="G628" s="355"/>
      <c r="H628" s="355"/>
      <c r="I628" s="355"/>
      <c r="J628" s="355"/>
      <c r="K628" s="355"/>
      <c r="L628" s="355"/>
      <c r="M628" s="355"/>
      <c r="N628" s="355"/>
      <c r="O628" s="355"/>
      <c r="P628" s="355"/>
      <c r="Q628" s="355"/>
      <c r="R628" s="355"/>
      <c r="S628" s="355"/>
      <c r="T628" s="355"/>
      <c r="U628" s="355"/>
      <c r="V628" s="355"/>
      <c r="W628" s="355"/>
      <c r="X628" s="355"/>
      <c r="Y628" s="355"/>
      <c r="Z628" s="355"/>
    </row>
    <row r="629" spans="1:26" ht="13.5" customHeight="1" x14ac:dyDescent="0.25">
      <c r="A629" s="382"/>
      <c r="B629" s="355"/>
      <c r="C629" s="450"/>
      <c r="D629" s="450"/>
      <c r="E629" s="355"/>
      <c r="F629" s="355"/>
      <c r="G629" s="355"/>
      <c r="H629" s="355"/>
      <c r="I629" s="355"/>
      <c r="J629" s="355"/>
      <c r="K629" s="355"/>
      <c r="L629" s="355"/>
      <c r="M629" s="355"/>
      <c r="N629" s="355"/>
      <c r="O629" s="355"/>
      <c r="P629" s="355"/>
      <c r="Q629" s="355"/>
      <c r="R629" s="355"/>
      <c r="S629" s="355"/>
      <c r="T629" s="355"/>
      <c r="U629" s="355"/>
      <c r="V629" s="355"/>
      <c r="W629" s="355"/>
      <c r="X629" s="355"/>
      <c r="Y629" s="355"/>
      <c r="Z629" s="355"/>
    </row>
    <row r="630" spans="1:26" ht="13.5" customHeight="1" x14ac:dyDescent="0.25">
      <c r="A630" s="382"/>
      <c r="B630" s="355"/>
      <c r="C630" s="450"/>
      <c r="D630" s="450"/>
      <c r="E630" s="355"/>
      <c r="F630" s="355"/>
      <c r="G630" s="355"/>
      <c r="H630" s="355"/>
      <c r="I630" s="355"/>
      <c r="J630" s="355"/>
      <c r="K630" s="355"/>
      <c r="L630" s="355"/>
      <c r="M630" s="355"/>
      <c r="N630" s="355"/>
      <c r="O630" s="355"/>
      <c r="P630" s="355"/>
      <c r="Q630" s="355"/>
      <c r="R630" s="355"/>
      <c r="S630" s="355"/>
      <c r="T630" s="355"/>
      <c r="U630" s="355"/>
      <c r="V630" s="355"/>
      <c r="W630" s="355"/>
      <c r="X630" s="355"/>
      <c r="Y630" s="355"/>
      <c r="Z630" s="355"/>
    </row>
    <row r="631" spans="1:26" ht="13.5" customHeight="1" x14ac:dyDescent="0.25">
      <c r="A631" s="382"/>
      <c r="B631" s="355"/>
      <c r="C631" s="450"/>
      <c r="D631" s="450"/>
      <c r="E631" s="355"/>
      <c r="F631" s="355"/>
      <c r="G631" s="355"/>
      <c r="H631" s="355"/>
      <c r="I631" s="355"/>
      <c r="J631" s="355"/>
      <c r="K631" s="355"/>
      <c r="L631" s="355"/>
      <c r="M631" s="355"/>
      <c r="N631" s="355"/>
      <c r="O631" s="355"/>
      <c r="P631" s="355"/>
      <c r="Q631" s="355"/>
      <c r="R631" s="355"/>
      <c r="S631" s="355"/>
      <c r="T631" s="355"/>
      <c r="U631" s="355"/>
      <c r="V631" s="355"/>
      <c r="W631" s="355"/>
      <c r="X631" s="355"/>
      <c r="Y631" s="355"/>
      <c r="Z631" s="355"/>
    </row>
    <row r="632" spans="1:26" ht="13.5" customHeight="1" x14ac:dyDescent="0.25">
      <c r="A632" s="382"/>
      <c r="B632" s="355"/>
      <c r="C632" s="450"/>
      <c r="D632" s="450"/>
      <c r="E632" s="355"/>
      <c r="F632" s="355"/>
      <c r="G632" s="355"/>
      <c r="H632" s="355"/>
      <c r="I632" s="355"/>
      <c r="J632" s="355"/>
      <c r="K632" s="355"/>
      <c r="L632" s="355"/>
      <c r="M632" s="355"/>
      <c r="N632" s="355"/>
      <c r="O632" s="355"/>
      <c r="P632" s="355"/>
      <c r="Q632" s="355"/>
      <c r="R632" s="355"/>
      <c r="S632" s="355"/>
      <c r="T632" s="355"/>
      <c r="U632" s="355"/>
      <c r="V632" s="355"/>
      <c r="W632" s="355"/>
      <c r="X632" s="355"/>
      <c r="Y632" s="355"/>
      <c r="Z632" s="355"/>
    </row>
    <row r="633" spans="1:26" ht="13.5" customHeight="1" x14ac:dyDescent="0.25">
      <c r="A633" s="382"/>
      <c r="B633" s="355"/>
      <c r="C633" s="450"/>
      <c r="D633" s="450"/>
      <c r="E633" s="355"/>
      <c r="F633" s="355"/>
      <c r="G633" s="355"/>
      <c r="H633" s="355"/>
      <c r="I633" s="355"/>
      <c r="J633" s="355"/>
      <c r="K633" s="355"/>
      <c r="L633" s="355"/>
      <c r="M633" s="355"/>
      <c r="N633" s="355"/>
      <c r="O633" s="355"/>
      <c r="P633" s="355"/>
      <c r="Q633" s="355"/>
      <c r="R633" s="355"/>
      <c r="S633" s="355"/>
      <c r="T633" s="355"/>
      <c r="U633" s="355"/>
      <c r="V633" s="355"/>
      <c r="W633" s="355"/>
      <c r="X633" s="355"/>
      <c r="Y633" s="355"/>
      <c r="Z633" s="355"/>
    </row>
    <row r="634" spans="1:26" ht="13.5" customHeight="1" x14ac:dyDescent="0.25">
      <c r="A634" s="382"/>
      <c r="B634" s="355"/>
      <c r="C634" s="450"/>
      <c r="D634" s="450"/>
      <c r="E634" s="355"/>
      <c r="F634" s="355"/>
      <c r="G634" s="355"/>
      <c r="H634" s="355"/>
      <c r="I634" s="355"/>
      <c r="J634" s="355"/>
      <c r="K634" s="355"/>
      <c r="L634" s="355"/>
      <c r="M634" s="355"/>
      <c r="N634" s="355"/>
      <c r="O634" s="355"/>
      <c r="P634" s="355"/>
      <c r="Q634" s="355"/>
      <c r="R634" s="355"/>
      <c r="S634" s="355"/>
      <c r="T634" s="355"/>
      <c r="U634" s="355"/>
      <c r="V634" s="355"/>
      <c r="W634" s="355"/>
      <c r="X634" s="355"/>
      <c r="Y634" s="355"/>
      <c r="Z634" s="355"/>
    </row>
    <row r="635" spans="1:26" ht="13.5" customHeight="1" x14ac:dyDescent="0.25">
      <c r="A635" s="382"/>
      <c r="B635" s="355"/>
      <c r="C635" s="450"/>
      <c r="D635" s="450"/>
      <c r="E635" s="355"/>
      <c r="F635" s="355"/>
      <c r="G635" s="355"/>
      <c r="H635" s="355"/>
      <c r="I635" s="355"/>
      <c r="J635" s="355"/>
      <c r="K635" s="355"/>
      <c r="L635" s="355"/>
      <c r="M635" s="355"/>
      <c r="N635" s="355"/>
      <c r="O635" s="355"/>
      <c r="P635" s="355"/>
      <c r="Q635" s="355"/>
      <c r="R635" s="355"/>
      <c r="S635" s="355"/>
      <c r="T635" s="355"/>
      <c r="U635" s="355"/>
      <c r="V635" s="355"/>
      <c r="W635" s="355"/>
      <c r="X635" s="355"/>
      <c r="Y635" s="355"/>
      <c r="Z635" s="355"/>
    </row>
    <row r="636" spans="1:26" ht="13.5" customHeight="1" x14ac:dyDescent="0.25">
      <c r="A636" s="382"/>
      <c r="B636" s="355"/>
      <c r="C636" s="450"/>
      <c r="D636" s="450"/>
      <c r="E636" s="355"/>
      <c r="F636" s="355"/>
      <c r="G636" s="355"/>
      <c r="H636" s="355"/>
      <c r="I636" s="355"/>
      <c r="J636" s="355"/>
      <c r="K636" s="355"/>
      <c r="L636" s="355"/>
      <c r="M636" s="355"/>
      <c r="N636" s="355"/>
      <c r="O636" s="355"/>
      <c r="P636" s="355"/>
      <c r="Q636" s="355"/>
      <c r="R636" s="355"/>
      <c r="S636" s="355"/>
      <c r="T636" s="355"/>
      <c r="U636" s="355"/>
      <c r="V636" s="355"/>
      <c r="W636" s="355"/>
      <c r="X636" s="355"/>
      <c r="Y636" s="355"/>
      <c r="Z636" s="355"/>
    </row>
    <row r="637" spans="1:26" ht="13.5" customHeight="1" x14ac:dyDescent="0.25">
      <c r="A637" s="382"/>
      <c r="B637" s="355"/>
      <c r="C637" s="450"/>
      <c r="D637" s="450"/>
      <c r="E637" s="355"/>
      <c r="F637" s="355"/>
      <c r="G637" s="355"/>
      <c r="H637" s="355"/>
      <c r="I637" s="355"/>
      <c r="J637" s="355"/>
      <c r="K637" s="355"/>
      <c r="L637" s="355"/>
      <c r="M637" s="355"/>
      <c r="N637" s="355"/>
      <c r="O637" s="355"/>
      <c r="P637" s="355"/>
      <c r="Q637" s="355"/>
      <c r="R637" s="355"/>
      <c r="S637" s="355"/>
      <c r="T637" s="355"/>
      <c r="U637" s="355"/>
      <c r="V637" s="355"/>
      <c r="W637" s="355"/>
      <c r="X637" s="355"/>
      <c r="Y637" s="355"/>
      <c r="Z637" s="355"/>
    </row>
    <row r="638" spans="1:26" ht="13.5" customHeight="1" x14ac:dyDescent="0.25">
      <c r="A638" s="382"/>
      <c r="B638" s="355"/>
      <c r="C638" s="450"/>
      <c r="D638" s="450"/>
      <c r="E638" s="355"/>
      <c r="F638" s="355"/>
      <c r="G638" s="355"/>
      <c r="H638" s="355"/>
      <c r="I638" s="355"/>
      <c r="J638" s="355"/>
      <c r="K638" s="355"/>
      <c r="L638" s="355"/>
      <c r="M638" s="355"/>
      <c r="N638" s="355"/>
      <c r="O638" s="355"/>
      <c r="P638" s="355"/>
      <c r="Q638" s="355"/>
      <c r="R638" s="355"/>
      <c r="S638" s="355"/>
      <c r="T638" s="355"/>
      <c r="U638" s="355"/>
      <c r="V638" s="355"/>
      <c r="W638" s="355"/>
      <c r="X638" s="355"/>
      <c r="Y638" s="355"/>
      <c r="Z638" s="355"/>
    </row>
    <row r="639" spans="1:26" ht="13.5" customHeight="1" x14ac:dyDescent="0.25">
      <c r="A639" s="382"/>
      <c r="B639" s="355"/>
      <c r="C639" s="450"/>
      <c r="D639" s="450"/>
      <c r="E639" s="355"/>
      <c r="F639" s="355"/>
      <c r="G639" s="355"/>
      <c r="H639" s="355"/>
      <c r="I639" s="355"/>
      <c r="J639" s="355"/>
      <c r="K639" s="355"/>
      <c r="L639" s="355"/>
      <c r="M639" s="355"/>
      <c r="N639" s="355"/>
      <c r="O639" s="355"/>
      <c r="P639" s="355"/>
      <c r="Q639" s="355"/>
      <c r="R639" s="355"/>
      <c r="S639" s="355"/>
      <c r="T639" s="355"/>
      <c r="U639" s="355"/>
      <c r="V639" s="355"/>
      <c r="W639" s="355"/>
      <c r="X639" s="355"/>
      <c r="Y639" s="355"/>
      <c r="Z639" s="355"/>
    </row>
    <row r="640" spans="1:26" ht="13.5" customHeight="1" x14ac:dyDescent="0.25">
      <c r="A640" s="382"/>
      <c r="B640" s="355"/>
      <c r="C640" s="450"/>
      <c r="D640" s="450"/>
      <c r="E640" s="355"/>
      <c r="F640" s="355"/>
      <c r="G640" s="355"/>
      <c r="H640" s="355"/>
      <c r="I640" s="355"/>
      <c r="J640" s="355"/>
      <c r="K640" s="355"/>
      <c r="L640" s="355"/>
      <c r="M640" s="355"/>
      <c r="N640" s="355"/>
      <c r="O640" s="355"/>
      <c r="P640" s="355"/>
      <c r="Q640" s="355"/>
      <c r="R640" s="355"/>
      <c r="S640" s="355"/>
      <c r="T640" s="355"/>
      <c r="U640" s="355"/>
      <c r="V640" s="355"/>
      <c r="W640" s="355"/>
      <c r="X640" s="355"/>
      <c r="Y640" s="355"/>
      <c r="Z640" s="355"/>
    </row>
    <row r="641" spans="1:26" ht="13.5" customHeight="1" x14ac:dyDescent="0.25">
      <c r="A641" s="382"/>
      <c r="B641" s="355"/>
      <c r="C641" s="450"/>
      <c r="D641" s="450"/>
      <c r="E641" s="355"/>
      <c r="F641" s="355"/>
      <c r="G641" s="355"/>
      <c r="H641" s="355"/>
      <c r="I641" s="355"/>
      <c r="J641" s="355"/>
      <c r="K641" s="355"/>
      <c r="L641" s="355"/>
      <c r="M641" s="355"/>
      <c r="N641" s="355"/>
      <c r="O641" s="355"/>
      <c r="P641" s="355"/>
      <c r="Q641" s="355"/>
      <c r="R641" s="355"/>
      <c r="S641" s="355"/>
      <c r="T641" s="355"/>
      <c r="U641" s="355"/>
      <c r="V641" s="355"/>
      <c r="W641" s="355"/>
      <c r="X641" s="355"/>
      <c r="Y641" s="355"/>
      <c r="Z641" s="355"/>
    </row>
    <row r="642" spans="1:26" ht="13.5" customHeight="1" x14ac:dyDescent="0.25">
      <c r="A642" s="382"/>
      <c r="B642" s="355"/>
      <c r="C642" s="450"/>
      <c r="D642" s="450"/>
      <c r="E642" s="355"/>
      <c r="F642" s="355"/>
      <c r="G642" s="355"/>
      <c r="H642" s="355"/>
      <c r="I642" s="355"/>
      <c r="J642" s="355"/>
      <c r="K642" s="355"/>
      <c r="L642" s="355"/>
      <c r="M642" s="355"/>
      <c r="N642" s="355"/>
      <c r="O642" s="355"/>
      <c r="P642" s="355"/>
      <c r="Q642" s="355"/>
      <c r="R642" s="355"/>
      <c r="S642" s="355"/>
      <c r="T642" s="355"/>
      <c r="U642" s="355"/>
      <c r="V642" s="355"/>
      <c r="W642" s="355"/>
      <c r="X642" s="355"/>
      <c r="Y642" s="355"/>
      <c r="Z642" s="355"/>
    </row>
    <row r="643" spans="1:26" ht="13.5" customHeight="1" x14ac:dyDescent="0.25">
      <c r="A643" s="382"/>
      <c r="B643" s="355"/>
      <c r="C643" s="450"/>
      <c r="D643" s="450"/>
      <c r="E643" s="355"/>
      <c r="F643" s="355"/>
      <c r="G643" s="355"/>
      <c r="H643" s="355"/>
      <c r="I643" s="355"/>
      <c r="J643" s="355"/>
      <c r="K643" s="355"/>
      <c r="L643" s="355"/>
      <c r="M643" s="355"/>
      <c r="N643" s="355"/>
      <c r="O643" s="355"/>
      <c r="P643" s="355"/>
      <c r="Q643" s="355"/>
      <c r="R643" s="355"/>
      <c r="S643" s="355"/>
      <c r="T643" s="355"/>
      <c r="U643" s="355"/>
      <c r="V643" s="355"/>
      <c r="W643" s="355"/>
      <c r="X643" s="355"/>
      <c r="Y643" s="355"/>
      <c r="Z643" s="355"/>
    </row>
    <row r="644" spans="1:26" ht="13.5" customHeight="1" x14ac:dyDescent="0.25">
      <c r="A644" s="382"/>
      <c r="B644" s="355"/>
      <c r="C644" s="450"/>
      <c r="D644" s="450"/>
      <c r="E644" s="355"/>
      <c r="F644" s="355"/>
      <c r="G644" s="355"/>
      <c r="H644" s="355"/>
      <c r="I644" s="355"/>
      <c r="J644" s="355"/>
      <c r="K644" s="355"/>
      <c r="L644" s="355"/>
      <c r="M644" s="355"/>
      <c r="N644" s="355"/>
      <c r="O644" s="355"/>
      <c r="P644" s="355"/>
      <c r="Q644" s="355"/>
      <c r="R644" s="355"/>
      <c r="S644" s="355"/>
      <c r="T644" s="355"/>
      <c r="U644" s="355"/>
      <c r="V644" s="355"/>
      <c r="W644" s="355"/>
      <c r="X644" s="355"/>
      <c r="Y644" s="355"/>
      <c r="Z644" s="355"/>
    </row>
    <row r="645" spans="1:26" ht="13.5" customHeight="1" x14ac:dyDescent="0.25">
      <c r="A645" s="382"/>
      <c r="B645" s="355"/>
      <c r="C645" s="450"/>
      <c r="D645" s="450"/>
      <c r="E645" s="355"/>
      <c r="F645" s="355"/>
      <c r="G645" s="355"/>
      <c r="H645" s="355"/>
      <c r="I645" s="355"/>
      <c r="J645" s="355"/>
      <c r="K645" s="355"/>
      <c r="L645" s="355"/>
      <c r="M645" s="355"/>
      <c r="N645" s="355"/>
      <c r="O645" s="355"/>
      <c r="P645" s="355"/>
      <c r="Q645" s="355"/>
      <c r="R645" s="355"/>
      <c r="S645" s="355"/>
      <c r="T645" s="355"/>
      <c r="U645" s="355"/>
      <c r="V645" s="355"/>
      <c r="W645" s="355"/>
      <c r="X645" s="355"/>
      <c r="Y645" s="355"/>
      <c r="Z645" s="355"/>
    </row>
    <row r="646" spans="1:26" ht="13.5" customHeight="1" x14ac:dyDescent="0.25">
      <c r="A646" s="382"/>
      <c r="B646" s="355"/>
      <c r="C646" s="450"/>
      <c r="D646" s="450"/>
      <c r="E646" s="355"/>
      <c r="F646" s="355"/>
      <c r="G646" s="355"/>
      <c r="H646" s="355"/>
      <c r="I646" s="355"/>
      <c r="J646" s="355"/>
      <c r="K646" s="355"/>
      <c r="L646" s="355"/>
      <c r="M646" s="355"/>
      <c r="N646" s="355"/>
      <c r="O646" s="355"/>
      <c r="P646" s="355"/>
      <c r="Q646" s="355"/>
      <c r="R646" s="355"/>
      <c r="S646" s="355"/>
      <c r="T646" s="355"/>
      <c r="U646" s="355"/>
      <c r="V646" s="355"/>
      <c r="W646" s="355"/>
      <c r="X646" s="355"/>
      <c r="Y646" s="355"/>
      <c r="Z646" s="355"/>
    </row>
    <row r="647" spans="1:26" ht="13.5" customHeight="1" x14ac:dyDescent="0.25">
      <c r="A647" s="382"/>
      <c r="B647" s="355"/>
      <c r="C647" s="450"/>
      <c r="D647" s="450"/>
      <c r="E647" s="355"/>
      <c r="F647" s="355"/>
      <c r="G647" s="355"/>
      <c r="H647" s="355"/>
      <c r="I647" s="355"/>
      <c r="J647" s="355"/>
      <c r="K647" s="355"/>
      <c r="L647" s="355"/>
      <c r="M647" s="355"/>
      <c r="N647" s="355"/>
      <c r="O647" s="355"/>
      <c r="P647" s="355"/>
      <c r="Q647" s="355"/>
      <c r="R647" s="355"/>
      <c r="S647" s="355"/>
      <c r="T647" s="355"/>
      <c r="U647" s="355"/>
      <c r="V647" s="355"/>
      <c r="W647" s="355"/>
      <c r="X647" s="355"/>
      <c r="Y647" s="355"/>
      <c r="Z647" s="355"/>
    </row>
    <row r="648" spans="1:26" ht="13.5" customHeight="1" x14ac:dyDescent="0.25">
      <c r="A648" s="382"/>
      <c r="B648" s="355"/>
      <c r="C648" s="450"/>
      <c r="D648" s="450"/>
      <c r="E648" s="355"/>
      <c r="F648" s="355"/>
      <c r="G648" s="355"/>
      <c r="H648" s="355"/>
      <c r="I648" s="355"/>
      <c r="J648" s="355"/>
      <c r="K648" s="355"/>
      <c r="L648" s="355"/>
      <c r="M648" s="355"/>
      <c r="N648" s="355"/>
      <c r="O648" s="355"/>
      <c r="P648" s="355"/>
      <c r="Q648" s="355"/>
      <c r="R648" s="355"/>
      <c r="S648" s="355"/>
      <c r="T648" s="355"/>
      <c r="U648" s="355"/>
      <c r="V648" s="355"/>
      <c r="W648" s="355"/>
      <c r="X648" s="355"/>
      <c r="Y648" s="355"/>
      <c r="Z648" s="355"/>
    </row>
    <row r="649" spans="1:26" ht="13.5" customHeight="1" x14ac:dyDescent="0.25">
      <c r="A649" s="382"/>
      <c r="B649" s="355"/>
      <c r="C649" s="450"/>
      <c r="D649" s="450"/>
      <c r="E649" s="355"/>
      <c r="F649" s="355"/>
      <c r="G649" s="355"/>
      <c r="H649" s="355"/>
      <c r="I649" s="355"/>
      <c r="J649" s="355"/>
      <c r="K649" s="355"/>
      <c r="L649" s="355"/>
      <c r="M649" s="355"/>
      <c r="N649" s="355"/>
      <c r="O649" s="355"/>
      <c r="P649" s="355"/>
      <c r="Q649" s="355"/>
      <c r="R649" s="355"/>
      <c r="S649" s="355"/>
      <c r="T649" s="355"/>
      <c r="U649" s="355"/>
      <c r="V649" s="355"/>
      <c r="W649" s="355"/>
      <c r="X649" s="355"/>
      <c r="Y649" s="355"/>
      <c r="Z649" s="355"/>
    </row>
    <row r="650" spans="1:26" ht="13.5" customHeight="1" x14ac:dyDescent="0.25">
      <c r="A650" s="382"/>
      <c r="B650" s="355"/>
      <c r="C650" s="450"/>
      <c r="D650" s="450"/>
      <c r="E650" s="355"/>
      <c r="F650" s="355"/>
      <c r="G650" s="355"/>
      <c r="H650" s="355"/>
      <c r="I650" s="355"/>
      <c r="J650" s="355"/>
      <c r="K650" s="355"/>
      <c r="L650" s="355"/>
      <c r="M650" s="355"/>
      <c r="N650" s="355"/>
      <c r="O650" s="355"/>
      <c r="P650" s="355"/>
      <c r="Q650" s="355"/>
      <c r="R650" s="355"/>
      <c r="S650" s="355"/>
      <c r="T650" s="355"/>
      <c r="U650" s="355"/>
      <c r="V650" s="355"/>
      <c r="W650" s="355"/>
      <c r="X650" s="355"/>
      <c r="Y650" s="355"/>
      <c r="Z650" s="355"/>
    </row>
    <row r="651" spans="1:26" ht="13.5" customHeight="1" x14ac:dyDescent="0.25">
      <c r="A651" s="382"/>
      <c r="B651" s="355"/>
      <c r="C651" s="450"/>
      <c r="D651" s="450"/>
      <c r="E651" s="355"/>
      <c r="F651" s="355"/>
      <c r="G651" s="355"/>
      <c r="H651" s="355"/>
      <c r="I651" s="355"/>
      <c r="J651" s="355"/>
      <c r="K651" s="355"/>
      <c r="L651" s="355"/>
      <c r="M651" s="355"/>
      <c r="N651" s="355"/>
      <c r="O651" s="355"/>
      <c r="P651" s="355"/>
      <c r="Q651" s="355"/>
      <c r="R651" s="355"/>
      <c r="S651" s="355"/>
      <c r="T651" s="355"/>
      <c r="U651" s="355"/>
      <c r="V651" s="355"/>
      <c r="W651" s="355"/>
      <c r="X651" s="355"/>
      <c r="Y651" s="355"/>
      <c r="Z651" s="355"/>
    </row>
    <row r="652" spans="1:26" ht="13.5" customHeight="1" x14ac:dyDescent="0.25">
      <c r="A652" s="382"/>
      <c r="B652" s="355"/>
      <c r="C652" s="450"/>
      <c r="D652" s="450"/>
      <c r="E652" s="355"/>
      <c r="F652" s="355"/>
      <c r="G652" s="355"/>
      <c r="H652" s="355"/>
      <c r="I652" s="355"/>
      <c r="J652" s="355"/>
      <c r="K652" s="355"/>
      <c r="L652" s="355"/>
      <c r="M652" s="355"/>
      <c r="N652" s="355"/>
      <c r="O652" s="355"/>
      <c r="P652" s="355"/>
      <c r="Q652" s="355"/>
      <c r="R652" s="355"/>
      <c r="S652" s="355"/>
      <c r="T652" s="355"/>
      <c r="U652" s="355"/>
      <c r="V652" s="355"/>
      <c r="W652" s="355"/>
      <c r="X652" s="355"/>
      <c r="Y652" s="355"/>
      <c r="Z652" s="355"/>
    </row>
    <row r="653" spans="1:26" ht="13.5" customHeight="1" x14ac:dyDescent="0.25">
      <c r="A653" s="382"/>
      <c r="B653" s="355"/>
      <c r="C653" s="450"/>
      <c r="D653" s="450"/>
      <c r="E653" s="355"/>
      <c r="F653" s="355"/>
      <c r="G653" s="355"/>
      <c r="H653" s="355"/>
      <c r="I653" s="355"/>
      <c r="J653" s="355"/>
      <c r="K653" s="355"/>
      <c r="L653" s="355"/>
      <c r="M653" s="355"/>
      <c r="N653" s="355"/>
      <c r="O653" s="355"/>
      <c r="P653" s="355"/>
      <c r="Q653" s="355"/>
      <c r="R653" s="355"/>
      <c r="S653" s="355"/>
      <c r="T653" s="355"/>
      <c r="U653" s="355"/>
      <c r="V653" s="355"/>
      <c r="W653" s="355"/>
      <c r="X653" s="355"/>
      <c r="Y653" s="355"/>
      <c r="Z653" s="355"/>
    </row>
    <row r="654" spans="1:26" ht="13.5" customHeight="1" x14ac:dyDescent="0.25">
      <c r="A654" s="382"/>
      <c r="B654" s="355"/>
      <c r="C654" s="450"/>
      <c r="D654" s="450"/>
      <c r="E654" s="355"/>
      <c r="F654" s="355"/>
      <c r="G654" s="355"/>
      <c r="H654" s="355"/>
      <c r="I654" s="355"/>
      <c r="J654" s="355"/>
      <c r="K654" s="355"/>
      <c r="L654" s="355"/>
      <c r="M654" s="355"/>
      <c r="N654" s="355"/>
      <c r="O654" s="355"/>
      <c r="P654" s="355"/>
      <c r="Q654" s="355"/>
      <c r="R654" s="355"/>
      <c r="S654" s="355"/>
      <c r="T654" s="355"/>
      <c r="U654" s="355"/>
      <c r="V654" s="355"/>
      <c r="W654" s="355"/>
      <c r="X654" s="355"/>
      <c r="Y654" s="355"/>
      <c r="Z654" s="355"/>
    </row>
    <row r="655" spans="1:26" ht="13.5" customHeight="1" x14ac:dyDescent="0.25">
      <c r="A655" s="382"/>
      <c r="B655" s="355"/>
      <c r="C655" s="450"/>
      <c r="D655" s="450"/>
      <c r="E655" s="355"/>
      <c r="F655" s="355"/>
      <c r="G655" s="355"/>
      <c r="H655" s="355"/>
      <c r="I655" s="355"/>
      <c r="J655" s="355"/>
      <c r="K655" s="355"/>
      <c r="L655" s="355"/>
      <c r="M655" s="355"/>
      <c r="N655" s="355"/>
      <c r="O655" s="355"/>
      <c r="P655" s="355"/>
      <c r="Q655" s="355"/>
      <c r="R655" s="355"/>
      <c r="S655" s="355"/>
      <c r="T655" s="355"/>
      <c r="U655" s="355"/>
      <c r="V655" s="355"/>
      <c r="W655" s="355"/>
      <c r="X655" s="355"/>
      <c r="Y655" s="355"/>
      <c r="Z655" s="355"/>
    </row>
    <row r="656" spans="1:26" ht="13.5" customHeight="1" x14ac:dyDescent="0.25">
      <c r="A656" s="382"/>
      <c r="B656" s="355"/>
      <c r="C656" s="450"/>
      <c r="D656" s="450"/>
      <c r="E656" s="355"/>
      <c r="F656" s="355"/>
      <c r="G656" s="355"/>
      <c r="H656" s="355"/>
      <c r="I656" s="355"/>
      <c r="J656" s="355"/>
      <c r="K656" s="355"/>
      <c r="L656" s="355"/>
      <c r="M656" s="355"/>
      <c r="N656" s="355"/>
      <c r="O656" s="355"/>
      <c r="P656" s="355"/>
      <c r="Q656" s="355"/>
      <c r="R656" s="355"/>
      <c r="S656" s="355"/>
      <c r="T656" s="355"/>
      <c r="U656" s="355"/>
      <c r="V656" s="355"/>
      <c r="W656" s="355"/>
      <c r="X656" s="355"/>
      <c r="Y656" s="355"/>
      <c r="Z656" s="355"/>
    </row>
    <row r="657" spans="1:26" ht="13.5" customHeight="1" x14ac:dyDescent="0.25">
      <c r="A657" s="382"/>
      <c r="B657" s="355"/>
      <c r="C657" s="450"/>
      <c r="D657" s="450"/>
      <c r="E657" s="355"/>
      <c r="F657" s="355"/>
      <c r="G657" s="355"/>
      <c r="H657" s="355"/>
      <c r="I657" s="355"/>
      <c r="J657" s="355"/>
      <c r="K657" s="355"/>
      <c r="L657" s="355"/>
      <c r="M657" s="355"/>
      <c r="N657" s="355"/>
      <c r="O657" s="355"/>
      <c r="P657" s="355"/>
      <c r="Q657" s="355"/>
      <c r="R657" s="355"/>
      <c r="S657" s="355"/>
      <c r="T657" s="355"/>
      <c r="U657" s="355"/>
      <c r="V657" s="355"/>
      <c r="W657" s="355"/>
      <c r="X657" s="355"/>
      <c r="Y657" s="355"/>
      <c r="Z657" s="355"/>
    </row>
    <row r="658" spans="1:26" ht="13.5" customHeight="1" x14ac:dyDescent="0.25">
      <c r="A658" s="382"/>
      <c r="B658" s="355"/>
      <c r="C658" s="450"/>
      <c r="D658" s="450"/>
      <c r="E658" s="355"/>
      <c r="F658" s="355"/>
      <c r="G658" s="355"/>
      <c r="H658" s="355"/>
      <c r="I658" s="355"/>
      <c r="J658" s="355"/>
      <c r="K658" s="355"/>
      <c r="L658" s="355"/>
      <c r="M658" s="355"/>
      <c r="N658" s="355"/>
      <c r="O658" s="355"/>
      <c r="P658" s="355"/>
      <c r="Q658" s="355"/>
      <c r="R658" s="355"/>
      <c r="S658" s="355"/>
      <c r="T658" s="355"/>
      <c r="U658" s="355"/>
      <c r="V658" s="355"/>
      <c r="W658" s="355"/>
      <c r="X658" s="355"/>
      <c r="Y658" s="355"/>
      <c r="Z658" s="355"/>
    </row>
    <row r="659" spans="1:26" ht="13.5" customHeight="1" x14ac:dyDescent="0.25">
      <c r="A659" s="382"/>
      <c r="B659" s="355"/>
      <c r="C659" s="450"/>
      <c r="D659" s="450"/>
      <c r="E659" s="355"/>
      <c r="F659" s="355"/>
      <c r="G659" s="355"/>
      <c r="H659" s="355"/>
      <c r="I659" s="355"/>
      <c r="J659" s="355"/>
      <c r="K659" s="355"/>
      <c r="L659" s="355"/>
      <c r="M659" s="355"/>
      <c r="N659" s="355"/>
      <c r="O659" s="355"/>
      <c r="P659" s="355"/>
      <c r="Q659" s="355"/>
      <c r="R659" s="355"/>
      <c r="S659" s="355"/>
      <c r="T659" s="355"/>
      <c r="U659" s="355"/>
      <c r="V659" s="355"/>
      <c r="W659" s="355"/>
      <c r="X659" s="355"/>
      <c r="Y659" s="355"/>
      <c r="Z659" s="355"/>
    </row>
    <row r="660" spans="1:26" ht="13.5" customHeight="1" x14ac:dyDescent="0.25">
      <c r="A660" s="382"/>
      <c r="B660" s="355"/>
      <c r="C660" s="450"/>
      <c r="D660" s="450"/>
      <c r="E660" s="355"/>
      <c r="F660" s="355"/>
      <c r="G660" s="355"/>
      <c r="H660" s="355"/>
      <c r="I660" s="355"/>
      <c r="J660" s="355"/>
      <c r="K660" s="355"/>
      <c r="L660" s="355"/>
      <c r="M660" s="355"/>
      <c r="N660" s="355"/>
      <c r="O660" s="355"/>
      <c r="P660" s="355"/>
      <c r="Q660" s="355"/>
      <c r="R660" s="355"/>
      <c r="S660" s="355"/>
      <c r="T660" s="355"/>
      <c r="U660" s="355"/>
      <c r="V660" s="355"/>
      <c r="W660" s="355"/>
      <c r="X660" s="355"/>
      <c r="Y660" s="355"/>
      <c r="Z660" s="355"/>
    </row>
    <row r="661" spans="1:26" ht="13.5" customHeight="1" x14ac:dyDescent="0.25">
      <c r="A661" s="382"/>
      <c r="B661" s="355"/>
      <c r="C661" s="450"/>
      <c r="D661" s="450"/>
      <c r="E661" s="355"/>
      <c r="F661" s="355"/>
      <c r="G661" s="355"/>
      <c r="H661" s="355"/>
      <c r="I661" s="355"/>
      <c r="J661" s="355"/>
      <c r="K661" s="355"/>
      <c r="L661" s="355"/>
      <c r="M661" s="355"/>
      <c r="N661" s="355"/>
      <c r="O661" s="355"/>
      <c r="P661" s="355"/>
      <c r="Q661" s="355"/>
      <c r="R661" s="355"/>
      <c r="S661" s="355"/>
      <c r="T661" s="355"/>
      <c r="U661" s="355"/>
      <c r="V661" s="355"/>
      <c r="W661" s="355"/>
      <c r="X661" s="355"/>
      <c r="Y661" s="355"/>
      <c r="Z661" s="355"/>
    </row>
    <row r="662" spans="1:26" ht="13.5" customHeight="1" x14ac:dyDescent="0.25">
      <c r="A662" s="382"/>
      <c r="B662" s="355"/>
      <c r="C662" s="450"/>
      <c r="D662" s="450"/>
      <c r="E662" s="355"/>
      <c r="F662" s="355"/>
      <c r="G662" s="355"/>
      <c r="H662" s="355"/>
      <c r="I662" s="355"/>
      <c r="J662" s="355"/>
      <c r="K662" s="355"/>
      <c r="L662" s="355"/>
      <c r="M662" s="355"/>
      <c r="N662" s="355"/>
      <c r="O662" s="355"/>
      <c r="P662" s="355"/>
      <c r="Q662" s="355"/>
      <c r="R662" s="355"/>
      <c r="S662" s="355"/>
      <c r="T662" s="355"/>
      <c r="U662" s="355"/>
      <c r="V662" s="355"/>
      <c r="W662" s="355"/>
      <c r="X662" s="355"/>
      <c r="Y662" s="355"/>
      <c r="Z662" s="355"/>
    </row>
    <row r="663" spans="1:26" ht="13.5" customHeight="1" x14ac:dyDescent="0.25">
      <c r="A663" s="382"/>
      <c r="B663" s="355"/>
      <c r="C663" s="450"/>
      <c r="D663" s="450"/>
      <c r="E663" s="355"/>
      <c r="F663" s="355"/>
      <c r="G663" s="355"/>
      <c r="H663" s="355"/>
      <c r="I663" s="355"/>
      <c r="J663" s="355"/>
      <c r="K663" s="355"/>
      <c r="L663" s="355"/>
      <c r="M663" s="355"/>
      <c r="N663" s="355"/>
      <c r="O663" s="355"/>
      <c r="P663" s="355"/>
      <c r="Q663" s="355"/>
      <c r="R663" s="355"/>
      <c r="S663" s="355"/>
      <c r="T663" s="355"/>
      <c r="U663" s="355"/>
      <c r="V663" s="355"/>
      <c r="W663" s="355"/>
      <c r="X663" s="355"/>
      <c r="Y663" s="355"/>
      <c r="Z663" s="355"/>
    </row>
    <row r="664" spans="1:26" ht="13.5" customHeight="1" x14ac:dyDescent="0.25">
      <c r="A664" s="382"/>
      <c r="B664" s="355"/>
      <c r="C664" s="450"/>
      <c r="D664" s="450"/>
      <c r="E664" s="355"/>
      <c r="F664" s="355"/>
      <c r="G664" s="355"/>
      <c r="H664" s="355"/>
      <c r="I664" s="355"/>
      <c r="J664" s="355"/>
      <c r="K664" s="355"/>
      <c r="L664" s="355"/>
      <c r="M664" s="355"/>
      <c r="N664" s="355"/>
      <c r="O664" s="355"/>
      <c r="P664" s="355"/>
      <c r="Q664" s="355"/>
      <c r="R664" s="355"/>
      <c r="S664" s="355"/>
      <c r="T664" s="355"/>
      <c r="U664" s="355"/>
      <c r="V664" s="355"/>
      <c r="W664" s="355"/>
      <c r="X664" s="355"/>
      <c r="Y664" s="355"/>
      <c r="Z664" s="355"/>
    </row>
    <row r="665" spans="1:26" ht="13.5" customHeight="1" x14ac:dyDescent="0.25">
      <c r="A665" s="382"/>
      <c r="B665" s="355"/>
      <c r="C665" s="450"/>
      <c r="D665" s="450"/>
      <c r="E665" s="355"/>
      <c r="F665" s="355"/>
      <c r="G665" s="355"/>
      <c r="H665" s="355"/>
      <c r="I665" s="355"/>
      <c r="J665" s="355"/>
      <c r="K665" s="355"/>
      <c r="L665" s="355"/>
      <c r="M665" s="355"/>
      <c r="N665" s="355"/>
      <c r="O665" s="355"/>
      <c r="P665" s="355"/>
      <c r="Q665" s="355"/>
      <c r="R665" s="355"/>
      <c r="S665" s="355"/>
      <c r="T665" s="355"/>
      <c r="U665" s="355"/>
      <c r="V665" s="355"/>
      <c r="W665" s="355"/>
      <c r="X665" s="355"/>
      <c r="Y665" s="355"/>
      <c r="Z665" s="355"/>
    </row>
    <row r="666" spans="1:26" ht="13.5" customHeight="1" x14ac:dyDescent="0.25">
      <c r="A666" s="382"/>
      <c r="B666" s="355"/>
      <c r="C666" s="450"/>
      <c r="D666" s="450"/>
      <c r="E666" s="355"/>
      <c r="F666" s="355"/>
      <c r="G666" s="355"/>
      <c r="H666" s="355"/>
      <c r="I666" s="355"/>
      <c r="J666" s="355"/>
      <c r="K666" s="355"/>
      <c r="L666" s="355"/>
      <c r="M666" s="355"/>
      <c r="N666" s="355"/>
      <c r="O666" s="355"/>
      <c r="P666" s="355"/>
      <c r="Q666" s="355"/>
      <c r="R666" s="355"/>
      <c r="S666" s="355"/>
      <c r="T666" s="355"/>
      <c r="U666" s="355"/>
      <c r="V666" s="355"/>
      <c r="W666" s="355"/>
      <c r="X666" s="355"/>
      <c r="Y666" s="355"/>
      <c r="Z666" s="355"/>
    </row>
    <row r="667" spans="1:26" ht="13.5" customHeight="1" x14ac:dyDescent="0.25">
      <c r="A667" s="382"/>
      <c r="B667" s="355"/>
      <c r="C667" s="450"/>
      <c r="D667" s="450"/>
      <c r="E667" s="355"/>
      <c r="F667" s="355"/>
      <c r="G667" s="355"/>
      <c r="H667" s="355"/>
      <c r="I667" s="355"/>
      <c r="J667" s="355"/>
      <c r="K667" s="355"/>
      <c r="L667" s="355"/>
      <c r="M667" s="355"/>
      <c r="N667" s="355"/>
      <c r="O667" s="355"/>
      <c r="P667" s="355"/>
      <c r="Q667" s="355"/>
      <c r="R667" s="355"/>
      <c r="S667" s="355"/>
      <c r="T667" s="355"/>
      <c r="U667" s="355"/>
      <c r="V667" s="355"/>
      <c r="W667" s="355"/>
      <c r="X667" s="355"/>
      <c r="Y667" s="355"/>
      <c r="Z667" s="355"/>
    </row>
    <row r="668" spans="1:26" ht="13.5" customHeight="1" x14ac:dyDescent="0.25">
      <c r="A668" s="382"/>
      <c r="B668" s="355"/>
      <c r="C668" s="450"/>
      <c r="D668" s="450"/>
      <c r="E668" s="355"/>
      <c r="F668" s="355"/>
      <c r="G668" s="355"/>
      <c r="H668" s="355"/>
      <c r="I668" s="355"/>
      <c r="J668" s="355"/>
      <c r="K668" s="355"/>
      <c r="L668" s="355"/>
      <c r="M668" s="355"/>
      <c r="N668" s="355"/>
      <c r="O668" s="355"/>
      <c r="P668" s="355"/>
      <c r="Q668" s="355"/>
      <c r="R668" s="355"/>
      <c r="S668" s="355"/>
      <c r="T668" s="355"/>
      <c r="U668" s="355"/>
      <c r="V668" s="355"/>
      <c r="W668" s="355"/>
      <c r="X668" s="355"/>
      <c r="Y668" s="355"/>
      <c r="Z668" s="355"/>
    </row>
    <row r="669" spans="1:26" ht="13.5" customHeight="1" x14ac:dyDescent="0.25">
      <c r="A669" s="382"/>
      <c r="B669" s="355"/>
      <c r="C669" s="450"/>
      <c r="D669" s="450"/>
      <c r="E669" s="355"/>
      <c r="F669" s="355"/>
      <c r="G669" s="355"/>
      <c r="H669" s="355"/>
      <c r="I669" s="355"/>
      <c r="J669" s="355"/>
      <c r="K669" s="355"/>
      <c r="L669" s="355"/>
      <c r="M669" s="355"/>
      <c r="N669" s="355"/>
      <c r="O669" s="355"/>
      <c r="P669" s="355"/>
      <c r="Q669" s="355"/>
      <c r="R669" s="355"/>
      <c r="S669" s="355"/>
      <c r="T669" s="355"/>
      <c r="U669" s="355"/>
      <c r="V669" s="355"/>
      <c r="W669" s="355"/>
      <c r="X669" s="355"/>
      <c r="Y669" s="355"/>
      <c r="Z669" s="355"/>
    </row>
    <row r="670" spans="1:26" ht="13.5" customHeight="1" x14ac:dyDescent="0.25">
      <c r="A670" s="382"/>
      <c r="B670" s="355"/>
      <c r="C670" s="450"/>
      <c r="D670" s="450"/>
      <c r="E670" s="355"/>
      <c r="F670" s="355"/>
      <c r="G670" s="355"/>
      <c r="H670" s="355"/>
      <c r="I670" s="355"/>
      <c r="J670" s="355"/>
      <c r="K670" s="355"/>
      <c r="L670" s="355"/>
      <c r="M670" s="355"/>
      <c r="N670" s="355"/>
      <c r="O670" s="355"/>
      <c r="P670" s="355"/>
      <c r="Q670" s="355"/>
      <c r="R670" s="355"/>
      <c r="S670" s="355"/>
      <c r="T670" s="355"/>
      <c r="U670" s="355"/>
      <c r="V670" s="355"/>
      <c r="W670" s="355"/>
      <c r="X670" s="355"/>
      <c r="Y670" s="355"/>
      <c r="Z670" s="355"/>
    </row>
    <row r="671" spans="1:26" ht="13.5" customHeight="1" x14ac:dyDescent="0.25">
      <c r="A671" s="382"/>
      <c r="B671" s="355"/>
      <c r="C671" s="450"/>
      <c r="D671" s="450"/>
      <c r="E671" s="355"/>
      <c r="F671" s="355"/>
      <c r="G671" s="355"/>
      <c r="H671" s="355"/>
      <c r="I671" s="355"/>
      <c r="J671" s="355"/>
      <c r="K671" s="355"/>
      <c r="L671" s="355"/>
      <c r="M671" s="355"/>
      <c r="N671" s="355"/>
      <c r="O671" s="355"/>
      <c r="P671" s="355"/>
      <c r="Q671" s="355"/>
      <c r="R671" s="355"/>
      <c r="S671" s="355"/>
      <c r="T671" s="355"/>
      <c r="U671" s="355"/>
      <c r="V671" s="355"/>
      <c r="W671" s="355"/>
      <c r="X671" s="355"/>
      <c r="Y671" s="355"/>
      <c r="Z671" s="355"/>
    </row>
    <row r="672" spans="1:26" ht="13.5" customHeight="1" x14ac:dyDescent="0.25">
      <c r="A672" s="382"/>
      <c r="B672" s="355"/>
      <c r="C672" s="450"/>
      <c r="D672" s="450"/>
      <c r="E672" s="355"/>
      <c r="F672" s="355"/>
      <c r="G672" s="355"/>
      <c r="H672" s="355"/>
      <c r="I672" s="355"/>
      <c r="J672" s="355"/>
      <c r="K672" s="355"/>
      <c r="L672" s="355"/>
      <c r="M672" s="355"/>
      <c r="N672" s="355"/>
      <c r="O672" s="355"/>
      <c r="P672" s="355"/>
      <c r="Q672" s="355"/>
      <c r="R672" s="355"/>
      <c r="S672" s="355"/>
      <c r="T672" s="355"/>
      <c r="U672" s="355"/>
      <c r="V672" s="355"/>
      <c r="W672" s="355"/>
      <c r="X672" s="355"/>
      <c r="Y672" s="355"/>
      <c r="Z672" s="355"/>
    </row>
    <row r="673" spans="1:26" ht="13.5" customHeight="1" x14ac:dyDescent="0.25">
      <c r="A673" s="382"/>
      <c r="B673" s="355"/>
      <c r="C673" s="450"/>
      <c r="D673" s="450"/>
      <c r="E673" s="355"/>
      <c r="F673" s="355"/>
      <c r="G673" s="355"/>
      <c r="H673" s="355"/>
      <c r="I673" s="355"/>
      <c r="J673" s="355"/>
      <c r="K673" s="355"/>
      <c r="L673" s="355"/>
      <c r="M673" s="355"/>
      <c r="N673" s="355"/>
      <c r="O673" s="355"/>
      <c r="P673" s="355"/>
      <c r="Q673" s="355"/>
      <c r="R673" s="355"/>
      <c r="S673" s="355"/>
      <c r="T673" s="355"/>
      <c r="U673" s="355"/>
      <c r="V673" s="355"/>
      <c r="W673" s="355"/>
      <c r="X673" s="355"/>
      <c r="Y673" s="355"/>
      <c r="Z673" s="355"/>
    </row>
    <row r="674" spans="1:26" ht="13.5" customHeight="1" x14ac:dyDescent="0.25">
      <c r="A674" s="382"/>
      <c r="B674" s="355"/>
      <c r="C674" s="450"/>
      <c r="D674" s="450"/>
      <c r="E674" s="355"/>
      <c r="F674" s="355"/>
      <c r="G674" s="355"/>
      <c r="H674" s="355"/>
      <c r="I674" s="355"/>
      <c r="J674" s="355"/>
      <c r="K674" s="355"/>
      <c r="L674" s="355"/>
      <c r="M674" s="355"/>
      <c r="N674" s="355"/>
      <c r="O674" s="355"/>
      <c r="P674" s="355"/>
      <c r="Q674" s="355"/>
      <c r="R674" s="355"/>
      <c r="S674" s="355"/>
      <c r="T674" s="355"/>
      <c r="U674" s="355"/>
      <c r="V674" s="355"/>
      <c r="W674" s="355"/>
      <c r="X674" s="355"/>
      <c r="Y674" s="355"/>
      <c r="Z674" s="355"/>
    </row>
    <row r="675" spans="1:26" ht="13.5" customHeight="1" x14ac:dyDescent="0.25">
      <c r="A675" s="382"/>
      <c r="B675" s="355"/>
      <c r="C675" s="450"/>
      <c r="D675" s="450"/>
      <c r="E675" s="355"/>
      <c r="F675" s="355"/>
      <c r="G675" s="355"/>
      <c r="H675" s="355"/>
      <c r="I675" s="355"/>
      <c r="J675" s="355"/>
      <c r="K675" s="355"/>
      <c r="L675" s="355"/>
      <c r="M675" s="355"/>
      <c r="N675" s="355"/>
      <c r="O675" s="355"/>
      <c r="P675" s="355"/>
      <c r="Q675" s="355"/>
      <c r="R675" s="355"/>
      <c r="S675" s="355"/>
      <c r="T675" s="355"/>
      <c r="U675" s="355"/>
      <c r="V675" s="355"/>
      <c r="W675" s="355"/>
      <c r="X675" s="355"/>
      <c r="Y675" s="355"/>
      <c r="Z675" s="355"/>
    </row>
    <row r="676" spans="1:26" ht="13.5" customHeight="1" x14ac:dyDescent="0.25">
      <c r="A676" s="382"/>
      <c r="B676" s="355"/>
      <c r="C676" s="450"/>
      <c r="D676" s="450"/>
      <c r="E676" s="355"/>
      <c r="F676" s="355"/>
      <c r="G676" s="355"/>
      <c r="H676" s="355"/>
      <c r="I676" s="355"/>
      <c r="J676" s="355"/>
      <c r="K676" s="355"/>
      <c r="L676" s="355"/>
      <c r="M676" s="355"/>
      <c r="N676" s="355"/>
      <c r="O676" s="355"/>
      <c r="P676" s="355"/>
      <c r="Q676" s="355"/>
      <c r="R676" s="355"/>
      <c r="S676" s="355"/>
      <c r="T676" s="355"/>
      <c r="U676" s="355"/>
      <c r="V676" s="355"/>
      <c r="W676" s="355"/>
      <c r="X676" s="355"/>
      <c r="Y676" s="355"/>
      <c r="Z676" s="355"/>
    </row>
    <row r="677" spans="1:26" ht="13.5" customHeight="1" x14ac:dyDescent="0.25">
      <c r="A677" s="382"/>
      <c r="B677" s="355"/>
      <c r="C677" s="450"/>
      <c r="D677" s="450"/>
      <c r="E677" s="355"/>
      <c r="F677" s="355"/>
      <c r="G677" s="355"/>
      <c r="H677" s="355"/>
      <c r="I677" s="355"/>
      <c r="J677" s="355"/>
      <c r="K677" s="355"/>
      <c r="L677" s="355"/>
      <c r="M677" s="355"/>
      <c r="N677" s="355"/>
      <c r="O677" s="355"/>
      <c r="P677" s="355"/>
      <c r="Q677" s="355"/>
      <c r="R677" s="355"/>
      <c r="S677" s="355"/>
      <c r="T677" s="355"/>
      <c r="U677" s="355"/>
      <c r="V677" s="355"/>
      <c r="W677" s="355"/>
      <c r="X677" s="355"/>
      <c r="Y677" s="355"/>
      <c r="Z677" s="355"/>
    </row>
    <row r="678" spans="1:26" ht="13.5" customHeight="1" x14ac:dyDescent="0.25">
      <c r="A678" s="382"/>
      <c r="B678" s="355"/>
      <c r="C678" s="450"/>
      <c r="D678" s="450"/>
      <c r="E678" s="355"/>
      <c r="F678" s="355"/>
      <c r="G678" s="355"/>
      <c r="H678" s="355"/>
      <c r="I678" s="355"/>
      <c r="J678" s="355"/>
      <c r="K678" s="355"/>
      <c r="L678" s="355"/>
      <c r="M678" s="355"/>
      <c r="N678" s="355"/>
      <c r="O678" s="355"/>
      <c r="P678" s="355"/>
      <c r="Q678" s="355"/>
      <c r="R678" s="355"/>
      <c r="S678" s="355"/>
      <c r="T678" s="355"/>
      <c r="U678" s="355"/>
      <c r="V678" s="355"/>
      <c r="W678" s="355"/>
      <c r="X678" s="355"/>
      <c r="Y678" s="355"/>
      <c r="Z678" s="355"/>
    </row>
    <row r="679" spans="1:26" ht="13.5" customHeight="1" x14ac:dyDescent="0.25">
      <c r="A679" s="382"/>
      <c r="B679" s="355"/>
      <c r="C679" s="450"/>
      <c r="D679" s="450"/>
      <c r="E679" s="355"/>
      <c r="F679" s="355"/>
      <c r="G679" s="355"/>
      <c r="H679" s="355"/>
      <c r="I679" s="355"/>
      <c r="J679" s="355"/>
      <c r="K679" s="355"/>
      <c r="L679" s="355"/>
      <c r="M679" s="355"/>
      <c r="N679" s="355"/>
      <c r="O679" s="355"/>
      <c r="P679" s="355"/>
      <c r="Q679" s="355"/>
      <c r="R679" s="355"/>
      <c r="S679" s="355"/>
      <c r="T679" s="355"/>
      <c r="U679" s="355"/>
      <c r="V679" s="355"/>
      <c r="W679" s="355"/>
      <c r="X679" s="355"/>
      <c r="Y679" s="355"/>
      <c r="Z679" s="355"/>
    </row>
    <row r="680" spans="1:26" ht="13.5" customHeight="1" x14ac:dyDescent="0.25">
      <c r="A680" s="382"/>
      <c r="B680" s="355"/>
      <c r="C680" s="450"/>
      <c r="D680" s="450"/>
      <c r="E680" s="355"/>
      <c r="F680" s="355"/>
      <c r="G680" s="355"/>
      <c r="H680" s="355"/>
      <c r="I680" s="355"/>
      <c r="J680" s="355"/>
      <c r="K680" s="355"/>
      <c r="L680" s="355"/>
      <c r="M680" s="355"/>
      <c r="N680" s="355"/>
      <c r="O680" s="355"/>
      <c r="P680" s="355"/>
      <c r="Q680" s="355"/>
      <c r="R680" s="355"/>
      <c r="S680" s="355"/>
      <c r="T680" s="355"/>
      <c r="U680" s="355"/>
      <c r="V680" s="355"/>
      <c r="W680" s="355"/>
      <c r="X680" s="355"/>
      <c r="Y680" s="355"/>
      <c r="Z680" s="355"/>
    </row>
    <row r="681" spans="1:26" ht="13.5" customHeight="1" x14ac:dyDescent="0.25">
      <c r="A681" s="382"/>
      <c r="B681" s="355"/>
      <c r="C681" s="450"/>
      <c r="D681" s="450"/>
      <c r="E681" s="355"/>
      <c r="F681" s="355"/>
      <c r="G681" s="355"/>
      <c r="H681" s="355"/>
      <c r="I681" s="355"/>
      <c r="J681" s="355"/>
      <c r="K681" s="355"/>
      <c r="L681" s="355"/>
      <c r="M681" s="355"/>
      <c r="N681" s="355"/>
      <c r="O681" s="355"/>
      <c r="P681" s="355"/>
      <c r="Q681" s="355"/>
      <c r="R681" s="355"/>
      <c r="S681" s="355"/>
      <c r="T681" s="355"/>
      <c r="U681" s="355"/>
      <c r="V681" s="355"/>
      <c r="W681" s="355"/>
      <c r="X681" s="355"/>
      <c r="Y681" s="355"/>
      <c r="Z681" s="355"/>
    </row>
    <row r="682" spans="1:26" ht="13.5" customHeight="1" x14ac:dyDescent="0.25">
      <c r="A682" s="382"/>
      <c r="B682" s="355"/>
      <c r="C682" s="450"/>
      <c r="D682" s="450"/>
      <c r="E682" s="355"/>
      <c r="F682" s="355"/>
      <c r="G682" s="355"/>
      <c r="H682" s="355"/>
      <c r="I682" s="355"/>
      <c r="J682" s="355"/>
      <c r="K682" s="355"/>
      <c r="L682" s="355"/>
      <c r="M682" s="355"/>
      <c r="N682" s="355"/>
      <c r="O682" s="355"/>
      <c r="P682" s="355"/>
      <c r="Q682" s="355"/>
      <c r="R682" s="355"/>
      <c r="S682" s="355"/>
      <c r="T682" s="355"/>
      <c r="U682" s="355"/>
      <c r="V682" s="355"/>
      <c r="W682" s="355"/>
      <c r="X682" s="355"/>
      <c r="Y682" s="355"/>
      <c r="Z682" s="355"/>
    </row>
    <row r="683" spans="1:26" ht="13.5" customHeight="1" x14ac:dyDescent="0.25">
      <c r="A683" s="382"/>
      <c r="B683" s="355"/>
      <c r="C683" s="450"/>
      <c r="D683" s="450"/>
      <c r="E683" s="355"/>
      <c r="F683" s="355"/>
      <c r="G683" s="355"/>
      <c r="H683" s="355"/>
      <c r="I683" s="355"/>
      <c r="J683" s="355"/>
      <c r="K683" s="355"/>
      <c r="L683" s="355"/>
      <c r="M683" s="355"/>
      <c r="N683" s="355"/>
      <c r="O683" s="355"/>
      <c r="P683" s="355"/>
      <c r="Q683" s="355"/>
      <c r="R683" s="355"/>
      <c r="S683" s="355"/>
      <c r="T683" s="355"/>
      <c r="U683" s="355"/>
      <c r="V683" s="355"/>
      <c r="W683" s="355"/>
      <c r="X683" s="355"/>
      <c r="Y683" s="355"/>
      <c r="Z683" s="355"/>
    </row>
    <row r="684" spans="1:26" ht="13.5" customHeight="1" x14ac:dyDescent="0.25">
      <c r="A684" s="382"/>
      <c r="B684" s="355"/>
      <c r="C684" s="450"/>
      <c r="D684" s="450"/>
      <c r="E684" s="355"/>
      <c r="F684" s="355"/>
      <c r="G684" s="355"/>
      <c r="H684" s="355"/>
      <c r="I684" s="355"/>
      <c r="J684" s="355"/>
      <c r="K684" s="355"/>
      <c r="L684" s="355"/>
      <c r="M684" s="355"/>
      <c r="N684" s="355"/>
      <c r="O684" s="355"/>
      <c r="P684" s="355"/>
      <c r="Q684" s="355"/>
      <c r="R684" s="355"/>
      <c r="S684" s="355"/>
      <c r="T684" s="355"/>
      <c r="U684" s="355"/>
      <c r="V684" s="355"/>
      <c r="W684" s="355"/>
      <c r="X684" s="355"/>
      <c r="Y684" s="355"/>
      <c r="Z684" s="355"/>
    </row>
    <row r="685" spans="1:26" ht="13.5" customHeight="1" x14ac:dyDescent="0.25">
      <c r="A685" s="382"/>
      <c r="B685" s="355"/>
      <c r="C685" s="450"/>
      <c r="D685" s="450"/>
      <c r="E685" s="355"/>
      <c r="F685" s="355"/>
      <c r="G685" s="355"/>
      <c r="H685" s="355"/>
      <c r="I685" s="355"/>
      <c r="J685" s="355"/>
      <c r="K685" s="355"/>
      <c r="L685" s="355"/>
      <c r="M685" s="355"/>
      <c r="N685" s="355"/>
      <c r="O685" s="355"/>
      <c r="P685" s="355"/>
      <c r="Q685" s="355"/>
      <c r="R685" s="355"/>
      <c r="S685" s="355"/>
      <c r="T685" s="355"/>
      <c r="U685" s="355"/>
      <c r="V685" s="355"/>
      <c r="W685" s="355"/>
      <c r="X685" s="355"/>
      <c r="Y685" s="355"/>
      <c r="Z685" s="355"/>
    </row>
    <row r="686" spans="1:26" ht="13.5" customHeight="1" x14ac:dyDescent="0.25">
      <c r="A686" s="382"/>
      <c r="B686" s="355"/>
      <c r="C686" s="450"/>
      <c r="D686" s="450"/>
      <c r="E686" s="355"/>
      <c r="F686" s="355"/>
      <c r="G686" s="355"/>
      <c r="H686" s="355"/>
      <c r="I686" s="355"/>
      <c r="J686" s="355"/>
      <c r="K686" s="355"/>
      <c r="L686" s="355"/>
      <c r="M686" s="355"/>
      <c r="N686" s="355"/>
      <c r="O686" s="355"/>
      <c r="P686" s="355"/>
      <c r="Q686" s="355"/>
      <c r="R686" s="355"/>
      <c r="S686" s="355"/>
      <c r="T686" s="355"/>
      <c r="U686" s="355"/>
      <c r="V686" s="355"/>
      <c r="W686" s="355"/>
      <c r="X686" s="355"/>
      <c r="Y686" s="355"/>
      <c r="Z686" s="355"/>
    </row>
    <row r="687" spans="1:26" ht="13.5" customHeight="1" x14ac:dyDescent="0.25">
      <c r="A687" s="382"/>
      <c r="B687" s="355"/>
      <c r="C687" s="450"/>
      <c r="D687" s="450"/>
      <c r="E687" s="355"/>
      <c r="F687" s="355"/>
      <c r="G687" s="355"/>
      <c r="H687" s="355"/>
      <c r="I687" s="355"/>
      <c r="J687" s="355"/>
      <c r="K687" s="355"/>
      <c r="L687" s="355"/>
      <c r="M687" s="355"/>
      <c r="N687" s="355"/>
      <c r="O687" s="355"/>
      <c r="P687" s="355"/>
      <c r="Q687" s="355"/>
      <c r="R687" s="355"/>
      <c r="S687" s="355"/>
      <c r="T687" s="355"/>
      <c r="U687" s="355"/>
      <c r="V687" s="355"/>
      <c r="W687" s="355"/>
      <c r="X687" s="355"/>
      <c r="Y687" s="355"/>
      <c r="Z687" s="355"/>
    </row>
    <row r="688" spans="1:26" ht="13.5" customHeight="1" x14ac:dyDescent="0.25">
      <c r="A688" s="382"/>
      <c r="B688" s="355"/>
      <c r="C688" s="450"/>
      <c r="D688" s="450"/>
      <c r="E688" s="355"/>
      <c r="F688" s="355"/>
      <c r="G688" s="355"/>
      <c r="H688" s="355"/>
      <c r="I688" s="355"/>
      <c r="J688" s="355"/>
      <c r="K688" s="355"/>
      <c r="L688" s="355"/>
      <c r="M688" s="355"/>
      <c r="N688" s="355"/>
      <c r="O688" s="355"/>
      <c r="P688" s="355"/>
      <c r="Q688" s="355"/>
      <c r="R688" s="355"/>
      <c r="S688" s="355"/>
      <c r="T688" s="355"/>
      <c r="U688" s="355"/>
      <c r="V688" s="355"/>
      <c r="W688" s="355"/>
      <c r="X688" s="355"/>
      <c r="Y688" s="355"/>
      <c r="Z688" s="355"/>
    </row>
    <row r="689" spans="1:26" ht="13.5" customHeight="1" x14ac:dyDescent="0.25">
      <c r="A689" s="382"/>
      <c r="B689" s="355"/>
      <c r="C689" s="450"/>
      <c r="D689" s="450"/>
      <c r="E689" s="355"/>
      <c r="F689" s="355"/>
      <c r="G689" s="355"/>
      <c r="H689" s="355"/>
      <c r="I689" s="355"/>
      <c r="J689" s="355"/>
      <c r="K689" s="355"/>
      <c r="L689" s="355"/>
      <c r="M689" s="355"/>
      <c r="N689" s="355"/>
      <c r="O689" s="355"/>
      <c r="P689" s="355"/>
      <c r="Q689" s="355"/>
      <c r="R689" s="355"/>
      <c r="S689" s="355"/>
      <c r="T689" s="355"/>
      <c r="U689" s="355"/>
      <c r="V689" s="355"/>
      <c r="W689" s="355"/>
      <c r="X689" s="355"/>
      <c r="Y689" s="355"/>
      <c r="Z689" s="355"/>
    </row>
    <row r="690" spans="1:26" ht="13.5" customHeight="1" x14ac:dyDescent="0.25">
      <c r="A690" s="382"/>
      <c r="B690" s="355"/>
      <c r="C690" s="450"/>
      <c r="D690" s="450"/>
      <c r="E690" s="355"/>
      <c r="F690" s="355"/>
      <c r="G690" s="355"/>
      <c r="H690" s="355"/>
      <c r="I690" s="355"/>
      <c r="J690" s="355"/>
      <c r="K690" s="355"/>
      <c r="L690" s="355"/>
      <c r="M690" s="355"/>
      <c r="N690" s="355"/>
      <c r="O690" s="355"/>
      <c r="P690" s="355"/>
      <c r="Q690" s="355"/>
      <c r="R690" s="355"/>
      <c r="S690" s="355"/>
      <c r="T690" s="355"/>
      <c r="U690" s="355"/>
      <c r="V690" s="355"/>
      <c r="W690" s="355"/>
      <c r="X690" s="355"/>
      <c r="Y690" s="355"/>
      <c r="Z690" s="355"/>
    </row>
    <row r="691" spans="1:26" ht="13.5" customHeight="1" x14ac:dyDescent="0.25">
      <c r="A691" s="382"/>
      <c r="B691" s="355"/>
      <c r="C691" s="450"/>
      <c r="D691" s="450"/>
      <c r="E691" s="355"/>
      <c r="F691" s="355"/>
      <c r="G691" s="355"/>
      <c r="H691" s="355"/>
      <c r="I691" s="355"/>
      <c r="J691" s="355"/>
      <c r="K691" s="355"/>
      <c r="L691" s="355"/>
      <c r="M691" s="355"/>
      <c r="N691" s="355"/>
      <c r="O691" s="355"/>
      <c r="P691" s="355"/>
      <c r="Q691" s="355"/>
      <c r="R691" s="355"/>
      <c r="S691" s="355"/>
      <c r="T691" s="355"/>
      <c r="U691" s="355"/>
      <c r="V691" s="355"/>
      <c r="W691" s="355"/>
      <c r="X691" s="355"/>
      <c r="Y691" s="355"/>
      <c r="Z691" s="355"/>
    </row>
    <row r="692" spans="1:26" ht="13.5" customHeight="1" x14ac:dyDescent="0.25">
      <c r="A692" s="382"/>
      <c r="B692" s="355"/>
      <c r="C692" s="450"/>
      <c r="D692" s="450"/>
      <c r="E692" s="355"/>
      <c r="F692" s="355"/>
      <c r="G692" s="355"/>
      <c r="H692" s="355"/>
      <c r="I692" s="355"/>
      <c r="J692" s="355"/>
      <c r="K692" s="355"/>
      <c r="L692" s="355"/>
      <c r="M692" s="355"/>
      <c r="N692" s="355"/>
      <c r="O692" s="355"/>
      <c r="P692" s="355"/>
      <c r="Q692" s="355"/>
      <c r="R692" s="355"/>
      <c r="S692" s="355"/>
      <c r="T692" s="355"/>
      <c r="U692" s="355"/>
      <c r="V692" s="355"/>
      <c r="W692" s="355"/>
      <c r="X692" s="355"/>
      <c r="Y692" s="355"/>
      <c r="Z692" s="355"/>
    </row>
    <row r="693" spans="1:26" ht="13.5" customHeight="1" x14ac:dyDescent="0.25">
      <c r="A693" s="382"/>
      <c r="B693" s="355"/>
      <c r="C693" s="450"/>
      <c r="D693" s="450"/>
      <c r="E693" s="355"/>
      <c r="F693" s="355"/>
      <c r="G693" s="355"/>
      <c r="H693" s="355"/>
      <c r="I693" s="355"/>
      <c r="J693" s="355"/>
      <c r="K693" s="355"/>
      <c r="L693" s="355"/>
      <c r="M693" s="355"/>
      <c r="N693" s="355"/>
      <c r="O693" s="355"/>
      <c r="P693" s="355"/>
      <c r="Q693" s="355"/>
      <c r="R693" s="355"/>
      <c r="S693" s="355"/>
      <c r="T693" s="355"/>
      <c r="U693" s="355"/>
      <c r="V693" s="355"/>
      <c r="W693" s="355"/>
      <c r="X693" s="355"/>
      <c r="Y693" s="355"/>
      <c r="Z693" s="355"/>
    </row>
    <row r="694" spans="1:26" ht="13.5" customHeight="1" x14ac:dyDescent="0.25">
      <c r="A694" s="382"/>
      <c r="B694" s="355"/>
      <c r="C694" s="450"/>
      <c r="D694" s="450"/>
      <c r="E694" s="355"/>
      <c r="F694" s="355"/>
      <c r="G694" s="355"/>
      <c r="H694" s="355"/>
      <c r="I694" s="355"/>
      <c r="J694" s="355"/>
      <c r="K694" s="355"/>
      <c r="L694" s="355"/>
      <c r="M694" s="355"/>
      <c r="N694" s="355"/>
      <c r="O694" s="355"/>
      <c r="P694" s="355"/>
      <c r="Q694" s="355"/>
      <c r="R694" s="355"/>
      <c r="S694" s="355"/>
      <c r="T694" s="355"/>
      <c r="U694" s="355"/>
      <c r="V694" s="355"/>
      <c r="W694" s="355"/>
      <c r="X694" s="355"/>
      <c r="Y694" s="355"/>
      <c r="Z694" s="355"/>
    </row>
    <row r="695" spans="1:26" ht="13.5" customHeight="1" x14ac:dyDescent="0.25">
      <c r="A695" s="382"/>
      <c r="B695" s="355"/>
      <c r="C695" s="450"/>
      <c r="D695" s="450"/>
      <c r="E695" s="355"/>
      <c r="F695" s="355"/>
      <c r="G695" s="355"/>
      <c r="H695" s="355"/>
      <c r="I695" s="355"/>
      <c r="J695" s="355"/>
      <c r="K695" s="355"/>
      <c r="L695" s="355"/>
      <c r="M695" s="355"/>
      <c r="N695" s="355"/>
      <c r="O695" s="355"/>
      <c r="P695" s="355"/>
      <c r="Q695" s="355"/>
      <c r="R695" s="355"/>
      <c r="S695" s="355"/>
      <c r="T695" s="355"/>
      <c r="U695" s="355"/>
      <c r="V695" s="355"/>
      <c r="W695" s="355"/>
      <c r="X695" s="355"/>
      <c r="Y695" s="355"/>
      <c r="Z695" s="355"/>
    </row>
    <row r="696" spans="1:26" ht="13.5" customHeight="1" x14ac:dyDescent="0.25">
      <c r="A696" s="382"/>
      <c r="B696" s="355"/>
      <c r="C696" s="450"/>
      <c r="D696" s="450"/>
      <c r="E696" s="355"/>
      <c r="F696" s="355"/>
      <c r="G696" s="355"/>
      <c r="H696" s="355"/>
      <c r="I696" s="355"/>
      <c r="J696" s="355"/>
      <c r="K696" s="355"/>
      <c r="L696" s="355"/>
      <c r="M696" s="355"/>
      <c r="N696" s="355"/>
      <c r="O696" s="355"/>
      <c r="P696" s="355"/>
      <c r="Q696" s="355"/>
      <c r="R696" s="355"/>
      <c r="S696" s="355"/>
      <c r="T696" s="355"/>
      <c r="U696" s="355"/>
      <c r="V696" s="355"/>
      <c r="W696" s="355"/>
      <c r="X696" s="355"/>
      <c r="Y696" s="355"/>
      <c r="Z696" s="355"/>
    </row>
    <row r="697" spans="1:26" ht="13.5" customHeight="1" x14ac:dyDescent="0.25">
      <c r="A697" s="382"/>
      <c r="B697" s="355"/>
      <c r="C697" s="450"/>
      <c r="D697" s="450"/>
      <c r="E697" s="355"/>
      <c r="F697" s="355"/>
      <c r="G697" s="355"/>
      <c r="H697" s="355"/>
      <c r="I697" s="355"/>
      <c r="J697" s="355"/>
      <c r="K697" s="355"/>
      <c r="L697" s="355"/>
      <c r="M697" s="355"/>
      <c r="N697" s="355"/>
      <c r="O697" s="355"/>
      <c r="P697" s="355"/>
      <c r="Q697" s="355"/>
      <c r="R697" s="355"/>
      <c r="S697" s="355"/>
      <c r="T697" s="355"/>
      <c r="U697" s="355"/>
      <c r="V697" s="355"/>
      <c r="W697" s="355"/>
      <c r="X697" s="355"/>
      <c r="Y697" s="355"/>
      <c r="Z697" s="355"/>
    </row>
    <row r="698" spans="1:26" ht="13.5" customHeight="1" x14ac:dyDescent="0.25">
      <c r="A698" s="382"/>
      <c r="B698" s="355"/>
      <c r="C698" s="450"/>
      <c r="D698" s="450"/>
      <c r="E698" s="355"/>
      <c r="F698" s="355"/>
      <c r="G698" s="355"/>
      <c r="H698" s="355"/>
      <c r="I698" s="355"/>
      <c r="J698" s="355"/>
      <c r="K698" s="355"/>
      <c r="L698" s="355"/>
      <c r="M698" s="355"/>
      <c r="N698" s="355"/>
      <c r="O698" s="355"/>
      <c r="P698" s="355"/>
      <c r="Q698" s="355"/>
      <c r="R698" s="355"/>
      <c r="S698" s="355"/>
      <c r="T698" s="355"/>
      <c r="U698" s="355"/>
      <c r="V698" s="355"/>
      <c r="W698" s="355"/>
      <c r="X698" s="355"/>
      <c r="Y698" s="355"/>
      <c r="Z698" s="355"/>
    </row>
    <row r="699" spans="1:26" ht="13.5" customHeight="1" x14ac:dyDescent="0.25">
      <c r="A699" s="382"/>
      <c r="B699" s="355"/>
      <c r="C699" s="450"/>
      <c r="D699" s="450"/>
      <c r="E699" s="355"/>
      <c r="F699" s="355"/>
      <c r="G699" s="355"/>
      <c r="H699" s="355"/>
      <c r="I699" s="355"/>
      <c r="J699" s="355"/>
      <c r="K699" s="355"/>
      <c r="L699" s="355"/>
      <c r="M699" s="355"/>
      <c r="N699" s="355"/>
      <c r="O699" s="355"/>
      <c r="P699" s="355"/>
      <c r="Q699" s="355"/>
      <c r="R699" s="355"/>
      <c r="S699" s="355"/>
      <c r="T699" s="355"/>
      <c r="U699" s="355"/>
      <c r="V699" s="355"/>
      <c r="W699" s="355"/>
      <c r="X699" s="355"/>
      <c r="Y699" s="355"/>
      <c r="Z699" s="355"/>
    </row>
    <row r="700" spans="1:26" ht="13.5" customHeight="1" x14ac:dyDescent="0.25">
      <c r="A700" s="382"/>
      <c r="B700" s="355"/>
      <c r="C700" s="450"/>
      <c r="D700" s="450"/>
      <c r="E700" s="355"/>
      <c r="F700" s="355"/>
      <c r="G700" s="355"/>
      <c r="H700" s="355"/>
      <c r="I700" s="355"/>
      <c r="J700" s="355"/>
      <c r="K700" s="355"/>
      <c r="L700" s="355"/>
      <c r="M700" s="355"/>
      <c r="N700" s="355"/>
      <c r="O700" s="355"/>
      <c r="P700" s="355"/>
      <c r="Q700" s="355"/>
      <c r="R700" s="355"/>
      <c r="S700" s="355"/>
      <c r="T700" s="355"/>
      <c r="U700" s="355"/>
      <c r="V700" s="355"/>
      <c r="W700" s="355"/>
      <c r="X700" s="355"/>
      <c r="Y700" s="355"/>
      <c r="Z700" s="355"/>
    </row>
    <row r="701" spans="1:26" ht="13.5" customHeight="1" x14ac:dyDescent="0.25">
      <c r="A701" s="382"/>
      <c r="B701" s="355"/>
      <c r="C701" s="450"/>
      <c r="D701" s="450"/>
      <c r="E701" s="355"/>
      <c r="F701" s="355"/>
      <c r="G701" s="355"/>
      <c r="H701" s="355"/>
      <c r="I701" s="355"/>
      <c r="J701" s="355"/>
      <c r="K701" s="355"/>
      <c r="L701" s="355"/>
      <c r="M701" s="355"/>
      <c r="N701" s="355"/>
      <c r="O701" s="355"/>
      <c r="P701" s="355"/>
      <c r="Q701" s="355"/>
      <c r="R701" s="355"/>
      <c r="S701" s="355"/>
      <c r="T701" s="355"/>
      <c r="U701" s="355"/>
      <c r="V701" s="355"/>
      <c r="W701" s="355"/>
      <c r="X701" s="355"/>
      <c r="Y701" s="355"/>
      <c r="Z701" s="355"/>
    </row>
    <row r="702" spans="1:26" ht="13.5" customHeight="1" x14ac:dyDescent="0.25">
      <c r="A702" s="382"/>
      <c r="B702" s="355"/>
      <c r="C702" s="450"/>
      <c r="D702" s="450"/>
      <c r="E702" s="355"/>
      <c r="F702" s="355"/>
      <c r="G702" s="355"/>
      <c r="H702" s="355"/>
      <c r="I702" s="355"/>
      <c r="J702" s="355"/>
      <c r="K702" s="355"/>
      <c r="L702" s="355"/>
      <c r="M702" s="355"/>
      <c r="N702" s="355"/>
      <c r="O702" s="355"/>
      <c r="P702" s="355"/>
      <c r="Q702" s="355"/>
      <c r="R702" s="355"/>
      <c r="S702" s="355"/>
      <c r="T702" s="355"/>
      <c r="U702" s="355"/>
      <c r="V702" s="355"/>
      <c r="W702" s="355"/>
      <c r="X702" s="355"/>
      <c r="Y702" s="355"/>
      <c r="Z702" s="355"/>
    </row>
    <row r="703" spans="1:26" ht="13.5" customHeight="1" x14ac:dyDescent="0.25">
      <c r="A703" s="382"/>
      <c r="B703" s="355"/>
      <c r="C703" s="450"/>
      <c r="D703" s="450"/>
      <c r="E703" s="355"/>
      <c r="F703" s="355"/>
      <c r="G703" s="355"/>
      <c r="H703" s="355"/>
      <c r="I703" s="355"/>
      <c r="J703" s="355"/>
      <c r="K703" s="355"/>
      <c r="L703" s="355"/>
      <c r="M703" s="355"/>
      <c r="N703" s="355"/>
      <c r="O703" s="355"/>
      <c r="P703" s="355"/>
      <c r="Q703" s="355"/>
      <c r="R703" s="355"/>
      <c r="S703" s="355"/>
      <c r="T703" s="355"/>
      <c r="U703" s="355"/>
      <c r="V703" s="355"/>
      <c r="W703" s="355"/>
      <c r="X703" s="355"/>
      <c r="Y703" s="355"/>
      <c r="Z703" s="355"/>
    </row>
    <row r="704" spans="1:26" ht="13.5" customHeight="1" x14ac:dyDescent="0.25">
      <c r="A704" s="382"/>
      <c r="B704" s="355"/>
      <c r="C704" s="450"/>
      <c r="D704" s="450"/>
      <c r="E704" s="355"/>
      <c r="F704" s="355"/>
      <c r="G704" s="355"/>
      <c r="H704" s="355"/>
      <c r="I704" s="355"/>
      <c r="J704" s="355"/>
      <c r="K704" s="355"/>
      <c r="L704" s="355"/>
      <c r="M704" s="355"/>
      <c r="N704" s="355"/>
      <c r="O704" s="355"/>
      <c r="P704" s="355"/>
      <c r="Q704" s="355"/>
      <c r="R704" s="355"/>
      <c r="S704" s="355"/>
      <c r="T704" s="355"/>
      <c r="U704" s="355"/>
      <c r="V704" s="355"/>
      <c r="W704" s="355"/>
      <c r="X704" s="355"/>
      <c r="Y704" s="355"/>
      <c r="Z704" s="355"/>
    </row>
    <row r="705" spans="1:26" ht="13.5" customHeight="1" x14ac:dyDescent="0.25">
      <c r="A705" s="382"/>
      <c r="B705" s="355"/>
      <c r="C705" s="450"/>
      <c r="D705" s="450"/>
      <c r="E705" s="355"/>
      <c r="F705" s="355"/>
      <c r="G705" s="355"/>
      <c r="H705" s="355"/>
      <c r="I705" s="355"/>
      <c r="J705" s="355"/>
      <c r="K705" s="355"/>
      <c r="L705" s="355"/>
      <c r="M705" s="355"/>
      <c r="N705" s="355"/>
      <c r="O705" s="355"/>
      <c r="P705" s="355"/>
      <c r="Q705" s="355"/>
      <c r="R705" s="355"/>
      <c r="S705" s="355"/>
      <c r="T705" s="355"/>
      <c r="U705" s="355"/>
      <c r="V705" s="355"/>
      <c r="W705" s="355"/>
      <c r="X705" s="355"/>
      <c r="Y705" s="355"/>
      <c r="Z705" s="355"/>
    </row>
    <row r="706" spans="1:26" ht="13.5" customHeight="1" x14ac:dyDescent="0.25">
      <c r="A706" s="382"/>
      <c r="B706" s="355"/>
      <c r="C706" s="450"/>
      <c r="D706" s="450"/>
      <c r="E706" s="355"/>
      <c r="F706" s="355"/>
      <c r="G706" s="355"/>
      <c r="H706" s="355"/>
      <c r="I706" s="355"/>
      <c r="J706" s="355"/>
      <c r="K706" s="355"/>
      <c r="L706" s="355"/>
      <c r="M706" s="355"/>
      <c r="N706" s="355"/>
      <c r="O706" s="355"/>
      <c r="P706" s="355"/>
      <c r="Q706" s="355"/>
      <c r="R706" s="355"/>
      <c r="S706" s="355"/>
      <c r="T706" s="355"/>
      <c r="U706" s="355"/>
      <c r="V706" s="355"/>
      <c r="W706" s="355"/>
      <c r="X706" s="355"/>
      <c r="Y706" s="355"/>
      <c r="Z706" s="355"/>
    </row>
    <row r="707" spans="1:26" ht="13.5" customHeight="1" x14ac:dyDescent="0.25">
      <c r="A707" s="382"/>
      <c r="B707" s="355"/>
      <c r="C707" s="450"/>
      <c r="D707" s="450"/>
      <c r="E707" s="355"/>
      <c r="F707" s="355"/>
      <c r="G707" s="355"/>
      <c r="H707" s="355"/>
      <c r="I707" s="355"/>
      <c r="J707" s="355"/>
      <c r="K707" s="355"/>
      <c r="L707" s="355"/>
      <c r="M707" s="355"/>
      <c r="N707" s="355"/>
      <c r="O707" s="355"/>
      <c r="P707" s="355"/>
      <c r="Q707" s="355"/>
      <c r="R707" s="355"/>
      <c r="S707" s="355"/>
      <c r="T707" s="355"/>
      <c r="U707" s="355"/>
      <c r="V707" s="355"/>
      <c r="W707" s="355"/>
      <c r="X707" s="355"/>
      <c r="Y707" s="355"/>
      <c r="Z707" s="355"/>
    </row>
    <row r="708" spans="1:26" ht="13.5" customHeight="1" x14ac:dyDescent="0.25">
      <c r="A708" s="382"/>
      <c r="B708" s="355"/>
      <c r="C708" s="450"/>
      <c r="D708" s="450"/>
      <c r="E708" s="355"/>
      <c r="F708" s="355"/>
      <c r="G708" s="355"/>
      <c r="H708" s="355"/>
      <c r="I708" s="355"/>
      <c r="J708" s="355"/>
      <c r="K708" s="355"/>
      <c r="L708" s="355"/>
      <c r="M708" s="355"/>
      <c r="N708" s="355"/>
      <c r="O708" s="355"/>
      <c r="P708" s="355"/>
      <c r="Q708" s="355"/>
      <c r="R708" s="355"/>
      <c r="S708" s="355"/>
      <c r="T708" s="355"/>
      <c r="U708" s="355"/>
      <c r="V708" s="355"/>
      <c r="W708" s="355"/>
      <c r="X708" s="355"/>
      <c r="Y708" s="355"/>
      <c r="Z708" s="355"/>
    </row>
    <row r="709" spans="1:26" ht="13.5" customHeight="1" x14ac:dyDescent="0.25">
      <c r="A709" s="382"/>
      <c r="B709" s="355"/>
      <c r="C709" s="450"/>
      <c r="D709" s="450"/>
      <c r="E709" s="355"/>
      <c r="F709" s="355"/>
      <c r="G709" s="355"/>
      <c r="H709" s="355"/>
      <c r="I709" s="355"/>
      <c r="J709" s="355"/>
      <c r="K709" s="355"/>
      <c r="L709" s="355"/>
      <c r="M709" s="355"/>
      <c r="N709" s="355"/>
      <c r="O709" s="355"/>
      <c r="P709" s="355"/>
      <c r="Q709" s="355"/>
      <c r="R709" s="355"/>
      <c r="S709" s="355"/>
      <c r="T709" s="355"/>
      <c r="U709" s="355"/>
      <c r="V709" s="355"/>
      <c r="W709" s="355"/>
      <c r="X709" s="355"/>
      <c r="Y709" s="355"/>
      <c r="Z709" s="355"/>
    </row>
    <row r="710" spans="1:26" ht="13.5" customHeight="1" x14ac:dyDescent="0.25">
      <c r="A710" s="382"/>
      <c r="B710" s="355"/>
      <c r="C710" s="450"/>
      <c r="D710" s="450"/>
      <c r="E710" s="355"/>
      <c r="F710" s="355"/>
      <c r="G710" s="355"/>
      <c r="H710" s="355"/>
      <c r="I710" s="355"/>
      <c r="J710" s="355"/>
      <c r="K710" s="355"/>
      <c r="L710" s="355"/>
      <c r="M710" s="355"/>
      <c r="N710" s="355"/>
      <c r="O710" s="355"/>
      <c r="P710" s="355"/>
      <c r="Q710" s="355"/>
      <c r="R710" s="355"/>
      <c r="S710" s="355"/>
      <c r="T710" s="355"/>
      <c r="U710" s="355"/>
      <c r="V710" s="355"/>
      <c r="W710" s="355"/>
      <c r="X710" s="355"/>
      <c r="Y710" s="355"/>
      <c r="Z710" s="355"/>
    </row>
    <row r="711" spans="1:26" ht="13.5" customHeight="1" x14ac:dyDescent="0.25">
      <c r="A711" s="382"/>
      <c r="B711" s="355"/>
      <c r="C711" s="450"/>
      <c r="D711" s="450"/>
      <c r="E711" s="355"/>
      <c r="F711" s="355"/>
      <c r="G711" s="355"/>
      <c r="H711" s="355"/>
      <c r="I711" s="355"/>
      <c r="J711" s="355"/>
      <c r="K711" s="355"/>
      <c r="L711" s="355"/>
      <c r="M711" s="355"/>
      <c r="N711" s="355"/>
      <c r="O711" s="355"/>
      <c r="P711" s="355"/>
      <c r="Q711" s="355"/>
      <c r="R711" s="355"/>
      <c r="S711" s="355"/>
      <c r="T711" s="355"/>
      <c r="U711" s="355"/>
      <c r="V711" s="355"/>
      <c r="W711" s="355"/>
      <c r="X711" s="355"/>
      <c r="Y711" s="355"/>
      <c r="Z711" s="355"/>
    </row>
    <row r="712" spans="1:26" ht="13.5" customHeight="1" x14ac:dyDescent="0.25">
      <c r="A712" s="382"/>
      <c r="B712" s="355"/>
      <c r="C712" s="450"/>
      <c r="D712" s="450"/>
      <c r="E712" s="355"/>
      <c r="F712" s="355"/>
      <c r="G712" s="355"/>
      <c r="H712" s="355"/>
      <c r="I712" s="355"/>
      <c r="J712" s="355"/>
      <c r="K712" s="355"/>
      <c r="L712" s="355"/>
      <c r="M712" s="355"/>
      <c r="N712" s="355"/>
      <c r="O712" s="355"/>
      <c r="P712" s="355"/>
      <c r="Q712" s="355"/>
      <c r="R712" s="355"/>
      <c r="S712" s="355"/>
      <c r="T712" s="355"/>
      <c r="U712" s="355"/>
      <c r="V712" s="355"/>
      <c r="W712" s="355"/>
      <c r="X712" s="355"/>
      <c r="Y712" s="355"/>
      <c r="Z712" s="355"/>
    </row>
    <row r="713" spans="1:26" ht="13.5" customHeight="1" x14ac:dyDescent="0.25">
      <c r="A713" s="382"/>
      <c r="B713" s="355"/>
      <c r="C713" s="450"/>
      <c r="D713" s="450"/>
      <c r="E713" s="355"/>
      <c r="F713" s="355"/>
      <c r="G713" s="355"/>
      <c r="H713" s="355"/>
      <c r="I713" s="355"/>
      <c r="J713" s="355"/>
      <c r="K713" s="355"/>
      <c r="L713" s="355"/>
      <c r="M713" s="355"/>
      <c r="N713" s="355"/>
      <c r="O713" s="355"/>
      <c r="P713" s="355"/>
      <c r="Q713" s="355"/>
      <c r="R713" s="355"/>
      <c r="S713" s="355"/>
      <c r="T713" s="355"/>
      <c r="U713" s="355"/>
      <c r="V713" s="355"/>
      <c r="W713" s="355"/>
      <c r="X713" s="355"/>
      <c r="Y713" s="355"/>
      <c r="Z713" s="355"/>
    </row>
    <row r="714" spans="1:26" ht="13.5" customHeight="1" x14ac:dyDescent="0.25">
      <c r="A714" s="382"/>
      <c r="B714" s="355"/>
      <c r="C714" s="450"/>
      <c r="D714" s="450"/>
      <c r="E714" s="355"/>
      <c r="F714" s="355"/>
      <c r="G714" s="355"/>
      <c r="H714" s="355"/>
      <c r="I714" s="355"/>
      <c r="J714" s="355"/>
      <c r="K714" s="355"/>
      <c r="L714" s="355"/>
      <c r="M714" s="355"/>
      <c r="N714" s="355"/>
      <c r="O714" s="355"/>
      <c r="P714" s="355"/>
      <c r="Q714" s="355"/>
      <c r="R714" s="355"/>
      <c r="S714" s="355"/>
      <c r="T714" s="355"/>
      <c r="U714" s="355"/>
      <c r="V714" s="355"/>
      <c r="W714" s="355"/>
      <c r="X714" s="355"/>
      <c r="Y714" s="355"/>
      <c r="Z714" s="355"/>
    </row>
    <row r="715" spans="1:26" ht="13.5" customHeight="1" x14ac:dyDescent="0.25">
      <c r="A715" s="382"/>
      <c r="B715" s="355"/>
      <c r="C715" s="450"/>
      <c r="D715" s="450"/>
      <c r="E715" s="355"/>
      <c r="F715" s="355"/>
      <c r="G715" s="355"/>
      <c r="H715" s="355"/>
      <c r="I715" s="355"/>
      <c r="J715" s="355"/>
      <c r="K715" s="355"/>
      <c r="L715" s="355"/>
      <c r="M715" s="355"/>
      <c r="N715" s="355"/>
      <c r="O715" s="355"/>
      <c r="P715" s="355"/>
      <c r="Q715" s="355"/>
      <c r="R715" s="355"/>
      <c r="S715" s="355"/>
      <c r="T715" s="355"/>
      <c r="U715" s="355"/>
      <c r="V715" s="355"/>
      <c r="W715" s="355"/>
      <c r="X715" s="355"/>
      <c r="Y715" s="355"/>
      <c r="Z715" s="355"/>
    </row>
    <row r="716" spans="1:26" ht="13.5" customHeight="1" x14ac:dyDescent="0.25">
      <c r="A716" s="382"/>
      <c r="B716" s="355"/>
      <c r="C716" s="450"/>
      <c r="D716" s="450"/>
      <c r="E716" s="355"/>
      <c r="F716" s="355"/>
      <c r="G716" s="355"/>
      <c r="H716" s="355"/>
      <c r="I716" s="355"/>
      <c r="J716" s="355"/>
      <c r="K716" s="355"/>
      <c r="L716" s="355"/>
      <c r="M716" s="355"/>
      <c r="N716" s="355"/>
      <c r="O716" s="355"/>
      <c r="P716" s="355"/>
      <c r="Q716" s="355"/>
      <c r="R716" s="355"/>
      <c r="S716" s="355"/>
      <c r="T716" s="355"/>
      <c r="U716" s="355"/>
      <c r="V716" s="355"/>
      <c r="W716" s="355"/>
      <c r="X716" s="355"/>
      <c r="Y716" s="355"/>
      <c r="Z716" s="355"/>
    </row>
    <row r="717" spans="1:26" ht="13.5" customHeight="1" x14ac:dyDescent="0.25">
      <c r="A717" s="382"/>
      <c r="B717" s="355"/>
      <c r="C717" s="450"/>
      <c r="D717" s="450"/>
      <c r="E717" s="355"/>
      <c r="F717" s="355"/>
      <c r="G717" s="355"/>
      <c r="H717" s="355"/>
      <c r="I717" s="355"/>
      <c r="J717" s="355"/>
      <c r="K717" s="355"/>
      <c r="L717" s="355"/>
      <c r="M717" s="355"/>
      <c r="N717" s="355"/>
      <c r="O717" s="355"/>
      <c r="P717" s="355"/>
      <c r="Q717" s="355"/>
      <c r="R717" s="355"/>
      <c r="S717" s="355"/>
      <c r="T717" s="355"/>
      <c r="U717" s="355"/>
      <c r="V717" s="355"/>
      <c r="W717" s="355"/>
      <c r="X717" s="355"/>
      <c r="Y717" s="355"/>
      <c r="Z717" s="355"/>
    </row>
    <row r="718" spans="1:26" ht="13.5" customHeight="1" x14ac:dyDescent="0.25">
      <c r="A718" s="382"/>
      <c r="B718" s="355"/>
      <c r="C718" s="450"/>
      <c r="D718" s="450"/>
      <c r="E718" s="355"/>
      <c r="F718" s="355"/>
      <c r="G718" s="355"/>
      <c r="H718" s="355"/>
      <c r="I718" s="355"/>
      <c r="J718" s="355"/>
      <c r="K718" s="355"/>
      <c r="L718" s="355"/>
      <c r="M718" s="355"/>
      <c r="N718" s="355"/>
      <c r="O718" s="355"/>
      <c r="P718" s="355"/>
      <c r="Q718" s="355"/>
      <c r="R718" s="355"/>
      <c r="S718" s="355"/>
      <c r="T718" s="355"/>
      <c r="U718" s="355"/>
      <c r="V718" s="355"/>
      <c r="W718" s="355"/>
      <c r="X718" s="355"/>
      <c r="Y718" s="355"/>
      <c r="Z718" s="355"/>
    </row>
    <row r="719" spans="1:26" ht="13.5" customHeight="1" x14ac:dyDescent="0.25">
      <c r="A719" s="382"/>
      <c r="B719" s="355"/>
      <c r="C719" s="450"/>
      <c r="D719" s="450"/>
      <c r="E719" s="355"/>
      <c r="F719" s="355"/>
      <c r="G719" s="355"/>
      <c r="H719" s="355"/>
      <c r="I719" s="355"/>
      <c r="J719" s="355"/>
      <c r="K719" s="355"/>
      <c r="L719" s="355"/>
      <c r="M719" s="355"/>
      <c r="N719" s="355"/>
      <c r="O719" s="355"/>
      <c r="P719" s="355"/>
      <c r="Q719" s="355"/>
      <c r="R719" s="355"/>
      <c r="S719" s="355"/>
      <c r="T719" s="355"/>
      <c r="U719" s="355"/>
      <c r="V719" s="355"/>
      <c r="W719" s="355"/>
      <c r="X719" s="355"/>
      <c r="Y719" s="355"/>
      <c r="Z719" s="355"/>
    </row>
    <row r="720" spans="1:26" ht="13.5" customHeight="1" x14ac:dyDescent="0.25">
      <c r="A720" s="382"/>
      <c r="B720" s="355"/>
      <c r="C720" s="450"/>
      <c r="D720" s="450"/>
      <c r="E720" s="355"/>
      <c r="F720" s="355"/>
      <c r="G720" s="355"/>
      <c r="H720" s="355"/>
      <c r="I720" s="355"/>
      <c r="J720" s="355"/>
      <c r="K720" s="355"/>
      <c r="L720" s="355"/>
      <c r="M720" s="355"/>
      <c r="N720" s="355"/>
      <c r="O720" s="355"/>
      <c r="P720" s="355"/>
      <c r="Q720" s="355"/>
      <c r="R720" s="355"/>
      <c r="S720" s="355"/>
      <c r="T720" s="355"/>
      <c r="U720" s="355"/>
      <c r="V720" s="355"/>
      <c r="W720" s="355"/>
      <c r="X720" s="355"/>
      <c r="Y720" s="355"/>
      <c r="Z720" s="355"/>
    </row>
    <row r="721" spans="1:26" ht="13.5" customHeight="1" x14ac:dyDescent="0.25">
      <c r="A721" s="382"/>
      <c r="B721" s="355"/>
      <c r="C721" s="450"/>
      <c r="D721" s="450"/>
      <c r="E721" s="355"/>
      <c r="F721" s="355"/>
      <c r="G721" s="355"/>
      <c r="H721" s="355"/>
      <c r="I721" s="355"/>
      <c r="J721" s="355"/>
      <c r="K721" s="355"/>
      <c r="L721" s="355"/>
      <c r="M721" s="355"/>
      <c r="N721" s="355"/>
      <c r="O721" s="355"/>
      <c r="P721" s="355"/>
      <c r="Q721" s="355"/>
      <c r="R721" s="355"/>
      <c r="S721" s="355"/>
      <c r="T721" s="355"/>
      <c r="U721" s="355"/>
      <c r="V721" s="355"/>
      <c r="W721" s="355"/>
      <c r="X721" s="355"/>
      <c r="Y721" s="355"/>
      <c r="Z721" s="355"/>
    </row>
    <row r="722" spans="1:26" ht="13.5" customHeight="1" x14ac:dyDescent="0.25">
      <c r="A722" s="382"/>
      <c r="B722" s="355"/>
      <c r="C722" s="450"/>
      <c r="D722" s="450"/>
      <c r="E722" s="355"/>
      <c r="F722" s="355"/>
      <c r="G722" s="355"/>
      <c r="H722" s="355"/>
      <c r="I722" s="355"/>
      <c r="J722" s="355"/>
      <c r="K722" s="355"/>
      <c r="L722" s="355"/>
      <c r="M722" s="355"/>
      <c r="N722" s="355"/>
      <c r="O722" s="355"/>
      <c r="P722" s="355"/>
      <c r="Q722" s="355"/>
      <c r="R722" s="355"/>
      <c r="S722" s="355"/>
      <c r="T722" s="355"/>
      <c r="U722" s="355"/>
      <c r="V722" s="355"/>
      <c r="W722" s="355"/>
      <c r="X722" s="355"/>
      <c r="Y722" s="355"/>
      <c r="Z722" s="355"/>
    </row>
    <row r="723" spans="1:26" ht="13.5" customHeight="1" x14ac:dyDescent="0.25">
      <c r="A723" s="382"/>
      <c r="B723" s="355"/>
      <c r="C723" s="450"/>
      <c r="D723" s="450"/>
      <c r="E723" s="355"/>
      <c r="F723" s="355"/>
      <c r="G723" s="355"/>
      <c r="H723" s="355"/>
      <c r="I723" s="355"/>
      <c r="J723" s="355"/>
      <c r="K723" s="355"/>
      <c r="L723" s="355"/>
      <c r="M723" s="355"/>
      <c r="N723" s="355"/>
      <c r="O723" s="355"/>
      <c r="P723" s="355"/>
      <c r="Q723" s="355"/>
      <c r="R723" s="355"/>
      <c r="S723" s="355"/>
      <c r="T723" s="355"/>
      <c r="U723" s="355"/>
      <c r="V723" s="355"/>
      <c r="W723" s="355"/>
      <c r="X723" s="355"/>
      <c r="Y723" s="355"/>
      <c r="Z723" s="355"/>
    </row>
    <row r="724" spans="1:26" ht="13.5" customHeight="1" x14ac:dyDescent="0.25">
      <c r="A724" s="382"/>
      <c r="B724" s="355"/>
      <c r="C724" s="450"/>
      <c r="D724" s="450"/>
      <c r="E724" s="355"/>
      <c r="F724" s="355"/>
      <c r="G724" s="355"/>
      <c r="H724" s="355"/>
      <c r="I724" s="355"/>
      <c r="J724" s="355"/>
      <c r="K724" s="355"/>
      <c r="L724" s="355"/>
      <c r="M724" s="355"/>
      <c r="N724" s="355"/>
      <c r="O724" s="355"/>
      <c r="P724" s="355"/>
      <c r="Q724" s="355"/>
      <c r="R724" s="355"/>
      <c r="S724" s="355"/>
      <c r="T724" s="355"/>
      <c r="U724" s="355"/>
      <c r="V724" s="355"/>
      <c r="W724" s="355"/>
      <c r="X724" s="355"/>
      <c r="Y724" s="355"/>
      <c r="Z724" s="355"/>
    </row>
    <row r="725" spans="1:26" ht="13.5" customHeight="1" x14ac:dyDescent="0.25">
      <c r="A725" s="382"/>
      <c r="B725" s="355"/>
      <c r="C725" s="450"/>
      <c r="D725" s="450"/>
      <c r="E725" s="355"/>
      <c r="F725" s="355"/>
      <c r="G725" s="355"/>
      <c r="H725" s="355"/>
      <c r="I725" s="355"/>
      <c r="J725" s="355"/>
      <c r="K725" s="355"/>
      <c r="L725" s="355"/>
      <c r="M725" s="355"/>
      <c r="N725" s="355"/>
      <c r="O725" s="355"/>
      <c r="P725" s="355"/>
      <c r="Q725" s="355"/>
      <c r="R725" s="355"/>
      <c r="S725" s="355"/>
      <c r="T725" s="355"/>
      <c r="U725" s="355"/>
      <c r="V725" s="355"/>
      <c r="W725" s="355"/>
      <c r="X725" s="355"/>
      <c r="Y725" s="355"/>
      <c r="Z725" s="355"/>
    </row>
    <row r="726" spans="1:26" ht="13.5" customHeight="1" x14ac:dyDescent="0.25">
      <c r="A726" s="382"/>
      <c r="B726" s="355"/>
      <c r="C726" s="450"/>
      <c r="D726" s="450"/>
      <c r="E726" s="355"/>
      <c r="F726" s="355"/>
      <c r="G726" s="355"/>
      <c r="H726" s="355"/>
      <c r="I726" s="355"/>
      <c r="J726" s="355"/>
      <c r="K726" s="355"/>
      <c r="L726" s="355"/>
      <c r="M726" s="355"/>
      <c r="N726" s="355"/>
      <c r="O726" s="355"/>
      <c r="P726" s="355"/>
      <c r="Q726" s="355"/>
      <c r="R726" s="355"/>
      <c r="S726" s="355"/>
      <c r="T726" s="355"/>
      <c r="U726" s="355"/>
      <c r="V726" s="355"/>
      <c r="W726" s="355"/>
      <c r="X726" s="355"/>
      <c r="Y726" s="355"/>
      <c r="Z726" s="355"/>
    </row>
    <row r="727" spans="1:26" ht="13.5" customHeight="1" x14ac:dyDescent="0.25">
      <c r="A727" s="382"/>
      <c r="B727" s="355"/>
      <c r="C727" s="450"/>
      <c r="D727" s="450"/>
      <c r="E727" s="355"/>
      <c r="F727" s="355"/>
      <c r="G727" s="355"/>
      <c r="H727" s="355"/>
      <c r="I727" s="355"/>
      <c r="J727" s="355"/>
      <c r="K727" s="355"/>
      <c r="L727" s="355"/>
      <c r="M727" s="355"/>
      <c r="N727" s="355"/>
      <c r="O727" s="355"/>
      <c r="P727" s="355"/>
      <c r="Q727" s="355"/>
      <c r="R727" s="355"/>
      <c r="S727" s="355"/>
      <c r="T727" s="355"/>
      <c r="U727" s="355"/>
      <c r="V727" s="355"/>
      <c r="W727" s="355"/>
      <c r="X727" s="355"/>
      <c r="Y727" s="355"/>
      <c r="Z727" s="355"/>
    </row>
    <row r="728" spans="1:26" ht="13.5" customHeight="1" x14ac:dyDescent="0.25">
      <c r="A728" s="382"/>
      <c r="B728" s="355"/>
      <c r="C728" s="450"/>
      <c r="D728" s="450"/>
      <c r="E728" s="355"/>
      <c r="F728" s="355"/>
      <c r="G728" s="355"/>
      <c r="H728" s="355"/>
      <c r="I728" s="355"/>
      <c r="J728" s="355"/>
      <c r="K728" s="355"/>
      <c r="L728" s="355"/>
      <c r="M728" s="355"/>
      <c r="N728" s="355"/>
      <c r="O728" s="355"/>
      <c r="P728" s="355"/>
      <c r="Q728" s="355"/>
      <c r="R728" s="355"/>
      <c r="S728" s="355"/>
      <c r="T728" s="355"/>
      <c r="U728" s="355"/>
      <c r="V728" s="355"/>
      <c r="W728" s="355"/>
      <c r="X728" s="355"/>
      <c r="Y728" s="355"/>
      <c r="Z728" s="355"/>
    </row>
    <row r="729" spans="1:26" ht="13.5" customHeight="1" x14ac:dyDescent="0.25">
      <c r="A729" s="382"/>
      <c r="B729" s="355"/>
      <c r="C729" s="450"/>
      <c r="D729" s="450"/>
      <c r="E729" s="355"/>
      <c r="F729" s="355"/>
      <c r="G729" s="355"/>
      <c r="H729" s="355"/>
      <c r="I729" s="355"/>
      <c r="J729" s="355"/>
      <c r="K729" s="355"/>
      <c r="L729" s="355"/>
      <c r="M729" s="355"/>
      <c r="N729" s="355"/>
      <c r="O729" s="355"/>
      <c r="P729" s="355"/>
      <c r="Q729" s="355"/>
      <c r="R729" s="355"/>
      <c r="S729" s="355"/>
      <c r="T729" s="355"/>
      <c r="U729" s="355"/>
      <c r="V729" s="355"/>
      <c r="W729" s="355"/>
      <c r="X729" s="355"/>
      <c r="Y729" s="355"/>
      <c r="Z729" s="355"/>
    </row>
    <row r="730" spans="1:26" ht="13.5" customHeight="1" x14ac:dyDescent="0.25">
      <c r="A730" s="382"/>
      <c r="B730" s="355"/>
      <c r="C730" s="450"/>
      <c r="D730" s="450"/>
      <c r="E730" s="355"/>
      <c r="F730" s="355"/>
      <c r="G730" s="355"/>
      <c r="H730" s="355"/>
      <c r="I730" s="355"/>
      <c r="J730" s="355"/>
      <c r="K730" s="355"/>
      <c r="L730" s="355"/>
      <c r="M730" s="355"/>
      <c r="N730" s="355"/>
      <c r="O730" s="355"/>
      <c r="P730" s="355"/>
      <c r="Q730" s="355"/>
      <c r="R730" s="355"/>
      <c r="S730" s="355"/>
      <c r="T730" s="355"/>
      <c r="U730" s="355"/>
      <c r="V730" s="355"/>
      <c r="W730" s="355"/>
      <c r="X730" s="355"/>
      <c r="Y730" s="355"/>
      <c r="Z730" s="355"/>
    </row>
    <row r="731" spans="1:26" ht="13.5" customHeight="1" x14ac:dyDescent="0.25">
      <c r="A731" s="382"/>
      <c r="B731" s="355"/>
      <c r="C731" s="450"/>
      <c r="D731" s="450"/>
      <c r="E731" s="355"/>
      <c r="F731" s="355"/>
      <c r="G731" s="355"/>
      <c r="H731" s="355"/>
      <c r="I731" s="355"/>
      <c r="J731" s="355"/>
      <c r="K731" s="355"/>
      <c r="L731" s="355"/>
      <c r="M731" s="355"/>
      <c r="N731" s="355"/>
      <c r="O731" s="355"/>
      <c r="P731" s="355"/>
      <c r="Q731" s="355"/>
      <c r="R731" s="355"/>
      <c r="S731" s="355"/>
      <c r="T731" s="355"/>
      <c r="U731" s="355"/>
      <c r="V731" s="355"/>
      <c r="W731" s="355"/>
      <c r="X731" s="355"/>
      <c r="Y731" s="355"/>
      <c r="Z731" s="355"/>
    </row>
    <row r="732" spans="1:26" ht="13.5" customHeight="1" x14ac:dyDescent="0.25">
      <c r="A732" s="382"/>
      <c r="B732" s="355"/>
      <c r="C732" s="450"/>
      <c r="D732" s="450"/>
      <c r="E732" s="355"/>
      <c r="F732" s="355"/>
      <c r="G732" s="355"/>
      <c r="H732" s="355"/>
      <c r="I732" s="355"/>
      <c r="J732" s="355"/>
      <c r="K732" s="355"/>
      <c r="L732" s="355"/>
      <c r="M732" s="355"/>
      <c r="N732" s="355"/>
      <c r="O732" s="355"/>
      <c r="P732" s="355"/>
      <c r="Q732" s="355"/>
      <c r="R732" s="355"/>
      <c r="S732" s="355"/>
      <c r="T732" s="355"/>
      <c r="U732" s="355"/>
      <c r="V732" s="355"/>
      <c r="W732" s="355"/>
      <c r="X732" s="355"/>
      <c r="Y732" s="355"/>
      <c r="Z732" s="355"/>
    </row>
    <row r="733" spans="1:26" ht="13.5" customHeight="1" x14ac:dyDescent="0.25">
      <c r="A733" s="382"/>
      <c r="B733" s="355"/>
      <c r="C733" s="450"/>
      <c r="D733" s="450"/>
      <c r="E733" s="355"/>
      <c r="F733" s="355"/>
      <c r="G733" s="355"/>
      <c r="H733" s="355"/>
      <c r="I733" s="355"/>
      <c r="J733" s="355"/>
      <c r="K733" s="355"/>
      <c r="L733" s="355"/>
      <c r="M733" s="355"/>
      <c r="N733" s="355"/>
      <c r="O733" s="355"/>
      <c r="P733" s="355"/>
      <c r="Q733" s="355"/>
      <c r="R733" s="355"/>
      <c r="S733" s="355"/>
      <c r="T733" s="355"/>
      <c r="U733" s="355"/>
      <c r="V733" s="355"/>
      <c r="W733" s="355"/>
      <c r="X733" s="355"/>
      <c r="Y733" s="355"/>
      <c r="Z733" s="355"/>
    </row>
    <row r="734" spans="1:26" ht="13.5" customHeight="1" x14ac:dyDescent="0.25">
      <c r="A734" s="382"/>
      <c r="B734" s="355"/>
      <c r="C734" s="450"/>
      <c r="D734" s="450"/>
      <c r="E734" s="355"/>
      <c r="F734" s="355"/>
      <c r="G734" s="355"/>
      <c r="H734" s="355"/>
      <c r="I734" s="355"/>
      <c r="J734" s="355"/>
      <c r="K734" s="355"/>
      <c r="L734" s="355"/>
      <c r="M734" s="355"/>
      <c r="N734" s="355"/>
      <c r="O734" s="355"/>
      <c r="P734" s="355"/>
      <c r="Q734" s="355"/>
      <c r="R734" s="355"/>
      <c r="S734" s="355"/>
      <c r="T734" s="355"/>
      <c r="U734" s="355"/>
      <c r="V734" s="355"/>
      <c r="W734" s="355"/>
      <c r="X734" s="355"/>
      <c r="Y734" s="355"/>
      <c r="Z734" s="355"/>
    </row>
    <row r="735" spans="1:26" ht="13.5" customHeight="1" x14ac:dyDescent="0.25">
      <c r="A735" s="382"/>
      <c r="B735" s="355"/>
      <c r="C735" s="450"/>
      <c r="D735" s="450"/>
      <c r="E735" s="355"/>
      <c r="F735" s="355"/>
      <c r="G735" s="355"/>
      <c r="H735" s="355"/>
      <c r="I735" s="355"/>
      <c r="J735" s="355"/>
      <c r="K735" s="355"/>
      <c r="L735" s="355"/>
      <c r="M735" s="355"/>
      <c r="N735" s="355"/>
      <c r="O735" s="355"/>
      <c r="P735" s="355"/>
      <c r="Q735" s="355"/>
      <c r="R735" s="355"/>
      <c r="S735" s="355"/>
      <c r="T735" s="355"/>
      <c r="U735" s="355"/>
      <c r="V735" s="355"/>
      <c r="W735" s="355"/>
      <c r="X735" s="355"/>
      <c r="Y735" s="355"/>
      <c r="Z735" s="355"/>
    </row>
    <row r="736" spans="1:26" ht="13.5" customHeight="1" x14ac:dyDescent="0.25">
      <c r="A736" s="382"/>
      <c r="B736" s="355"/>
      <c r="C736" s="450"/>
      <c r="D736" s="450"/>
      <c r="E736" s="355"/>
      <c r="F736" s="355"/>
      <c r="G736" s="355"/>
      <c r="H736" s="355"/>
      <c r="I736" s="355"/>
      <c r="J736" s="355"/>
      <c r="K736" s="355"/>
      <c r="L736" s="355"/>
      <c r="M736" s="355"/>
      <c r="N736" s="355"/>
      <c r="O736" s="355"/>
      <c r="P736" s="355"/>
      <c r="Q736" s="355"/>
      <c r="R736" s="355"/>
      <c r="S736" s="355"/>
      <c r="T736" s="355"/>
      <c r="U736" s="355"/>
      <c r="V736" s="355"/>
      <c r="W736" s="355"/>
      <c r="X736" s="355"/>
      <c r="Y736" s="355"/>
      <c r="Z736" s="355"/>
    </row>
    <row r="737" spans="1:26" ht="13.5" customHeight="1" x14ac:dyDescent="0.25">
      <c r="A737" s="382"/>
      <c r="B737" s="355"/>
      <c r="C737" s="450"/>
      <c r="D737" s="450"/>
      <c r="E737" s="355"/>
      <c r="F737" s="355"/>
      <c r="G737" s="355"/>
      <c r="H737" s="355"/>
      <c r="I737" s="355"/>
      <c r="J737" s="355"/>
      <c r="K737" s="355"/>
      <c r="L737" s="355"/>
      <c r="M737" s="355"/>
      <c r="N737" s="355"/>
      <c r="O737" s="355"/>
      <c r="P737" s="355"/>
      <c r="Q737" s="355"/>
      <c r="R737" s="355"/>
      <c r="S737" s="355"/>
      <c r="T737" s="355"/>
      <c r="U737" s="355"/>
      <c r="V737" s="355"/>
      <c r="W737" s="355"/>
      <c r="X737" s="355"/>
      <c r="Y737" s="355"/>
      <c r="Z737" s="355"/>
    </row>
    <row r="738" spans="1:26" ht="13.5" customHeight="1" x14ac:dyDescent="0.25">
      <c r="A738" s="382"/>
      <c r="B738" s="355"/>
      <c r="C738" s="450"/>
      <c r="D738" s="450"/>
      <c r="E738" s="355"/>
      <c r="F738" s="355"/>
      <c r="G738" s="355"/>
      <c r="H738" s="355"/>
      <c r="I738" s="355"/>
      <c r="J738" s="355"/>
      <c r="K738" s="355"/>
      <c r="L738" s="355"/>
      <c r="M738" s="355"/>
      <c r="N738" s="355"/>
      <c r="O738" s="355"/>
      <c r="P738" s="355"/>
      <c r="Q738" s="355"/>
      <c r="R738" s="355"/>
      <c r="S738" s="355"/>
      <c r="T738" s="355"/>
      <c r="U738" s="355"/>
      <c r="V738" s="355"/>
      <c r="W738" s="355"/>
      <c r="X738" s="355"/>
      <c r="Y738" s="355"/>
      <c r="Z738" s="355"/>
    </row>
    <row r="739" spans="1:26" ht="13.5" customHeight="1" x14ac:dyDescent="0.25">
      <c r="A739" s="382"/>
      <c r="B739" s="355"/>
      <c r="C739" s="450"/>
      <c r="D739" s="450"/>
      <c r="E739" s="355"/>
      <c r="F739" s="355"/>
      <c r="G739" s="355"/>
      <c r="H739" s="355"/>
      <c r="I739" s="355"/>
      <c r="J739" s="355"/>
      <c r="K739" s="355"/>
      <c r="L739" s="355"/>
      <c r="M739" s="355"/>
      <c r="N739" s="355"/>
      <c r="O739" s="355"/>
      <c r="P739" s="355"/>
      <c r="Q739" s="355"/>
      <c r="R739" s="355"/>
      <c r="S739" s="355"/>
      <c r="T739" s="355"/>
      <c r="U739" s="355"/>
      <c r="V739" s="355"/>
      <c r="W739" s="355"/>
      <c r="X739" s="355"/>
      <c r="Y739" s="355"/>
      <c r="Z739" s="355"/>
    </row>
    <row r="740" spans="1:26" ht="13.5" customHeight="1" x14ac:dyDescent="0.25">
      <c r="A740" s="382"/>
      <c r="B740" s="355"/>
      <c r="C740" s="450"/>
      <c r="D740" s="450"/>
      <c r="E740" s="355"/>
      <c r="F740" s="355"/>
      <c r="G740" s="355"/>
      <c r="H740" s="355"/>
      <c r="I740" s="355"/>
      <c r="J740" s="355"/>
      <c r="K740" s="355"/>
      <c r="L740" s="355"/>
      <c r="M740" s="355"/>
      <c r="N740" s="355"/>
      <c r="O740" s="355"/>
      <c r="P740" s="355"/>
      <c r="Q740" s="355"/>
      <c r="R740" s="355"/>
      <c r="S740" s="355"/>
      <c r="T740" s="355"/>
      <c r="U740" s="355"/>
      <c r="V740" s="355"/>
      <c r="W740" s="355"/>
      <c r="X740" s="355"/>
      <c r="Y740" s="355"/>
      <c r="Z740" s="355"/>
    </row>
    <row r="741" spans="1:26" ht="13.5" customHeight="1" x14ac:dyDescent="0.25">
      <c r="A741" s="382"/>
      <c r="B741" s="355"/>
      <c r="C741" s="450"/>
      <c r="D741" s="450"/>
      <c r="E741" s="355"/>
      <c r="F741" s="355"/>
      <c r="G741" s="355"/>
      <c r="H741" s="355"/>
      <c r="I741" s="355"/>
      <c r="J741" s="355"/>
      <c r="K741" s="355"/>
      <c r="L741" s="355"/>
      <c r="M741" s="355"/>
      <c r="N741" s="355"/>
      <c r="O741" s="355"/>
      <c r="P741" s="355"/>
      <c r="Q741" s="355"/>
      <c r="R741" s="355"/>
      <c r="S741" s="355"/>
      <c r="T741" s="355"/>
      <c r="U741" s="355"/>
      <c r="V741" s="355"/>
      <c r="W741" s="355"/>
      <c r="X741" s="355"/>
      <c r="Y741" s="355"/>
      <c r="Z741" s="355"/>
    </row>
    <row r="742" spans="1:26" ht="13.5" customHeight="1" x14ac:dyDescent="0.25">
      <c r="A742" s="382"/>
      <c r="B742" s="355"/>
      <c r="C742" s="450"/>
      <c r="D742" s="450"/>
      <c r="E742" s="355"/>
      <c r="F742" s="355"/>
      <c r="G742" s="355"/>
      <c r="H742" s="355"/>
      <c r="I742" s="355"/>
      <c r="J742" s="355"/>
      <c r="K742" s="355"/>
      <c r="L742" s="355"/>
      <c r="M742" s="355"/>
      <c r="N742" s="355"/>
      <c r="O742" s="355"/>
      <c r="P742" s="355"/>
      <c r="Q742" s="355"/>
      <c r="R742" s="355"/>
      <c r="S742" s="355"/>
      <c r="T742" s="355"/>
      <c r="U742" s="355"/>
      <c r="V742" s="355"/>
      <c r="W742" s="355"/>
      <c r="X742" s="355"/>
      <c r="Y742" s="355"/>
      <c r="Z742" s="355"/>
    </row>
    <row r="743" spans="1:26" ht="13.5" customHeight="1" x14ac:dyDescent="0.25">
      <c r="A743" s="382"/>
      <c r="B743" s="355"/>
      <c r="C743" s="450"/>
      <c r="D743" s="450"/>
      <c r="E743" s="355"/>
      <c r="F743" s="355"/>
      <c r="G743" s="355"/>
      <c r="H743" s="355"/>
      <c r="I743" s="355"/>
      <c r="J743" s="355"/>
      <c r="K743" s="355"/>
      <c r="L743" s="355"/>
      <c r="M743" s="355"/>
      <c r="N743" s="355"/>
      <c r="O743" s="355"/>
      <c r="P743" s="355"/>
      <c r="Q743" s="355"/>
      <c r="R743" s="355"/>
      <c r="S743" s="355"/>
      <c r="T743" s="355"/>
      <c r="U743" s="355"/>
      <c r="V743" s="355"/>
      <c r="W743" s="355"/>
      <c r="X743" s="355"/>
      <c r="Y743" s="355"/>
      <c r="Z743" s="355"/>
    </row>
    <row r="744" spans="1:26" ht="13.5" customHeight="1" x14ac:dyDescent="0.25">
      <c r="A744" s="382"/>
      <c r="B744" s="355"/>
      <c r="C744" s="450"/>
      <c r="D744" s="450"/>
      <c r="E744" s="355"/>
      <c r="F744" s="355"/>
      <c r="G744" s="355"/>
      <c r="H744" s="355"/>
      <c r="I744" s="355"/>
      <c r="J744" s="355"/>
      <c r="K744" s="355"/>
      <c r="L744" s="355"/>
      <c r="M744" s="355"/>
      <c r="N744" s="355"/>
      <c r="O744" s="355"/>
      <c r="P744" s="355"/>
      <c r="Q744" s="355"/>
      <c r="R744" s="355"/>
      <c r="S744" s="355"/>
      <c r="T744" s="355"/>
      <c r="U744" s="355"/>
      <c r="V744" s="355"/>
      <c r="W744" s="355"/>
      <c r="X744" s="355"/>
      <c r="Y744" s="355"/>
      <c r="Z744" s="355"/>
    </row>
    <row r="745" spans="1:26" ht="13.5" customHeight="1" x14ac:dyDescent="0.25">
      <c r="A745" s="382"/>
      <c r="B745" s="355"/>
      <c r="C745" s="450"/>
      <c r="D745" s="450"/>
      <c r="E745" s="355"/>
      <c r="F745" s="355"/>
      <c r="G745" s="355"/>
      <c r="H745" s="355"/>
      <c r="I745" s="355"/>
      <c r="J745" s="355"/>
      <c r="K745" s="355"/>
      <c r="L745" s="355"/>
      <c r="M745" s="355"/>
      <c r="N745" s="355"/>
      <c r="O745" s="355"/>
      <c r="P745" s="355"/>
      <c r="Q745" s="355"/>
      <c r="R745" s="355"/>
      <c r="S745" s="355"/>
      <c r="T745" s="355"/>
      <c r="U745" s="355"/>
      <c r="V745" s="355"/>
      <c r="W745" s="355"/>
      <c r="X745" s="355"/>
      <c r="Y745" s="355"/>
      <c r="Z745" s="355"/>
    </row>
    <row r="746" spans="1:26" ht="13.5" customHeight="1" x14ac:dyDescent="0.25">
      <c r="A746" s="382"/>
      <c r="B746" s="355"/>
      <c r="C746" s="450"/>
      <c r="D746" s="450"/>
      <c r="E746" s="355"/>
      <c r="F746" s="355"/>
      <c r="G746" s="355"/>
      <c r="H746" s="355"/>
      <c r="I746" s="355"/>
      <c r="J746" s="355"/>
      <c r="K746" s="355"/>
      <c r="L746" s="355"/>
      <c r="M746" s="355"/>
      <c r="N746" s="355"/>
      <c r="O746" s="355"/>
      <c r="P746" s="355"/>
      <c r="Q746" s="355"/>
      <c r="R746" s="355"/>
      <c r="S746" s="355"/>
      <c r="T746" s="355"/>
      <c r="U746" s="355"/>
      <c r="V746" s="355"/>
      <c r="W746" s="355"/>
      <c r="X746" s="355"/>
      <c r="Y746" s="355"/>
      <c r="Z746" s="355"/>
    </row>
    <row r="747" spans="1:26" ht="13.5" customHeight="1" x14ac:dyDescent="0.25">
      <c r="A747" s="382"/>
      <c r="B747" s="355"/>
      <c r="C747" s="450"/>
      <c r="D747" s="450"/>
      <c r="E747" s="355"/>
      <c r="F747" s="355"/>
      <c r="G747" s="355"/>
      <c r="H747" s="355"/>
      <c r="I747" s="355"/>
      <c r="J747" s="355"/>
      <c r="K747" s="355"/>
      <c r="L747" s="355"/>
      <c r="M747" s="355"/>
      <c r="N747" s="355"/>
      <c r="O747" s="355"/>
      <c r="P747" s="355"/>
      <c r="Q747" s="355"/>
      <c r="R747" s="355"/>
      <c r="S747" s="355"/>
      <c r="T747" s="355"/>
      <c r="U747" s="355"/>
      <c r="V747" s="355"/>
      <c r="W747" s="355"/>
      <c r="X747" s="355"/>
      <c r="Y747" s="355"/>
      <c r="Z747" s="355"/>
    </row>
    <row r="748" spans="1:26" ht="13.5" customHeight="1" x14ac:dyDescent="0.25">
      <c r="A748" s="382"/>
      <c r="B748" s="355"/>
      <c r="C748" s="450"/>
      <c r="D748" s="450"/>
      <c r="E748" s="355"/>
      <c r="F748" s="355"/>
      <c r="G748" s="355"/>
      <c r="H748" s="355"/>
      <c r="I748" s="355"/>
      <c r="J748" s="355"/>
      <c r="K748" s="355"/>
      <c r="L748" s="355"/>
      <c r="M748" s="355"/>
      <c r="N748" s="355"/>
      <c r="O748" s="355"/>
      <c r="P748" s="355"/>
      <c r="Q748" s="355"/>
      <c r="R748" s="355"/>
      <c r="S748" s="355"/>
      <c r="T748" s="355"/>
      <c r="U748" s="355"/>
      <c r="V748" s="355"/>
      <c r="W748" s="355"/>
      <c r="X748" s="355"/>
      <c r="Y748" s="355"/>
      <c r="Z748" s="355"/>
    </row>
    <row r="749" spans="1:26" ht="13.5" customHeight="1" x14ac:dyDescent="0.25">
      <c r="A749" s="382"/>
      <c r="B749" s="355"/>
      <c r="C749" s="450"/>
      <c r="D749" s="450"/>
      <c r="E749" s="355"/>
      <c r="F749" s="355"/>
      <c r="G749" s="355"/>
      <c r="H749" s="355"/>
      <c r="I749" s="355"/>
      <c r="J749" s="355"/>
      <c r="K749" s="355"/>
      <c r="L749" s="355"/>
      <c r="M749" s="355"/>
      <c r="N749" s="355"/>
      <c r="O749" s="355"/>
      <c r="P749" s="355"/>
      <c r="Q749" s="355"/>
      <c r="R749" s="355"/>
      <c r="S749" s="355"/>
      <c r="T749" s="355"/>
      <c r="U749" s="355"/>
      <c r="V749" s="355"/>
      <c r="W749" s="355"/>
      <c r="X749" s="355"/>
      <c r="Y749" s="355"/>
      <c r="Z749" s="355"/>
    </row>
    <row r="750" spans="1:26" ht="13.5" customHeight="1" x14ac:dyDescent="0.25">
      <c r="A750" s="382"/>
      <c r="B750" s="355"/>
      <c r="C750" s="450"/>
      <c r="D750" s="450"/>
      <c r="E750" s="355"/>
      <c r="F750" s="355"/>
      <c r="G750" s="355"/>
      <c r="H750" s="355"/>
      <c r="I750" s="355"/>
      <c r="J750" s="355"/>
      <c r="K750" s="355"/>
      <c r="L750" s="355"/>
      <c r="M750" s="355"/>
      <c r="N750" s="355"/>
      <c r="O750" s="355"/>
      <c r="P750" s="355"/>
      <c r="Q750" s="355"/>
      <c r="R750" s="355"/>
      <c r="S750" s="355"/>
      <c r="T750" s="355"/>
      <c r="U750" s="355"/>
      <c r="V750" s="355"/>
      <c r="W750" s="355"/>
      <c r="X750" s="355"/>
      <c r="Y750" s="355"/>
      <c r="Z750" s="355"/>
    </row>
    <row r="751" spans="1:26" ht="13.5" customHeight="1" x14ac:dyDescent="0.25">
      <c r="A751" s="382"/>
      <c r="B751" s="355"/>
      <c r="C751" s="450"/>
      <c r="D751" s="450"/>
      <c r="E751" s="355"/>
      <c r="F751" s="355"/>
      <c r="G751" s="355"/>
      <c r="H751" s="355"/>
      <c r="I751" s="355"/>
      <c r="J751" s="355"/>
      <c r="K751" s="355"/>
      <c r="L751" s="355"/>
      <c r="M751" s="355"/>
      <c r="N751" s="355"/>
      <c r="O751" s="355"/>
      <c r="P751" s="355"/>
      <c r="Q751" s="355"/>
      <c r="R751" s="355"/>
      <c r="S751" s="355"/>
      <c r="T751" s="355"/>
      <c r="U751" s="355"/>
      <c r="V751" s="355"/>
      <c r="W751" s="355"/>
      <c r="X751" s="355"/>
      <c r="Y751" s="355"/>
      <c r="Z751" s="355"/>
    </row>
    <row r="752" spans="1:26" ht="13.5" customHeight="1" x14ac:dyDescent="0.25">
      <c r="A752" s="382"/>
      <c r="B752" s="355"/>
      <c r="C752" s="450"/>
      <c r="D752" s="450"/>
      <c r="E752" s="355"/>
      <c r="F752" s="355"/>
      <c r="G752" s="355"/>
      <c r="H752" s="355"/>
      <c r="I752" s="355"/>
      <c r="J752" s="355"/>
      <c r="K752" s="355"/>
      <c r="L752" s="355"/>
      <c r="M752" s="355"/>
      <c r="N752" s="355"/>
      <c r="O752" s="355"/>
      <c r="P752" s="355"/>
      <c r="Q752" s="355"/>
      <c r="R752" s="355"/>
      <c r="S752" s="355"/>
      <c r="T752" s="355"/>
      <c r="U752" s="355"/>
      <c r="V752" s="355"/>
      <c r="W752" s="355"/>
      <c r="X752" s="355"/>
      <c r="Y752" s="355"/>
      <c r="Z752" s="355"/>
    </row>
    <row r="753" spans="1:26" ht="13.5" customHeight="1" x14ac:dyDescent="0.25">
      <c r="A753" s="382"/>
      <c r="B753" s="355"/>
      <c r="C753" s="450"/>
      <c r="D753" s="450"/>
      <c r="E753" s="355"/>
      <c r="F753" s="355"/>
      <c r="G753" s="355"/>
      <c r="H753" s="355"/>
      <c r="I753" s="355"/>
      <c r="J753" s="355"/>
      <c r="K753" s="355"/>
      <c r="L753" s="355"/>
      <c r="M753" s="355"/>
      <c r="N753" s="355"/>
      <c r="O753" s="355"/>
      <c r="P753" s="355"/>
      <c r="Q753" s="355"/>
      <c r="R753" s="355"/>
      <c r="S753" s="355"/>
      <c r="T753" s="355"/>
      <c r="U753" s="355"/>
      <c r="V753" s="355"/>
      <c r="W753" s="355"/>
      <c r="X753" s="355"/>
      <c r="Y753" s="355"/>
      <c r="Z753" s="355"/>
    </row>
    <row r="754" spans="1:26" ht="13.5" customHeight="1" x14ac:dyDescent="0.25">
      <c r="A754" s="382"/>
      <c r="B754" s="355"/>
      <c r="C754" s="450"/>
      <c r="D754" s="450"/>
      <c r="E754" s="355"/>
      <c r="F754" s="355"/>
      <c r="G754" s="355"/>
      <c r="H754" s="355"/>
      <c r="I754" s="355"/>
      <c r="J754" s="355"/>
      <c r="K754" s="355"/>
      <c r="L754" s="355"/>
      <c r="M754" s="355"/>
      <c r="N754" s="355"/>
      <c r="O754" s="355"/>
      <c r="P754" s="355"/>
      <c r="Q754" s="355"/>
      <c r="R754" s="355"/>
      <c r="S754" s="355"/>
      <c r="T754" s="355"/>
      <c r="U754" s="355"/>
      <c r="V754" s="355"/>
      <c r="W754" s="355"/>
      <c r="X754" s="355"/>
      <c r="Y754" s="355"/>
      <c r="Z754" s="355"/>
    </row>
    <row r="755" spans="1:26" ht="13.5" customHeight="1" x14ac:dyDescent="0.25">
      <c r="A755" s="382"/>
      <c r="B755" s="355"/>
      <c r="C755" s="450"/>
      <c r="D755" s="450"/>
      <c r="E755" s="355"/>
      <c r="F755" s="355"/>
      <c r="G755" s="355"/>
      <c r="H755" s="355"/>
      <c r="I755" s="355"/>
      <c r="J755" s="355"/>
      <c r="K755" s="355"/>
      <c r="L755" s="355"/>
      <c r="M755" s="355"/>
      <c r="N755" s="355"/>
      <c r="O755" s="355"/>
      <c r="P755" s="355"/>
      <c r="Q755" s="355"/>
      <c r="R755" s="355"/>
      <c r="S755" s="355"/>
      <c r="T755" s="355"/>
      <c r="U755" s="355"/>
      <c r="V755" s="355"/>
      <c r="W755" s="355"/>
      <c r="X755" s="355"/>
      <c r="Y755" s="355"/>
      <c r="Z755" s="355"/>
    </row>
    <row r="756" spans="1:26" ht="13.5" customHeight="1" x14ac:dyDescent="0.25">
      <c r="A756" s="382"/>
      <c r="B756" s="355"/>
      <c r="C756" s="450"/>
      <c r="D756" s="450"/>
      <c r="E756" s="355"/>
      <c r="F756" s="355"/>
      <c r="G756" s="355"/>
      <c r="H756" s="355"/>
      <c r="I756" s="355"/>
      <c r="J756" s="355"/>
      <c r="K756" s="355"/>
      <c r="L756" s="355"/>
      <c r="M756" s="355"/>
      <c r="N756" s="355"/>
      <c r="O756" s="355"/>
      <c r="P756" s="355"/>
      <c r="Q756" s="355"/>
      <c r="R756" s="355"/>
      <c r="S756" s="355"/>
      <c r="T756" s="355"/>
      <c r="U756" s="355"/>
      <c r="V756" s="355"/>
      <c r="W756" s="355"/>
      <c r="X756" s="355"/>
      <c r="Y756" s="355"/>
      <c r="Z756" s="355"/>
    </row>
    <row r="757" spans="1:26" ht="13.5" customHeight="1" x14ac:dyDescent="0.25">
      <c r="A757" s="382"/>
      <c r="B757" s="355"/>
      <c r="C757" s="450"/>
      <c r="D757" s="450"/>
      <c r="E757" s="355"/>
      <c r="F757" s="355"/>
      <c r="G757" s="355"/>
      <c r="H757" s="355"/>
      <c r="I757" s="355"/>
      <c r="J757" s="355"/>
      <c r="K757" s="355"/>
      <c r="L757" s="355"/>
      <c r="M757" s="355"/>
      <c r="N757" s="355"/>
      <c r="O757" s="355"/>
      <c r="P757" s="355"/>
      <c r="Q757" s="355"/>
      <c r="R757" s="355"/>
      <c r="S757" s="355"/>
      <c r="T757" s="355"/>
      <c r="U757" s="355"/>
      <c r="V757" s="355"/>
      <c r="W757" s="355"/>
      <c r="X757" s="355"/>
      <c r="Y757" s="355"/>
      <c r="Z757" s="355"/>
    </row>
    <row r="758" spans="1:26" ht="13.5" customHeight="1" x14ac:dyDescent="0.25">
      <c r="A758" s="382"/>
      <c r="B758" s="355"/>
      <c r="C758" s="450"/>
      <c r="D758" s="450"/>
      <c r="E758" s="355"/>
      <c r="F758" s="355"/>
      <c r="G758" s="355"/>
      <c r="H758" s="355"/>
      <c r="I758" s="355"/>
      <c r="J758" s="355"/>
      <c r="K758" s="355"/>
      <c r="L758" s="355"/>
      <c r="M758" s="355"/>
      <c r="N758" s="355"/>
      <c r="O758" s="355"/>
      <c r="P758" s="355"/>
      <c r="Q758" s="355"/>
      <c r="R758" s="355"/>
      <c r="S758" s="355"/>
      <c r="T758" s="355"/>
      <c r="U758" s="355"/>
      <c r="V758" s="355"/>
      <c r="W758" s="355"/>
      <c r="X758" s="355"/>
      <c r="Y758" s="355"/>
      <c r="Z758" s="355"/>
    </row>
    <row r="759" spans="1:26" ht="13.5" customHeight="1" x14ac:dyDescent="0.25">
      <c r="A759" s="382"/>
      <c r="B759" s="355"/>
      <c r="C759" s="450"/>
      <c r="D759" s="450"/>
      <c r="E759" s="355"/>
      <c r="F759" s="355"/>
      <c r="G759" s="355"/>
      <c r="H759" s="355"/>
      <c r="I759" s="355"/>
      <c r="J759" s="355"/>
      <c r="K759" s="355"/>
      <c r="L759" s="355"/>
      <c r="M759" s="355"/>
      <c r="N759" s="355"/>
      <c r="O759" s="355"/>
      <c r="P759" s="355"/>
      <c r="Q759" s="355"/>
      <c r="R759" s="355"/>
      <c r="S759" s="355"/>
      <c r="T759" s="355"/>
      <c r="U759" s="355"/>
      <c r="V759" s="355"/>
      <c r="W759" s="355"/>
      <c r="X759" s="355"/>
      <c r="Y759" s="355"/>
      <c r="Z759" s="355"/>
    </row>
    <row r="760" spans="1:26" ht="13.5" customHeight="1" x14ac:dyDescent="0.25">
      <c r="A760" s="382"/>
      <c r="B760" s="355"/>
      <c r="C760" s="450"/>
      <c r="D760" s="450"/>
      <c r="E760" s="355"/>
      <c r="F760" s="355"/>
      <c r="G760" s="355"/>
      <c r="H760" s="355"/>
      <c r="I760" s="355"/>
      <c r="J760" s="355"/>
      <c r="K760" s="355"/>
      <c r="L760" s="355"/>
      <c r="M760" s="355"/>
      <c r="N760" s="355"/>
      <c r="O760" s="355"/>
      <c r="P760" s="355"/>
      <c r="Q760" s="355"/>
      <c r="R760" s="355"/>
      <c r="S760" s="355"/>
      <c r="T760" s="355"/>
      <c r="U760" s="355"/>
      <c r="V760" s="355"/>
      <c r="W760" s="355"/>
      <c r="X760" s="355"/>
      <c r="Y760" s="355"/>
      <c r="Z760" s="355"/>
    </row>
    <row r="761" spans="1:26" ht="13.5" customHeight="1" x14ac:dyDescent="0.25">
      <c r="A761" s="382"/>
      <c r="B761" s="355"/>
      <c r="C761" s="450"/>
      <c r="D761" s="450"/>
      <c r="E761" s="355"/>
      <c r="F761" s="355"/>
      <c r="G761" s="355"/>
      <c r="H761" s="355"/>
      <c r="I761" s="355"/>
      <c r="J761" s="355"/>
      <c r="K761" s="355"/>
      <c r="L761" s="355"/>
      <c r="M761" s="355"/>
      <c r="N761" s="355"/>
      <c r="O761" s="355"/>
      <c r="P761" s="355"/>
      <c r="Q761" s="355"/>
      <c r="R761" s="355"/>
      <c r="S761" s="355"/>
      <c r="T761" s="355"/>
      <c r="U761" s="355"/>
      <c r="V761" s="355"/>
      <c r="W761" s="355"/>
      <c r="X761" s="355"/>
      <c r="Y761" s="355"/>
      <c r="Z761" s="355"/>
    </row>
    <row r="762" spans="1:26" ht="13.5" customHeight="1" x14ac:dyDescent="0.25">
      <c r="A762" s="382"/>
      <c r="B762" s="355"/>
      <c r="C762" s="450"/>
      <c r="D762" s="450"/>
      <c r="E762" s="355"/>
      <c r="F762" s="355"/>
      <c r="G762" s="355"/>
      <c r="H762" s="355"/>
      <c r="I762" s="355"/>
      <c r="J762" s="355"/>
      <c r="K762" s="355"/>
      <c r="L762" s="355"/>
      <c r="M762" s="355"/>
      <c r="N762" s="355"/>
      <c r="O762" s="355"/>
      <c r="P762" s="355"/>
      <c r="Q762" s="355"/>
      <c r="R762" s="355"/>
      <c r="S762" s="355"/>
      <c r="T762" s="355"/>
      <c r="U762" s="355"/>
      <c r="V762" s="355"/>
      <c r="W762" s="355"/>
      <c r="X762" s="355"/>
      <c r="Y762" s="355"/>
      <c r="Z762" s="355"/>
    </row>
    <row r="763" spans="1:26" ht="13.5" customHeight="1" x14ac:dyDescent="0.25">
      <c r="A763" s="382"/>
      <c r="B763" s="355"/>
      <c r="C763" s="450"/>
      <c r="D763" s="450"/>
      <c r="E763" s="355"/>
      <c r="F763" s="355"/>
      <c r="G763" s="355"/>
      <c r="H763" s="355"/>
      <c r="I763" s="355"/>
      <c r="J763" s="355"/>
      <c r="K763" s="355"/>
      <c r="L763" s="355"/>
      <c r="M763" s="355"/>
      <c r="N763" s="355"/>
      <c r="O763" s="355"/>
      <c r="P763" s="355"/>
      <c r="Q763" s="355"/>
      <c r="R763" s="355"/>
      <c r="S763" s="355"/>
      <c r="T763" s="355"/>
      <c r="U763" s="355"/>
      <c r="V763" s="355"/>
      <c r="W763" s="355"/>
      <c r="X763" s="355"/>
      <c r="Y763" s="355"/>
      <c r="Z763" s="355"/>
    </row>
    <row r="764" spans="1:26" ht="13.5" customHeight="1" x14ac:dyDescent="0.25">
      <c r="A764" s="382"/>
      <c r="B764" s="355"/>
      <c r="C764" s="450"/>
      <c r="D764" s="450"/>
      <c r="E764" s="355"/>
      <c r="F764" s="355"/>
      <c r="G764" s="355"/>
      <c r="H764" s="355"/>
      <c r="I764" s="355"/>
      <c r="J764" s="355"/>
      <c r="K764" s="355"/>
      <c r="L764" s="355"/>
      <c r="M764" s="355"/>
      <c r="N764" s="355"/>
      <c r="O764" s="355"/>
      <c r="P764" s="355"/>
      <c r="Q764" s="355"/>
      <c r="R764" s="355"/>
      <c r="S764" s="355"/>
      <c r="T764" s="355"/>
      <c r="U764" s="355"/>
      <c r="V764" s="355"/>
      <c r="W764" s="355"/>
      <c r="X764" s="355"/>
      <c r="Y764" s="355"/>
      <c r="Z764" s="355"/>
    </row>
    <row r="765" spans="1:26" ht="13.5" customHeight="1" x14ac:dyDescent="0.25">
      <c r="A765" s="382"/>
      <c r="B765" s="355"/>
      <c r="C765" s="450"/>
      <c r="D765" s="450"/>
      <c r="E765" s="355"/>
      <c r="F765" s="355"/>
      <c r="G765" s="355"/>
      <c r="H765" s="355"/>
      <c r="I765" s="355"/>
      <c r="J765" s="355"/>
      <c r="K765" s="355"/>
      <c r="L765" s="355"/>
      <c r="M765" s="355"/>
      <c r="N765" s="355"/>
      <c r="O765" s="355"/>
      <c r="P765" s="355"/>
      <c r="Q765" s="355"/>
      <c r="R765" s="355"/>
      <c r="S765" s="355"/>
      <c r="T765" s="355"/>
      <c r="U765" s="355"/>
      <c r="V765" s="355"/>
      <c r="W765" s="355"/>
      <c r="X765" s="355"/>
      <c r="Y765" s="355"/>
      <c r="Z765" s="355"/>
    </row>
    <row r="766" spans="1:26" ht="13.5" customHeight="1" x14ac:dyDescent="0.25">
      <c r="A766" s="382"/>
      <c r="B766" s="355"/>
      <c r="C766" s="450"/>
      <c r="D766" s="450"/>
      <c r="E766" s="355"/>
      <c r="F766" s="355"/>
      <c r="G766" s="355"/>
      <c r="H766" s="355"/>
      <c r="I766" s="355"/>
      <c r="J766" s="355"/>
      <c r="K766" s="355"/>
      <c r="L766" s="355"/>
      <c r="M766" s="355"/>
      <c r="N766" s="355"/>
      <c r="O766" s="355"/>
      <c r="P766" s="355"/>
      <c r="Q766" s="355"/>
      <c r="R766" s="355"/>
      <c r="S766" s="355"/>
      <c r="T766" s="355"/>
      <c r="U766" s="355"/>
      <c r="V766" s="355"/>
      <c r="W766" s="355"/>
      <c r="X766" s="355"/>
      <c r="Y766" s="355"/>
      <c r="Z766" s="355"/>
    </row>
    <row r="767" spans="1:26" ht="13.5" customHeight="1" x14ac:dyDescent="0.25">
      <c r="A767" s="382"/>
      <c r="B767" s="355"/>
      <c r="C767" s="450"/>
      <c r="D767" s="450"/>
      <c r="E767" s="355"/>
      <c r="F767" s="355"/>
      <c r="G767" s="355"/>
      <c r="H767" s="355"/>
      <c r="I767" s="355"/>
      <c r="J767" s="355"/>
      <c r="K767" s="355"/>
      <c r="L767" s="355"/>
      <c r="M767" s="355"/>
      <c r="N767" s="355"/>
      <c r="O767" s="355"/>
      <c r="P767" s="355"/>
      <c r="Q767" s="355"/>
      <c r="R767" s="355"/>
      <c r="S767" s="355"/>
      <c r="T767" s="355"/>
      <c r="U767" s="355"/>
      <c r="V767" s="355"/>
      <c r="W767" s="355"/>
      <c r="X767" s="355"/>
      <c r="Y767" s="355"/>
      <c r="Z767" s="355"/>
    </row>
    <row r="768" spans="1:26" ht="13.5" customHeight="1" x14ac:dyDescent="0.25">
      <c r="A768" s="382"/>
      <c r="B768" s="355"/>
      <c r="C768" s="450"/>
      <c r="D768" s="450"/>
      <c r="E768" s="355"/>
      <c r="F768" s="355"/>
      <c r="G768" s="355"/>
      <c r="H768" s="355"/>
      <c r="I768" s="355"/>
      <c r="J768" s="355"/>
      <c r="K768" s="355"/>
      <c r="L768" s="355"/>
      <c r="M768" s="355"/>
      <c r="N768" s="355"/>
      <c r="O768" s="355"/>
      <c r="P768" s="355"/>
      <c r="Q768" s="355"/>
      <c r="R768" s="355"/>
      <c r="S768" s="355"/>
      <c r="T768" s="355"/>
      <c r="U768" s="355"/>
      <c r="V768" s="355"/>
      <c r="W768" s="355"/>
      <c r="X768" s="355"/>
      <c r="Y768" s="355"/>
      <c r="Z768" s="355"/>
    </row>
    <row r="769" spans="1:26" ht="13.5" customHeight="1" x14ac:dyDescent="0.25">
      <c r="A769" s="382"/>
      <c r="B769" s="355"/>
      <c r="C769" s="450"/>
      <c r="D769" s="450"/>
      <c r="E769" s="355"/>
      <c r="F769" s="355"/>
      <c r="G769" s="355"/>
      <c r="H769" s="355"/>
      <c r="I769" s="355"/>
      <c r="J769" s="355"/>
      <c r="K769" s="355"/>
      <c r="L769" s="355"/>
      <c r="M769" s="355"/>
      <c r="N769" s="355"/>
      <c r="O769" s="355"/>
      <c r="P769" s="355"/>
      <c r="Q769" s="355"/>
      <c r="R769" s="355"/>
      <c r="S769" s="355"/>
      <c r="T769" s="355"/>
      <c r="U769" s="355"/>
      <c r="V769" s="355"/>
      <c r="W769" s="355"/>
      <c r="X769" s="355"/>
      <c r="Y769" s="355"/>
      <c r="Z769" s="355"/>
    </row>
    <row r="770" spans="1:26" ht="13.5" customHeight="1" x14ac:dyDescent="0.25">
      <c r="A770" s="382"/>
      <c r="B770" s="355"/>
      <c r="C770" s="450"/>
      <c r="D770" s="450"/>
      <c r="E770" s="355"/>
      <c r="F770" s="355"/>
      <c r="G770" s="355"/>
      <c r="H770" s="355"/>
      <c r="I770" s="355"/>
      <c r="J770" s="355"/>
      <c r="K770" s="355"/>
      <c r="L770" s="355"/>
      <c r="M770" s="355"/>
      <c r="N770" s="355"/>
      <c r="O770" s="355"/>
      <c r="P770" s="355"/>
      <c r="Q770" s="355"/>
      <c r="R770" s="355"/>
      <c r="S770" s="355"/>
      <c r="T770" s="355"/>
      <c r="U770" s="355"/>
      <c r="V770" s="355"/>
      <c r="W770" s="355"/>
      <c r="X770" s="355"/>
      <c r="Y770" s="355"/>
      <c r="Z770" s="355"/>
    </row>
    <row r="771" spans="1:26" ht="13.5" customHeight="1" x14ac:dyDescent="0.25">
      <c r="A771" s="382"/>
      <c r="B771" s="355"/>
      <c r="C771" s="450"/>
      <c r="D771" s="450"/>
      <c r="E771" s="355"/>
      <c r="F771" s="355"/>
      <c r="G771" s="355"/>
      <c r="H771" s="355"/>
      <c r="I771" s="355"/>
      <c r="J771" s="355"/>
      <c r="K771" s="355"/>
      <c r="L771" s="355"/>
      <c r="M771" s="355"/>
      <c r="N771" s="355"/>
      <c r="O771" s="355"/>
      <c r="P771" s="355"/>
      <c r="Q771" s="355"/>
      <c r="R771" s="355"/>
      <c r="S771" s="355"/>
      <c r="T771" s="355"/>
      <c r="U771" s="355"/>
      <c r="V771" s="355"/>
      <c r="W771" s="355"/>
      <c r="X771" s="355"/>
      <c r="Y771" s="355"/>
      <c r="Z771" s="355"/>
    </row>
    <row r="772" spans="1:26" ht="13.5" customHeight="1" x14ac:dyDescent="0.25">
      <c r="A772" s="382"/>
      <c r="B772" s="355"/>
      <c r="C772" s="450"/>
      <c r="D772" s="450"/>
      <c r="E772" s="355"/>
      <c r="F772" s="355"/>
      <c r="G772" s="355"/>
      <c r="H772" s="355"/>
      <c r="I772" s="355"/>
      <c r="J772" s="355"/>
      <c r="K772" s="355"/>
      <c r="L772" s="355"/>
      <c r="M772" s="355"/>
      <c r="N772" s="355"/>
      <c r="O772" s="355"/>
      <c r="P772" s="355"/>
      <c r="Q772" s="355"/>
      <c r="R772" s="355"/>
      <c r="S772" s="355"/>
      <c r="T772" s="355"/>
      <c r="U772" s="355"/>
      <c r="V772" s="355"/>
      <c r="W772" s="355"/>
      <c r="X772" s="355"/>
      <c r="Y772" s="355"/>
      <c r="Z772" s="355"/>
    </row>
    <row r="773" spans="1:26" ht="13.5" customHeight="1" x14ac:dyDescent="0.25">
      <c r="A773" s="382"/>
      <c r="B773" s="355"/>
      <c r="C773" s="450"/>
      <c r="D773" s="450"/>
      <c r="E773" s="355"/>
      <c r="F773" s="355"/>
      <c r="G773" s="355"/>
      <c r="H773" s="355"/>
      <c r="I773" s="355"/>
      <c r="J773" s="355"/>
      <c r="K773" s="355"/>
      <c r="L773" s="355"/>
      <c r="M773" s="355"/>
      <c r="N773" s="355"/>
      <c r="O773" s="355"/>
      <c r="P773" s="355"/>
      <c r="Q773" s="355"/>
      <c r="R773" s="355"/>
      <c r="S773" s="355"/>
      <c r="T773" s="355"/>
      <c r="U773" s="355"/>
      <c r="V773" s="355"/>
      <c r="W773" s="355"/>
      <c r="X773" s="355"/>
      <c r="Y773" s="355"/>
      <c r="Z773" s="355"/>
    </row>
    <row r="774" spans="1:26" ht="13.5" customHeight="1" x14ac:dyDescent="0.25">
      <c r="A774" s="382"/>
      <c r="B774" s="355"/>
      <c r="C774" s="450"/>
      <c r="D774" s="450"/>
      <c r="E774" s="355"/>
      <c r="F774" s="355"/>
      <c r="G774" s="355"/>
      <c r="H774" s="355"/>
      <c r="I774" s="355"/>
      <c r="J774" s="355"/>
      <c r="K774" s="355"/>
      <c r="L774" s="355"/>
      <c r="M774" s="355"/>
      <c r="N774" s="355"/>
      <c r="O774" s="355"/>
      <c r="P774" s="355"/>
      <c r="Q774" s="355"/>
      <c r="R774" s="355"/>
      <c r="S774" s="355"/>
      <c r="T774" s="355"/>
      <c r="U774" s="355"/>
      <c r="V774" s="355"/>
      <c r="W774" s="355"/>
      <c r="X774" s="355"/>
      <c r="Y774" s="355"/>
      <c r="Z774" s="355"/>
    </row>
    <row r="775" spans="1:26" ht="13.5" customHeight="1" x14ac:dyDescent="0.25">
      <c r="A775" s="382"/>
      <c r="B775" s="355"/>
      <c r="C775" s="450"/>
      <c r="D775" s="450"/>
      <c r="E775" s="355"/>
      <c r="F775" s="355"/>
      <c r="G775" s="355"/>
      <c r="H775" s="355"/>
      <c r="I775" s="355"/>
      <c r="J775" s="355"/>
      <c r="K775" s="355"/>
      <c r="L775" s="355"/>
      <c r="M775" s="355"/>
      <c r="N775" s="355"/>
      <c r="O775" s="355"/>
      <c r="P775" s="355"/>
      <c r="Q775" s="355"/>
      <c r="R775" s="355"/>
      <c r="S775" s="355"/>
      <c r="T775" s="355"/>
      <c r="U775" s="355"/>
      <c r="V775" s="355"/>
      <c r="W775" s="355"/>
      <c r="X775" s="355"/>
      <c r="Y775" s="355"/>
      <c r="Z775" s="355"/>
    </row>
    <row r="776" spans="1:26" ht="13.5" customHeight="1" x14ac:dyDescent="0.25">
      <c r="A776" s="382"/>
      <c r="B776" s="355"/>
      <c r="C776" s="450"/>
      <c r="D776" s="450"/>
      <c r="E776" s="355"/>
      <c r="F776" s="355"/>
      <c r="G776" s="355"/>
      <c r="H776" s="355"/>
      <c r="I776" s="355"/>
      <c r="J776" s="355"/>
      <c r="K776" s="355"/>
      <c r="L776" s="355"/>
      <c r="M776" s="355"/>
      <c r="N776" s="355"/>
      <c r="O776" s="355"/>
      <c r="P776" s="355"/>
      <c r="Q776" s="355"/>
      <c r="R776" s="355"/>
      <c r="S776" s="355"/>
      <c r="T776" s="355"/>
      <c r="U776" s="355"/>
      <c r="V776" s="355"/>
      <c r="W776" s="355"/>
      <c r="X776" s="355"/>
      <c r="Y776" s="355"/>
      <c r="Z776" s="355"/>
    </row>
    <row r="777" spans="1:26" ht="13.5" customHeight="1" x14ac:dyDescent="0.25">
      <c r="A777" s="382"/>
      <c r="B777" s="355"/>
      <c r="C777" s="450"/>
      <c r="D777" s="450"/>
      <c r="E777" s="355"/>
      <c r="F777" s="355"/>
      <c r="G777" s="355"/>
      <c r="H777" s="355"/>
      <c r="I777" s="355"/>
      <c r="J777" s="355"/>
      <c r="K777" s="355"/>
      <c r="L777" s="355"/>
      <c r="M777" s="355"/>
      <c r="N777" s="355"/>
      <c r="O777" s="355"/>
      <c r="P777" s="355"/>
      <c r="Q777" s="355"/>
      <c r="R777" s="355"/>
      <c r="S777" s="355"/>
      <c r="T777" s="355"/>
      <c r="U777" s="355"/>
      <c r="V777" s="355"/>
      <c r="W777" s="355"/>
      <c r="X777" s="355"/>
      <c r="Y777" s="355"/>
      <c r="Z777" s="355"/>
    </row>
    <row r="778" spans="1:26" ht="13.5" customHeight="1" x14ac:dyDescent="0.25">
      <c r="A778" s="382"/>
      <c r="B778" s="355"/>
      <c r="C778" s="450"/>
      <c r="D778" s="450"/>
      <c r="E778" s="355"/>
      <c r="F778" s="355"/>
      <c r="G778" s="355"/>
      <c r="H778" s="355"/>
      <c r="I778" s="355"/>
      <c r="J778" s="355"/>
      <c r="K778" s="355"/>
      <c r="L778" s="355"/>
      <c r="M778" s="355"/>
      <c r="N778" s="355"/>
      <c r="O778" s="355"/>
      <c r="P778" s="355"/>
      <c r="Q778" s="355"/>
      <c r="R778" s="355"/>
      <c r="S778" s="355"/>
      <c r="T778" s="355"/>
      <c r="U778" s="355"/>
      <c r="V778" s="355"/>
      <c r="W778" s="355"/>
      <c r="X778" s="355"/>
      <c r="Y778" s="355"/>
      <c r="Z778" s="355"/>
    </row>
    <row r="779" spans="1:26" ht="13.5" customHeight="1" x14ac:dyDescent="0.25">
      <c r="A779" s="382"/>
      <c r="B779" s="355"/>
      <c r="C779" s="450"/>
      <c r="D779" s="450"/>
      <c r="E779" s="355"/>
      <c r="F779" s="355"/>
      <c r="G779" s="355"/>
      <c r="H779" s="355"/>
      <c r="I779" s="355"/>
      <c r="J779" s="355"/>
      <c r="K779" s="355"/>
      <c r="L779" s="355"/>
      <c r="M779" s="355"/>
      <c r="N779" s="355"/>
      <c r="O779" s="355"/>
      <c r="P779" s="355"/>
      <c r="Q779" s="355"/>
      <c r="R779" s="355"/>
      <c r="S779" s="355"/>
      <c r="T779" s="355"/>
      <c r="U779" s="355"/>
      <c r="V779" s="355"/>
      <c r="W779" s="355"/>
      <c r="X779" s="355"/>
      <c r="Y779" s="355"/>
      <c r="Z779" s="355"/>
    </row>
    <row r="780" spans="1:26" ht="13.5" customHeight="1" x14ac:dyDescent="0.25">
      <c r="A780" s="382"/>
      <c r="B780" s="355"/>
      <c r="C780" s="450"/>
      <c r="D780" s="450"/>
      <c r="E780" s="355"/>
      <c r="F780" s="355"/>
      <c r="G780" s="355"/>
      <c r="H780" s="355"/>
      <c r="I780" s="355"/>
      <c r="J780" s="355"/>
      <c r="K780" s="355"/>
      <c r="L780" s="355"/>
      <c r="M780" s="355"/>
      <c r="N780" s="355"/>
      <c r="O780" s="355"/>
      <c r="P780" s="355"/>
      <c r="Q780" s="355"/>
      <c r="R780" s="355"/>
      <c r="S780" s="355"/>
      <c r="T780" s="355"/>
      <c r="U780" s="355"/>
      <c r="V780" s="355"/>
      <c r="W780" s="355"/>
      <c r="X780" s="355"/>
      <c r="Y780" s="355"/>
      <c r="Z780" s="355"/>
    </row>
    <row r="781" spans="1:26" ht="13.5" customHeight="1" x14ac:dyDescent="0.25">
      <c r="A781" s="382"/>
      <c r="B781" s="355"/>
      <c r="C781" s="450"/>
      <c r="D781" s="450"/>
      <c r="E781" s="355"/>
      <c r="F781" s="355"/>
      <c r="G781" s="355"/>
      <c r="H781" s="355"/>
      <c r="I781" s="355"/>
      <c r="J781" s="355"/>
      <c r="K781" s="355"/>
      <c r="L781" s="355"/>
      <c r="M781" s="355"/>
      <c r="N781" s="355"/>
      <c r="O781" s="355"/>
      <c r="P781" s="355"/>
      <c r="Q781" s="355"/>
      <c r="R781" s="355"/>
      <c r="S781" s="355"/>
      <c r="T781" s="355"/>
      <c r="U781" s="355"/>
      <c r="V781" s="355"/>
      <c r="W781" s="355"/>
      <c r="X781" s="355"/>
      <c r="Y781" s="355"/>
      <c r="Z781" s="355"/>
    </row>
    <row r="782" spans="1:26" ht="13.5" customHeight="1" x14ac:dyDescent="0.25">
      <c r="A782" s="382"/>
      <c r="B782" s="355"/>
      <c r="C782" s="450"/>
      <c r="D782" s="450"/>
      <c r="E782" s="355"/>
      <c r="F782" s="355"/>
      <c r="G782" s="355"/>
      <c r="H782" s="355"/>
      <c r="I782" s="355"/>
      <c r="J782" s="355"/>
      <c r="K782" s="355"/>
      <c r="L782" s="355"/>
      <c r="M782" s="355"/>
      <c r="N782" s="355"/>
      <c r="O782" s="355"/>
      <c r="P782" s="355"/>
      <c r="Q782" s="355"/>
      <c r="R782" s="355"/>
      <c r="S782" s="355"/>
      <c r="T782" s="355"/>
      <c r="U782" s="355"/>
      <c r="V782" s="355"/>
      <c r="W782" s="355"/>
      <c r="X782" s="355"/>
      <c r="Y782" s="355"/>
      <c r="Z782" s="355"/>
    </row>
    <row r="783" spans="1:26" ht="13.5" customHeight="1" x14ac:dyDescent="0.25">
      <c r="A783" s="382"/>
      <c r="B783" s="355"/>
      <c r="C783" s="450"/>
      <c r="D783" s="450"/>
      <c r="E783" s="355"/>
      <c r="F783" s="355"/>
      <c r="G783" s="355"/>
      <c r="H783" s="355"/>
      <c r="I783" s="355"/>
      <c r="J783" s="355"/>
      <c r="K783" s="355"/>
      <c r="L783" s="355"/>
      <c r="M783" s="355"/>
      <c r="N783" s="355"/>
      <c r="O783" s="355"/>
      <c r="P783" s="355"/>
      <c r="Q783" s="355"/>
      <c r="R783" s="355"/>
      <c r="S783" s="355"/>
      <c r="T783" s="355"/>
      <c r="U783" s="355"/>
      <c r="V783" s="355"/>
      <c r="W783" s="355"/>
      <c r="X783" s="355"/>
      <c r="Y783" s="355"/>
      <c r="Z783" s="355"/>
    </row>
    <row r="784" spans="1:26" ht="13.5" customHeight="1" x14ac:dyDescent="0.25">
      <c r="A784" s="382"/>
      <c r="B784" s="355"/>
      <c r="C784" s="450"/>
      <c r="D784" s="450"/>
      <c r="E784" s="355"/>
      <c r="F784" s="355"/>
      <c r="G784" s="355"/>
      <c r="H784" s="355"/>
      <c r="I784" s="355"/>
      <c r="J784" s="355"/>
      <c r="K784" s="355"/>
      <c r="L784" s="355"/>
      <c r="M784" s="355"/>
      <c r="N784" s="355"/>
      <c r="O784" s="355"/>
      <c r="P784" s="355"/>
      <c r="Q784" s="355"/>
      <c r="R784" s="355"/>
      <c r="S784" s="355"/>
      <c r="T784" s="355"/>
      <c r="U784" s="355"/>
      <c r="V784" s="355"/>
      <c r="W784" s="355"/>
      <c r="X784" s="355"/>
      <c r="Y784" s="355"/>
      <c r="Z784" s="355"/>
    </row>
    <row r="785" spans="1:26" ht="13.5" customHeight="1" x14ac:dyDescent="0.25">
      <c r="A785" s="382"/>
      <c r="B785" s="355"/>
      <c r="C785" s="450"/>
      <c r="D785" s="450"/>
      <c r="E785" s="355"/>
      <c r="F785" s="355"/>
      <c r="G785" s="355"/>
      <c r="H785" s="355"/>
      <c r="I785" s="355"/>
      <c r="J785" s="355"/>
      <c r="K785" s="355"/>
      <c r="L785" s="355"/>
      <c r="M785" s="355"/>
      <c r="N785" s="355"/>
      <c r="O785" s="355"/>
      <c r="P785" s="355"/>
      <c r="Q785" s="355"/>
      <c r="R785" s="355"/>
      <c r="S785" s="355"/>
      <c r="T785" s="355"/>
      <c r="U785" s="355"/>
      <c r="V785" s="355"/>
      <c r="W785" s="355"/>
      <c r="X785" s="355"/>
      <c r="Y785" s="355"/>
      <c r="Z785" s="355"/>
    </row>
    <row r="786" spans="1:26" ht="13.5" customHeight="1" x14ac:dyDescent="0.25">
      <c r="A786" s="382"/>
      <c r="B786" s="355"/>
      <c r="C786" s="450"/>
      <c r="D786" s="450"/>
      <c r="E786" s="355"/>
      <c r="F786" s="355"/>
      <c r="G786" s="355"/>
      <c r="H786" s="355"/>
      <c r="I786" s="355"/>
      <c r="J786" s="355"/>
      <c r="K786" s="355"/>
      <c r="L786" s="355"/>
      <c r="M786" s="355"/>
      <c r="N786" s="355"/>
      <c r="O786" s="355"/>
      <c r="P786" s="355"/>
      <c r="Q786" s="355"/>
      <c r="R786" s="355"/>
      <c r="S786" s="355"/>
      <c r="T786" s="355"/>
      <c r="U786" s="355"/>
      <c r="V786" s="355"/>
      <c r="W786" s="355"/>
      <c r="X786" s="355"/>
      <c r="Y786" s="355"/>
      <c r="Z786" s="355"/>
    </row>
    <row r="787" spans="1:26" ht="13.5" customHeight="1" x14ac:dyDescent="0.25">
      <c r="A787" s="382"/>
      <c r="B787" s="355"/>
      <c r="C787" s="450"/>
      <c r="D787" s="450"/>
      <c r="E787" s="355"/>
      <c r="F787" s="355"/>
      <c r="G787" s="355"/>
      <c r="H787" s="355"/>
      <c r="I787" s="355"/>
      <c r="J787" s="355"/>
      <c r="K787" s="355"/>
      <c r="L787" s="355"/>
      <c r="M787" s="355"/>
      <c r="N787" s="355"/>
      <c r="O787" s="355"/>
      <c r="P787" s="355"/>
      <c r="Q787" s="355"/>
      <c r="R787" s="355"/>
      <c r="S787" s="355"/>
      <c r="T787" s="355"/>
      <c r="U787" s="355"/>
      <c r="V787" s="355"/>
      <c r="W787" s="355"/>
      <c r="X787" s="355"/>
      <c r="Y787" s="355"/>
      <c r="Z787" s="355"/>
    </row>
    <row r="788" spans="1:26" ht="13.5" customHeight="1" x14ac:dyDescent="0.25">
      <c r="A788" s="382"/>
      <c r="B788" s="355"/>
      <c r="C788" s="450"/>
      <c r="D788" s="450"/>
      <c r="E788" s="355"/>
      <c r="F788" s="355"/>
      <c r="G788" s="355"/>
      <c r="H788" s="355"/>
      <c r="I788" s="355"/>
      <c r="J788" s="355"/>
      <c r="K788" s="355"/>
      <c r="L788" s="355"/>
      <c r="M788" s="355"/>
      <c r="N788" s="355"/>
      <c r="O788" s="355"/>
      <c r="P788" s="355"/>
      <c r="Q788" s="355"/>
      <c r="R788" s="355"/>
      <c r="S788" s="355"/>
      <c r="T788" s="355"/>
      <c r="U788" s="355"/>
      <c r="V788" s="355"/>
      <c r="W788" s="355"/>
      <c r="X788" s="355"/>
      <c r="Y788" s="355"/>
      <c r="Z788" s="355"/>
    </row>
    <row r="789" spans="1:26" ht="13.5" customHeight="1" x14ac:dyDescent="0.25">
      <c r="A789" s="382"/>
      <c r="B789" s="355"/>
      <c r="C789" s="450"/>
      <c r="D789" s="450"/>
      <c r="E789" s="355"/>
      <c r="F789" s="355"/>
      <c r="G789" s="355"/>
      <c r="H789" s="355"/>
      <c r="I789" s="355"/>
      <c r="J789" s="355"/>
      <c r="K789" s="355"/>
      <c r="L789" s="355"/>
      <c r="M789" s="355"/>
      <c r="N789" s="355"/>
      <c r="O789" s="355"/>
      <c r="P789" s="355"/>
      <c r="Q789" s="355"/>
      <c r="R789" s="355"/>
      <c r="S789" s="355"/>
      <c r="T789" s="355"/>
      <c r="U789" s="355"/>
      <c r="V789" s="355"/>
      <c r="W789" s="355"/>
      <c r="X789" s="355"/>
      <c r="Y789" s="355"/>
      <c r="Z789" s="355"/>
    </row>
    <row r="790" spans="1:26" ht="13.5" customHeight="1" x14ac:dyDescent="0.25">
      <c r="A790" s="382"/>
      <c r="B790" s="355"/>
      <c r="C790" s="450"/>
      <c r="D790" s="450"/>
      <c r="E790" s="355"/>
      <c r="F790" s="355"/>
      <c r="G790" s="355"/>
      <c r="H790" s="355"/>
      <c r="I790" s="355"/>
      <c r="J790" s="355"/>
      <c r="K790" s="355"/>
      <c r="L790" s="355"/>
      <c r="M790" s="355"/>
      <c r="N790" s="355"/>
      <c r="O790" s="355"/>
      <c r="P790" s="355"/>
      <c r="Q790" s="355"/>
      <c r="R790" s="355"/>
      <c r="S790" s="355"/>
      <c r="T790" s="355"/>
      <c r="U790" s="355"/>
      <c r="V790" s="355"/>
      <c r="W790" s="355"/>
      <c r="X790" s="355"/>
      <c r="Y790" s="355"/>
      <c r="Z790" s="355"/>
    </row>
    <row r="791" spans="1:26" ht="13.5" customHeight="1" x14ac:dyDescent="0.25">
      <c r="A791" s="382"/>
      <c r="B791" s="355"/>
      <c r="C791" s="450"/>
      <c r="D791" s="450"/>
      <c r="E791" s="355"/>
      <c r="F791" s="355"/>
      <c r="G791" s="355"/>
      <c r="H791" s="355"/>
      <c r="I791" s="355"/>
      <c r="J791" s="355"/>
      <c r="K791" s="355"/>
      <c r="L791" s="355"/>
      <c r="M791" s="355"/>
      <c r="N791" s="355"/>
      <c r="O791" s="355"/>
      <c r="P791" s="355"/>
      <c r="Q791" s="355"/>
      <c r="R791" s="355"/>
      <c r="S791" s="355"/>
      <c r="T791" s="355"/>
      <c r="U791" s="355"/>
      <c r="V791" s="355"/>
      <c r="W791" s="355"/>
      <c r="X791" s="355"/>
      <c r="Y791" s="355"/>
      <c r="Z791" s="355"/>
    </row>
    <row r="792" spans="1:26" ht="13.5" customHeight="1" x14ac:dyDescent="0.25">
      <c r="A792" s="382"/>
      <c r="B792" s="355"/>
      <c r="C792" s="450"/>
      <c r="D792" s="450"/>
      <c r="E792" s="355"/>
      <c r="F792" s="355"/>
      <c r="G792" s="355"/>
      <c r="H792" s="355"/>
      <c r="I792" s="355"/>
      <c r="J792" s="355"/>
      <c r="K792" s="355"/>
      <c r="L792" s="355"/>
      <c r="M792" s="355"/>
      <c r="N792" s="355"/>
      <c r="O792" s="355"/>
      <c r="P792" s="355"/>
      <c r="Q792" s="355"/>
      <c r="R792" s="355"/>
      <c r="S792" s="355"/>
      <c r="T792" s="355"/>
      <c r="U792" s="355"/>
      <c r="V792" s="355"/>
      <c r="W792" s="355"/>
      <c r="X792" s="355"/>
      <c r="Y792" s="355"/>
      <c r="Z792" s="355"/>
    </row>
    <row r="793" spans="1:26" ht="13.5" customHeight="1" x14ac:dyDescent="0.25">
      <c r="A793" s="382"/>
      <c r="B793" s="355"/>
      <c r="C793" s="450"/>
      <c r="D793" s="450"/>
      <c r="E793" s="355"/>
      <c r="F793" s="355"/>
      <c r="G793" s="355"/>
      <c r="H793" s="355"/>
      <c r="I793" s="355"/>
      <c r="J793" s="355"/>
      <c r="K793" s="355"/>
      <c r="L793" s="355"/>
      <c r="M793" s="355"/>
      <c r="N793" s="355"/>
      <c r="O793" s="355"/>
      <c r="P793" s="355"/>
      <c r="Q793" s="355"/>
      <c r="R793" s="355"/>
      <c r="S793" s="355"/>
      <c r="T793" s="355"/>
      <c r="U793" s="355"/>
      <c r="V793" s="355"/>
      <c r="W793" s="355"/>
      <c r="X793" s="355"/>
      <c r="Y793" s="355"/>
      <c r="Z793" s="355"/>
    </row>
    <row r="794" spans="1:26" ht="13.5" customHeight="1" x14ac:dyDescent="0.25">
      <c r="A794" s="382"/>
      <c r="B794" s="355"/>
      <c r="C794" s="450"/>
      <c r="D794" s="450"/>
      <c r="E794" s="355"/>
      <c r="F794" s="355"/>
      <c r="G794" s="355"/>
      <c r="H794" s="355"/>
      <c r="I794" s="355"/>
      <c r="J794" s="355"/>
      <c r="K794" s="355"/>
      <c r="L794" s="355"/>
      <c r="M794" s="355"/>
      <c r="N794" s="355"/>
      <c r="O794" s="355"/>
      <c r="P794" s="355"/>
      <c r="Q794" s="355"/>
      <c r="R794" s="355"/>
      <c r="S794" s="355"/>
      <c r="T794" s="355"/>
      <c r="U794" s="355"/>
      <c r="V794" s="355"/>
      <c r="W794" s="355"/>
      <c r="X794" s="355"/>
      <c r="Y794" s="355"/>
      <c r="Z794" s="355"/>
    </row>
    <row r="795" spans="1:26" ht="13.5" customHeight="1" x14ac:dyDescent="0.25">
      <c r="A795" s="382"/>
      <c r="B795" s="355"/>
      <c r="C795" s="450"/>
      <c r="D795" s="450"/>
      <c r="E795" s="355"/>
      <c r="F795" s="355"/>
      <c r="G795" s="355"/>
      <c r="H795" s="355"/>
      <c r="I795" s="355"/>
      <c r="J795" s="355"/>
      <c r="K795" s="355"/>
      <c r="L795" s="355"/>
      <c r="M795" s="355"/>
      <c r="N795" s="355"/>
      <c r="O795" s="355"/>
      <c r="P795" s="355"/>
      <c r="Q795" s="355"/>
      <c r="R795" s="355"/>
      <c r="S795" s="355"/>
      <c r="T795" s="355"/>
      <c r="U795" s="355"/>
      <c r="V795" s="355"/>
      <c r="W795" s="355"/>
      <c r="X795" s="355"/>
      <c r="Y795" s="355"/>
      <c r="Z795" s="355"/>
    </row>
    <row r="796" spans="1:26" ht="13.5" customHeight="1" x14ac:dyDescent="0.25">
      <c r="A796" s="382"/>
      <c r="B796" s="355"/>
      <c r="C796" s="450"/>
      <c r="D796" s="450"/>
      <c r="E796" s="355"/>
      <c r="F796" s="355"/>
      <c r="G796" s="355"/>
      <c r="H796" s="355"/>
      <c r="I796" s="355"/>
      <c r="J796" s="355"/>
      <c r="K796" s="355"/>
      <c r="L796" s="355"/>
      <c r="M796" s="355"/>
      <c r="N796" s="355"/>
      <c r="O796" s="355"/>
      <c r="P796" s="355"/>
      <c r="Q796" s="355"/>
      <c r="R796" s="355"/>
      <c r="S796" s="355"/>
      <c r="T796" s="355"/>
      <c r="U796" s="355"/>
      <c r="V796" s="355"/>
      <c r="W796" s="355"/>
      <c r="X796" s="355"/>
      <c r="Y796" s="355"/>
      <c r="Z796" s="355"/>
    </row>
    <row r="797" spans="1:26" ht="13.5" customHeight="1" x14ac:dyDescent="0.25">
      <c r="A797" s="382"/>
      <c r="B797" s="355"/>
      <c r="C797" s="450"/>
      <c r="D797" s="450"/>
      <c r="E797" s="355"/>
      <c r="F797" s="355"/>
      <c r="G797" s="355"/>
      <c r="H797" s="355"/>
      <c r="I797" s="355"/>
      <c r="J797" s="355"/>
      <c r="K797" s="355"/>
      <c r="L797" s="355"/>
      <c r="M797" s="355"/>
      <c r="N797" s="355"/>
      <c r="O797" s="355"/>
      <c r="P797" s="355"/>
      <c r="Q797" s="355"/>
      <c r="R797" s="355"/>
      <c r="S797" s="355"/>
      <c r="T797" s="355"/>
      <c r="U797" s="355"/>
      <c r="V797" s="355"/>
      <c r="W797" s="355"/>
      <c r="X797" s="355"/>
      <c r="Y797" s="355"/>
      <c r="Z797" s="355"/>
    </row>
    <row r="798" spans="1:26" ht="13.5" customHeight="1" x14ac:dyDescent="0.25">
      <c r="A798" s="382"/>
      <c r="B798" s="355"/>
      <c r="C798" s="450"/>
      <c r="D798" s="450"/>
      <c r="E798" s="355"/>
      <c r="F798" s="355"/>
      <c r="G798" s="355"/>
      <c r="H798" s="355"/>
      <c r="I798" s="355"/>
      <c r="J798" s="355"/>
      <c r="K798" s="355"/>
      <c r="L798" s="355"/>
      <c r="M798" s="355"/>
      <c r="N798" s="355"/>
      <c r="O798" s="355"/>
      <c r="P798" s="355"/>
      <c r="Q798" s="355"/>
      <c r="R798" s="355"/>
      <c r="S798" s="355"/>
      <c r="T798" s="355"/>
      <c r="U798" s="355"/>
      <c r="V798" s="355"/>
      <c r="W798" s="355"/>
      <c r="X798" s="355"/>
      <c r="Y798" s="355"/>
      <c r="Z798" s="355"/>
    </row>
    <row r="799" spans="1:26" ht="13.5" customHeight="1" x14ac:dyDescent="0.25">
      <c r="A799" s="382"/>
      <c r="B799" s="355"/>
      <c r="C799" s="450"/>
      <c r="D799" s="450"/>
      <c r="E799" s="355"/>
      <c r="F799" s="355"/>
      <c r="G799" s="355"/>
      <c r="H799" s="355"/>
      <c r="I799" s="355"/>
      <c r="J799" s="355"/>
      <c r="K799" s="355"/>
      <c r="L799" s="355"/>
      <c r="M799" s="355"/>
      <c r="N799" s="355"/>
      <c r="O799" s="355"/>
      <c r="P799" s="355"/>
      <c r="Q799" s="355"/>
      <c r="R799" s="355"/>
      <c r="S799" s="355"/>
      <c r="T799" s="355"/>
      <c r="U799" s="355"/>
      <c r="V799" s="355"/>
      <c r="W799" s="355"/>
      <c r="X799" s="355"/>
      <c r="Y799" s="355"/>
      <c r="Z799" s="355"/>
    </row>
    <row r="800" spans="1:26" ht="13.5" customHeight="1" x14ac:dyDescent="0.25">
      <c r="A800" s="382"/>
      <c r="B800" s="355"/>
      <c r="C800" s="450"/>
      <c r="D800" s="450"/>
      <c r="E800" s="355"/>
      <c r="F800" s="355"/>
      <c r="G800" s="355"/>
      <c r="H800" s="355"/>
      <c r="I800" s="355"/>
      <c r="J800" s="355"/>
      <c r="K800" s="355"/>
      <c r="L800" s="355"/>
      <c r="M800" s="355"/>
      <c r="N800" s="355"/>
      <c r="O800" s="355"/>
      <c r="P800" s="355"/>
      <c r="Q800" s="355"/>
      <c r="R800" s="355"/>
      <c r="S800" s="355"/>
      <c r="T800" s="355"/>
      <c r="U800" s="355"/>
      <c r="V800" s="355"/>
      <c r="W800" s="355"/>
      <c r="X800" s="355"/>
      <c r="Y800" s="355"/>
      <c r="Z800" s="355"/>
    </row>
    <row r="801" spans="1:26" ht="13.5" customHeight="1" x14ac:dyDescent="0.25">
      <c r="A801" s="382"/>
      <c r="B801" s="355"/>
      <c r="C801" s="450"/>
      <c r="D801" s="450"/>
      <c r="E801" s="355"/>
      <c r="F801" s="355"/>
      <c r="G801" s="355"/>
      <c r="H801" s="355"/>
      <c r="I801" s="355"/>
      <c r="J801" s="355"/>
      <c r="K801" s="355"/>
      <c r="L801" s="355"/>
      <c r="M801" s="355"/>
      <c r="N801" s="355"/>
      <c r="O801" s="355"/>
      <c r="P801" s="355"/>
      <c r="Q801" s="355"/>
      <c r="R801" s="355"/>
      <c r="S801" s="355"/>
      <c r="T801" s="355"/>
      <c r="U801" s="355"/>
      <c r="V801" s="355"/>
      <c r="W801" s="355"/>
      <c r="X801" s="355"/>
      <c r="Y801" s="355"/>
      <c r="Z801" s="355"/>
    </row>
    <row r="802" spans="1:26" ht="13.5" customHeight="1" x14ac:dyDescent="0.25">
      <c r="A802" s="382"/>
      <c r="B802" s="355"/>
      <c r="C802" s="450"/>
      <c r="D802" s="450"/>
      <c r="E802" s="355"/>
      <c r="F802" s="355"/>
      <c r="G802" s="355"/>
      <c r="H802" s="355"/>
      <c r="I802" s="355"/>
      <c r="J802" s="355"/>
      <c r="K802" s="355"/>
      <c r="L802" s="355"/>
      <c r="M802" s="355"/>
      <c r="N802" s="355"/>
      <c r="O802" s="355"/>
      <c r="P802" s="355"/>
      <c r="Q802" s="355"/>
      <c r="R802" s="355"/>
      <c r="S802" s="355"/>
      <c r="T802" s="355"/>
      <c r="U802" s="355"/>
      <c r="V802" s="355"/>
      <c r="W802" s="355"/>
      <c r="X802" s="355"/>
      <c r="Y802" s="355"/>
      <c r="Z802" s="355"/>
    </row>
    <row r="803" spans="1:26" ht="13.5" customHeight="1" x14ac:dyDescent="0.25">
      <c r="A803" s="382"/>
      <c r="B803" s="355"/>
      <c r="C803" s="450"/>
      <c r="D803" s="450"/>
      <c r="E803" s="355"/>
      <c r="F803" s="355"/>
      <c r="G803" s="355"/>
      <c r="H803" s="355"/>
      <c r="I803" s="355"/>
      <c r="J803" s="355"/>
      <c r="K803" s="355"/>
      <c r="L803" s="355"/>
      <c r="M803" s="355"/>
      <c r="N803" s="355"/>
      <c r="O803" s="355"/>
      <c r="P803" s="355"/>
      <c r="Q803" s="355"/>
      <c r="R803" s="355"/>
      <c r="S803" s="355"/>
      <c r="T803" s="355"/>
      <c r="U803" s="355"/>
      <c r="V803" s="355"/>
      <c r="W803" s="355"/>
      <c r="X803" s="355"/>
      <c r="Y803" s="355"/>
      <c r="Z803" s="355"/>
    </row>
    <row r="804" spans="1:26" ht="13.5" customHeight="1" x14ac:dyDescent="0.25">
      <c r="A804" s="382"/>
      <c r="B804" s="355"/>
      <c r="C804" s="450"/>
      <c r="D804" s="450"/>
      <c r="E804" s="355"/>
      <c r="F804" s="355"/>
      <c r="G804" s="355"/>
      <c r="H804" s="355"/>
      <c r="I804" s="355"/>
      <c r="J804" s="355"/>
      <c r="K804" s="355"/>
      <c r="L804" s="355"/>
      <c r="M804" s="355"/>
      <c r="N804" s="355"/>
      <c r="O804" s="355"/>
      <c r="P804" s="355"/>
      <c r="Q804" s="355"/>
      <c r="R804" s="355"/>
      <c r="S804" s="355"/>
      <c r="T804" s="355"/>
      <c r="U804" s="355"/>
      <c r="V804" s="355"/>
      <c r="W804" s="355"/>
      <c r="X804" s="355"/>
      <c r="Y804" s="355"/>
      <c r="Z804" s="355"/>
    </row>
    <row r="805" spans="1:26" ht="13.5" customHeight="1" x14ac:dyDescent="0.25">
      <c r="A805" s="382"/>
      <c r="B805" s="355"/>
      <c r="C805" s="450"/>
      <c r="D805" s="450"/>
      <c r="E805" s="355"/>
      <c r="F805" s="355"/>
      <c r="G805" s="355"/>
      <c r="H805" s="355"/>
      <c r="I805" s="355"/>
      <c r="J805" s="355"/>
      <c r="K805" s="355"/>
      <c r="L805" s="355"/>
      <c r="M805" s="355"/>
      <c r="N805" s="355"/>
      <c r="O805" s="355"/>
      <c r="P805" s="355"/>
      <c r="Q805" s="355"/>
      <c r="R805" s="355"/>
      <c r="S805" s="355"/>
      <c r="T805" s="355"/>
      <c r="U805" s="355"/>
      <c r="V805" s="355"/>
      <c r="W805" s="355"/>
      <c r="X805" s="355"/>
      <c r="Y805" s="355"/>
      <c r="Z805" s="355"/>
    </row>
    <row r="806" spans="1:26" ht="13.5" customHeight="1" x14ac:dyDescent="0.25">
      <c r="A806" s="382"/>
      <c r="B806" s="355"/>
      <c r="C806" s="450"/>
      <c r="D806" s="450"/>
      <c r="E806" s="355"/>
      <c r="F806" s="355"/>
      <c r="G806" s="355"/>
      <c r="H806" s="355"/>
      <c r="I806" s="355"/>
      <c r="J806" s="355"/>
      <c r="K806" s="355"/>
      <c r="L806" s="355"/>
      <c r="M806" s="355"/>
      <c r="N806" s="355"/>
      <c r="O806" s="355"/>
      <c r="P806" s="355"/>
      <c r="Q806" s="355"/>
      <c r="R806" s="355"/>
      <c r="S806" s="355"/>
      <c r="T806" s="355"/>
      <c r="U806" s="355"/>
      <c r="V806" s="355"/>
      <c r="W806" s="355"/>
      <c r="X806" s="355"/>
      <c r="Y806" s="355"/>
      <c r="Z806" s="355"/>
    </row>
    <row r="807" spans="1:26" ht="13.5" customHeight="1" x14ac:dyDescent="0.25">
      <c r="A807" s="382"/>
      <c r="B807" s="355"/>
      <c r="C807" s="450"/>
      <c r="D807" s="450"/>
      <c r="E807" s="355"/>
      <c r="F807" s="355"/>
      <c r="G807" s="355"/>
      <c r="H807" s="355"/>
      <c r="I807" s="355"/>
      <c r="J807" s="355"/>
      <c r="K807" s="355"/>
      <c r="L807" s="355"/>
      <c r="M807" s="355"/>
      <c r="N807" s="355"/>
      <c r="O807" s="355"/>
      <c r="P807" s="355"/>
      <c r="Q807" s="355"/>
      <c r="R807" s="355"/>
      <c r="S807" s="355"/>
      <c r="T807" s="355"/>
      <c r="U807" s="355"/>
      <c r="V807" s="355"/>
      <c r="W807" s="355"/>
      <c r="X807" s="355"/>
      <c r="Y807" s="355"/>
      <c r="Z807" s="355"/>
    </row>
    <row r="808" spans="1:26" ht="13.5" customHeight="1" x14ac:dyDescent="0.25">
      <c r="A808" s="382"/>
      <c r="B808" s="355"/>
      <c r="C808" s="450"/>
      <c r="D808" s="450"/>
      <c r="E808" s="355"/>
      <c r="F808" s="355"/>
      <c r="G808" s="355"/>
      <c r="H808" s="355"/>
      <c r="I808" s="355"/>
      <c r="J808" s="355"/>
      <c r="K808" s="355"/>
      <c r="L808" s="355"/>
      <c r="M808" s="355"/>
      <c r="N808" s="355"/>
      <c r="O808" s="355"/>
      <c r="P808" s="355"/>
      <c r="Q808" s="355"/>
      <c r="R808" s="355"/>
      <c r="S808" s="355"/>
      <c r="T808" s="355"/>
      <c r="U808" s="355"/>
      <c r="V808" s="355"/>
      <c r="W808" s="355"/>
      <c r="X808" s="355"/>
      <c r="Y808" s="355"/>
      <c r="Z808" s="355"/>
    </row>
    <row r="809" spans="1:26" ht="13.5" customHeight="1" x14ac:dyDescent="0.25">
      <c r="A809" s="382"/>
      <c r="B809" s="355"/>
      <c r="C809" s="450"/>
      <c r="D809" s="450"/>
      <c r="E809" s="355"/>
      <c r="F809" s="355"/>
      <c r="G809" s="355"/>
      <c r="H809" s="355"/>
      <c r="I809" s="355"/>
      <c r="J809" s="355"/>
      <c r="K809" s="355"/>
      <c r="L809" s="355"/>
      <c r="M809" s="355"/>
      <c r="N809" s="355"/>
      <c r="O809" s="355"/>
      <c r="P809" s="355"/>
      <c r="Q809" s="355"/>
      <c r="R809" s="355"/>
      <c r="S809" s="355"/>
      <c r="T809" s="355"/>
      <c r="U809" s="355"/>
      <c r="V809" s="355"/>
      <c r="W809" s="355"/>
      <c r="X809" s="355"/>
      <c r="Y809" s="355"/>
      <c r="Z809" s="355"/>
    </row>
    <row r="810" spans="1:26" ht="13.5" customHeight="1" x14ac:dyDescent="0.25">
      <c r="A810" s="382"/>
      <c r="B810" s="355"/>
      <c r="C810" s="450"/>
      <c r="D810" s="450"/>
      <c r="E810" s="355"/>
      <c r="F810" s="355"/>
      <c r="G810" s="355"/>
      <c r="H810" s="355"/>
      <c r="I810" s="355"/>
      <c r="J810" s="355"/>
      <c r="K810" s="355"/>
      <c r="L810" s="355"/>
      <c r="M810" s="355"/>
      <c r="N810" s="355"/>
      <c r="O810" s="355"/>
      <c r="P810" s="355"/>
      <c r="Q810" s="355"/>
      <c r="R810" s="355"/>
      <c r="S810" s="355"/>
      <c r="T810" s="355"/>
      <c r="U810" s="355"/>
      <c r="V810" s="355"/>
      <c r="W810" s="355"/>
      <c r="X810" s="355"/>
      <c r="Y810" s="355"/>
      <c r="Z810" s="355"/>
    </row>
    <row r="811" spans="1:26" ht="13.5" customHeight="1" x14ac:dyDescent="0.25">
      <c r="A811" s="382"/>
      <c r="B811" s="355"/>
      <c r="C811" s="450"/>
      <c r="D811" s="450"/>
      <c r="E811" s="355"/>
      <c r="F811" s="355"/>
      <c r="G811" s="355"/>
      <c r="H811" s="355"/>
      <c r="I811" s="355"/>
      <c r="J811" s="355"/>
      <c r="K811" s="355"/>
      <c r="L811" s="355"/>
      <c r="M811" s="355"/>
      <c r="N811" s="355"/>
      <c r="O811" s="355"/>
      <c r="P811" s="355"/>
      <c r="Q811" s="355"/>
      <c r="R811" s="355"/>
      <c r="S811" s="355"/>
      <c r="T811" s="355"/>
      <c r="U811" s="355"/>
      <c r="V811" s="355"/>
      <c r="W811" s="355"/>
      <c r="X811" s="355"/>
      <c r="Y811" s="355"/>
      <c r="Z811" s="355"/>
    </row>
    <row r="812" spans="1:26" ht="13.5" customHeight="1" x14ac:dyDescent="0.25">
      <c r="A812" s="382"/>
      <c r="B812" s="355"/>
      <c r="C812" s="450"/>
      <c r="D812" s="450"/>
      <c r="E812" s="355"/>
      <c r="F812" s="355"/>
      <c r="G812" s="355"/>
      <c r="H812" s="355"/>
      <c r="I812" s="355"/>
      <c r="J812" s="355"/>
      <c r="K812" s="355"/>
      <c r="L812" s="355"/>
      <c r="M812" s="355"/>
      <c r="N812" s="355"/>
      <c r="O812" s="355"/>
      <c r="P812" s="355"/>
      <c r="Q812" s="355"/>
      <c r="R812" s="355"/>
      <c r="S812" s="355"/>
      <c r="T812" s="355"/>
      <c r="U812" s="355"/>
      <c r="V812" s="355"/>
      <c r="W812" s="355"/>
      <c r="X812" s="355"/>
      <c r="Y812" s="355"/>
      <c r="Z812" s="355"/>
    </row>
    <row r="813" spans="1:26" ht="13.5" customHeight="1" x14ac:dyDescent="0.25">
      <c r="A813" s="382"/>
      <c r="B813" s="355"/>
      <c r="C813" s="450"/>
      <c r="D813" s="450"/>
      <c r="E813" s="355"/>
      <c r="F813" s="355"/>
      <c r="G813" s="355"/>
      <c r="H813" s="355"/>
      <c r="I813" s="355"/>
      <c r="J813" s="355"/>
      <c r="K813" s="355"/>
      <c r="L813" s="355"/>
      <c r="M813" s="355"/>
      <c r="N813" s="355"/>
      <c r="O813" s="355"/>
      <c r="P813" s="355"/>
      <c r="Q813" s="355"/>
      <c r="R813" s="355"/>
      <c r="S813" s="355"/>
      <c r="T813" s="355"/>
      <c r="U813" s="355"/>
      <c r="V813" s="355"/>
      <c r="W813" s="355"/>
      <c r="X813" s="355"/>
      <c r="Y813" s="355"/>
      <c r="Z813" s="355"/>
    </row>
    <row r="814" spans="1:26" ht="13.5" customHeight="1" x14ac:dyDescent="0.25">
      <c r="A814" s="382"/>
      <c r="B814" s="355"/>
      <c r="C814" s="450"/>
      <c r="D814" s="450"/>
      <c r="E814" s="355"/>
      <c r="F814" s="355"/>
      <c r="G814" s="355"/>
      <c r="H814" s="355"/>
      <c r="I814" s="355"/>
      <c r="J814" s="355"/>
      <c r="K814" s="355"/>
      <c r="L814" s="355"/>
      <c r="M814" s="355"/>
      <c r="N814" s="355"/>
      <c r="O814" s="355"/>
      <c r="P814" s="355"/>
      <c r="Q814" s="355"/>
      <c r="R814" s="355"/>
      <c r="S814" s="355"/>
      <c r="T814" s="355"/>
      <c r="U814" s="355"/>
      <c r="V814" s="355"/>
      <c r="W814" s="355"/>
      <c r="X814" s="355"/>
      <c r="Y814" s="355"/>
      <c r="Z814" s="355"/>
    </row>
    <row r="815" spans="1:26" ht="13.5" customHeight="1" x14ac:dyDescent="0.25">
      <c r="A815" s="382"/>
      <c r="B815" s="355"/>
      <c r="C815" s="450"/>
      <c r="D815" s="450"/>
      <c r="E815" s="355"/>
      <c r="F815" s="355"/>
      <c r="G815" s="355"/>
      <c r="H815" s="355"/>
      <c r="I815" s="355"/>
      <c r="J815" s="355"/>
      <c r="K815" s="355"/>
      <c r="L815" s="355"/>
      <c r="M815" s="355"/>
      <c r="N815" s="355"/>
      <c r="O815" s="355"/>
      <c r="P815" s="355"/>
      <c r="Q815" s="355"/>
      <c r="R815" s="355"/>
      <c r="S815" s="355"/>
      <c r="T815" s="355"/>
      <c r="U815" s="355"/>
      <c r="V815" s="355"/>
      <c r="W815" s="355"/>
      <c r="X815" s="355"/>
      <c r="Y815" s="355"/>
      <c r="Z815" s="355"/>
    </row>
    <row r="816" spans="1:26" ht="13.5" customHeight="1" x14ac:dyDescent="0.25">
      <c r="A816" s="382"/>
      <c r="B816" s="355"/>
      <c r="C816" s="450"/>
      <c r="D816" s="450"/>
      <c r="E816" s="355"/>
      <c r="F816" s="355"/>
      <c r="G816" s="355"/>
      <c r="H816" s="355"/>
      <c r="I816" s="355"/>
      <c r="J816" s="355"/>
      <c r="K816" s="355"/>
      <c r="L816" s="355"/>
      <c r="M816" s="355"/>
      <c r="N816" s="355"/>
      <c r="O816" s="355"/>
      <c r="P816" s="355"/>
      <c r="Q816" s="355"/>
      <c r="R816" s="355"/>
      <c r="S816" s="355"/>
      <c r="T816" s="355"/>
      <c r="U816" s="355"/>
      <c r="V816" s="355"/>
      <c r="W816" s="355"/>
      <c r="X816" s="355"/>
      <c r="Y816" s="355"/>
      <c r="Z816" s="355"/>
    </row>
    <row r="817" spans="1:26" ht="13.5" customHeight="1" x14ac:dyDescent="0.25">
      <c r="A817" s="382"/>
      <c r="B817" s="355"/>
      <c r="C817" s="450"/>
      <c r="D817" s="450"/>
      <c r="E817" s="355"/>
      <c r="F817" s="355"/>
      <c r="G817" s="355"/>
      <c r="H817" s="355"/>
      <c r="I817" s="355"/>
      <c r="J817" s="355"/>
      <c r="K817" s="355"/>
      <c r="L817" s="355"/>
      <c r="M817" s="355"/>
      <c r="N817" s="355"/>
      <c r="O817" s="355"/>
      <c r="P817" s="355"/>
      <c r="Q817" s="355"/>
      <c r="R817" s="355"/>
      <c r="S817" s="355"/>
      <c r="T817" s="355"/>
      <c r="U817" s="355"/>
      <c r="V817" s="355"/>
      <c r="W817" s="355"/>
      <c r="X817" s="355"/>
      <c r="Y817" s="355"/>
      <c r="Z817" s="355"/>
    </row>
    <row r="818" spans="1:26" ht="13.5" customHeight="1" x14ac:dyDescent="0.25">
      <c r="A818" s="382"/>
      <c r="B818" s="355"/>
      <c r="C818" s="450"/>
      <c r="D818" s="450"/>
      <c r="E818" s="355"/>
      <c r="F818" s="355"/>
      <c r="G818" s="355"/>
      <c r="H818" s="355"/>
      <c r="I818" s="355"/>
      <c r="J818" s="355"/>
      <c r="K818" s="355"/>
      <c r="L818" s="355"/>
      <c r="M818" s="355"/>
      <c r="N818" s="355"/>
      <c r="O818" s="355"/>
      <c r="P818" s="355"/>
      <c r="Q818" s="355"/>
      <c r="R818" s="355"/>
      <c r="S818" s="355"/>
      <c r="T818" s="355"/>
      <c r="U818" s="355"/>
      <c r="V818" s="355"/>
      <c r="W818" s="355"/>
      <c r="X818" s="355"/>
      <c r="Y818" s="355"/>
      <c r="Z818" s="355"/>
    </row>
    <row r="819" spans="1:26" ht="13.5" customHeight="1" x14ac:dyDescent="0.25">
      <c r="A819" s="382"/>
      <c r="B819" s="355"/>
      <c r="C819" s="450"/>
      <c r="D819" s="450"/>
      <c r="E819" s="355"/>
      <c r="F819" s="355"/>
      <c r="G819" s="355"/>
      <c r="H819" s="355"/>
      <c r="I819" s="355"/>
      <c r="J819" s="355"/>
      <c r="K819" s="355"/>
      <c r="L819" s="355"/>
      <c r="M819" s="355"/>
      <c r="N819" s="355"/>
      <c r="O819" s="355"/>
      <c r="P819" s="355"/>
      <c r="Q819" s="355"/>
      <c r="R819" s="355"/>
      <c r="S819" s="355"/>
      <c r="T819" s="355"/>
      <c r="U819" s="355"/>
      <c r="V819" s="355"/>
      <c r="W819" s="355"/>
      <c r="X819" s="355"/>
      <c r="Y819" s="355"/>
      <c r="Z819" s="355"/>
    </row>
    <row r="820" spans="1:26" ht="13.5" customHeight="1" x14ac:dyDescent="0.25">
      <c r="A820" s="382"/>
      <c r="B820" s="355"/>
      <c r="C820" s="450"/>
      <c r="D820" s="450"/>
      <c r="E820" s="355"/>
      <c r="F820" s="355"/>
      <c r="G820" s="355"/>
      <c r="H820" s="355"/>
      <c r="I820" s="355"/>
      <c r="J820" s="355"/>
      <c r="K820" s="355"/>
      <c r="L820" s="355"/>
      <c r="M820" s="355"/>
      <c r="N820" s="355"/>
      <c r="O820" s="355"/>
      <c r="P820" s="355"/>
      <c r="Q820" s="355"/>
      <c r="R820" s="355"/>
      <c r="S820" s="355"/>
      <c r="T820" s="355"/>
      <c r="U820" s="355"/>
      <c r="V820" s="355"/>
      <c r="W820" s="355"/>
      <c r="X820" s="355"/>
      <c r="Y820" s="355"/>
      <c r="Z820" s="355"/>
    </row>
    <row r="821" spans="1:26" ht="13.5" customHeight="1" x14ac:dyDescent="0.25">
      <c r="A821" s="382"/>
      <c r="B821" s="355"/>
      <c r="C821" s="450"/>
      <c r="D821" s="450"/>
      <c r="E821" s="355"/>
      <c r="F821" s="355"/>
      <c r="G821" s="355"/>
      <c r="H821" s="355"/>
      <c r="I821" s="355"/>
      <c r="J821" s="355"/>
      <c r="K821" s="355"/>
      <c r="L821" s="355"/>
      <c r="M821" s="355"/>
      <c r="N821" s="355"/>
      <c r="O821" s="355"/>
      <c r="P821" s="355"/>
      <c r="Q821" s="355"/>
      <c r="R821" s="355"/>
      <c r="S821" s="355"/>
      <c r="T821" s="355"/>
      <c r="U821" s="355"/>
      <c r="V821" s="355"/>
      <c r="W821" s="355"/>
      <c r="X821" s="355"/>
      <c r="Y821" s="355"/>
      <c r="Z821" s="355"/>
    </row>
    <row r="822" spans="1:26" ht="13.5" customHeight="1" x14ac:dyDescent="0.25">
      <c r="A822" s="382"/>
      <c r="B822" s="355"/>
      <c r="C822" s="450"/>
      <c r="D822" s="450"/>
      <c r="E822" s="355"/>
      <c r="F822" s="355"/>
      <c r="G822" s="355"/>
      <c r="H822" s="355"/>
      <c r="I822" s="355"/>
      <c r="J822" s="355"/>
      <c r="K822" s="355"/>
      <c r="L822" s="355"/>
      <c r="M822" s="355"/>
      <c r="N822" s="355"/>
      <c r="O822" s="355"/>
      <c r="P822" s="355"/>
      <c r="Q822" s="355"/>
      <c r="R822" s="355"/>
      <c r="S822" s="355"/>
      <c r="T822" s="355"/>
      <c r="U822" s="355"/>
      <c r="V822" s="355"/>
      <c r="W822" s="355"/>
      <c r="X822" s="355"/>
      <c r="Y822" s="355"/>
      <c r="Z822" s="355"/>
    </row>
    <row r="823" spans="1:26" ht="13.5" customHeight="1" x14ac:dyDescent="0.25">
      <c r="A823" s="382"/>
      <c r="B823" s="355"/>
      <c r="C823" s="450"/>
      <c r="D823" s="450"/>
      <c r="E823" s="355"/>
      <c r="F823" s="355"/>
      <c r="G823" s="355"/>
      <c r="H823" s="355"/>
      <c r="I823" s="355"/>
      <c r="J823" s="355"/>
      <c r="K823" s="355"/>
      <c r="L823" s="355"/>
      <c r="M823" s="355"/>
      <c r="N823" s="355"/>
      <c r="O823" s="355"/>
      <c r="P823" s="355"/>
      <c r="Q823" s="355"/>
      <c r="R823" s="355"/>
      <c r="S823" s="355"/>
      <c r="T823" s="355"/>
      <c r="U823" s="355"/>
      <c r="V823" s="355"/>
      <c r="W823" s="355"/>
      <c r="X823" s="355"/>
      <c r="Y823" s="355"/>
      <c r="Z823" s="355"/>
    </row>
    <row r="824" spans="1:26" ht="13.5" customHeight="1" x14ac:dyDescent="0.25">
      <c r="A824" s="382"/>
      <c r="B824" s="355"/>
      <c r="C824" s="450"/>
      <c r="D824" s="450"/>
      <c r="E824" s="355"/>
      <c r="F824" s="355"/>
      <c r="G824" s="355"/>
      <c r="H824" s="355"/>
      <c r="I824" s="355"/>
      <c r="J824" s="355"/>
      <c r="K824" s="355"/>
      <c r="L824" s="355"/>
      <c r="M824" s="355"/>
      <c r="N824" s="355"/>
      <c r="O824" s="355"/>
      <c r="P824" s="355"/>
      <c r="Q824" s="355"/>
      <c r="R824" s="355"/>
      <c r="S824" s="355"/>
      <c r="T824" s="355"/>
      <c r="U824" s="355"/>
      <c r="V824" s="355"/>
      <c r="W824" s="355"/>
      <c r="X824" s="355"/>
      <c r="Y824" s="355"/>
      <c r="Z824" s="355"/>
    </row>
    <row r="825" spans="1:26" ht="13.5" customHeight="1" x14ac:dyDescent="0.25">
      <c r="A825" s="382"/>
      <c r="B825" s="355"/>
      <c r="C825" s="450"/>
      <c r="D825" s="450"/>
      <c r="E825" s="355"/>
      <c r="F825" s="355"/>
      <c r="G825" s="355"/>
      <c r="H825" s="355"/>
      <c r="I825" s="355"/>
      <c r="J825" s="355"/>
      <c r="K825" s="355"/>
      <c r="L825" s="355"/>
      <c r="M825" s="355"/>
      <c r="N825" s="355"/>
      <c r="O825" s="355"/>
      <c r="P825" s="355"/>
      <c r="Q825" s="355"/>
      <c r="R825" s="355"/>
      <c r="S825" s="355"/>
      <c r="T825" s="355"/>
      <c r="U825" s="355"/>
      <c r="V825" s="355"/>
      <c r="W825" s="355"/>
      <c r="X825" s="355"/>
      <c r="Y825" s="355"/>
      <c r="Z825" s="355"/>
    </row>
    <row r="826" spans="1:26" ht="13.5" customHeight="1" x14ac:dyDescent="0.25">
      <c r="A826" s="382"/>
      <c r="B826" s="355"/>
      <c r="C826" s="450"/>
      <c r="D826" s="450"/>
      <c r="E826" s="355"/>
      <c r="F826" s="355"/>
      <c r="G826" s="355"/>
      <c r="H826" s="355"/>
      <c r="I826" s="355"/>
      <c r="J826" s="355"/>
      <c r="K826" s="355"/>
      <c r="L826" s="355"/>
      <c r="M826" s="355"/>
      <c r="N826" s="355"/>
      <c r="O826" s="355"/>
      <c r="P826" s="355"/>
      <c r="Q826" s="355"/>
      <c r="R826" s="355"/>
      <c r="S826" s="355"/>
      <c r="T826" s="355"/>
      <c r="U826" s="355"/>
      <c r="V826" s="355"/>
      <c r="W826" s="355"/>
      <c r="X826" s="355"/>
      <c r="Y826" s="355"/>
      <c r="Z826" s="355"/>
    </row>
    <row r="827" spans="1:26" ht="13.5" customHeight="1" x14ac:dyDescent="0.25">
      <c r="A827" s="382"/>
      <c r="B827" s="355"/>
      <c r="C827" s="450"/>
      <c r="D827" s="450"/>
      <c r="E827" s="355"/>
      <c r="F827" s="355"/>
      <c r="G827" s="355"/>
      <c r="H827" s="355"/>
      <c r="I827" s="355"/>
      <c r="J827" s="355"/>
      <c r="K827" s="355"/>
      <c r="L827" s="355"/>
      <c r="M827" s="355"/>
      <c r="N827" s="355"/>
      <c r="O827" s="355"/>
      <c r="P827" s="355"/>
      <c r="Q827" s="355"/>
      <c r="R827" s="355"/>
      <c r="S827" s="355"/>
      <c r="T827" s="355"/>
      <c r="U827" s="355"/>
      <c r="V827" s="355"/>
      <c r="W827" s="355"/>
      <c r="X827" s="355"/>
      <c r="Y827" s="355"/>
      <c r="Z827" s="355"/>
    </row>
    <row r="828" spans="1:26" ht="13.5" customHeight="1" x14ac:dyDescent="0.25">
      <c r="A828" s="382"/>
      <c r="B828" s="355"/>
      <c r="C828" s="450"/>
      <c r="D828" s="450"/>
      <c r="E828" s="355"/>
      <c r="F828" s="355"/>
      <c r="G828" s="355"/>
      <c r="H828" s="355"/>
      <c r="I828" s="355"/>
      <c r="J828" s="355"/>
      <c r="K828" s="355"/>
      <c r="L828" s="355"/>
      <c r="M828" s="355"/>
      <c r="N828" s="355"/>
      <c r="O828" s="355"/>
      <c r="P828" s="355"/>
      <c r="Q828" s="355"/>
      <c r="R828" s="355"/>
      <c r="S828" s="355"/>
      <c r="T828" s="355"/>
      <c r="U828" s="355"/>
      <c r="V828" s="355"/>
      <c r="W828" s="355"/>
      <c r="X828" s="355"/>
      <c r="Y828" s="355"/>
      <c r="Z828" s="355"/>
    </row>
    <row r="829" spans="1:26" ht="13.5" customHeight="1" x14ac:dyDescent="0.25">
      <c r="A829" s="382"/>
      <c r="B829" s="355"/>
      <c r="C829" s="450"/>
      <c r="D829" s="450"/>
      <c r="E829" s="355"/>
      <c r="F829" s="355"/>
      <c r="G829" s="355"/>
      <c r="H829" s="355"/>
      <c r="I829" s="355"/>
      <c r="J829" s="355"/>
      <c r="K829" s="355"/>
      <c r="L829" s="355"/>
      <c r="M829" s="355"/>
      <c r="N829" s="355"/>
      <c r="O829" s="355"/>
      <c r="P829" s="355"/>
      <c r="Q829" s="355"/>
      <c r="R829" s="355"/>
      <c r="S829" s="355"/>
      <c r="T829" s="355"/>
      <c r="U829" s="355"/>
      <c r="V829" s="355"/>
      <c r="W829" s="355"/>
      <c r="X829" s="355"/>
      <c r="Y829" s="355"/>
      <c r="Z829" s="355"/>
    </row>
    <row r="830" spans="1:26" ht="13.5" customHeight="1" x14ac:dyDescent="0.25">
      <c r="A830" s="382"/>
      <c r="B830" s="355"/>
      <c r="C830" s="450"/>
      <c r="D830" s="450"/>
      <c r="E830" s="355"/>
      <c r="F830" s="355"/>
      <c r="G830" s="355"/>
      <c r="H830" s="355"/>
      <c r="I830" s="355"/>
      <c r="J830" s="355"/>
      <c r="K830" s="355"/>
      <c r="L830" s="355"/>
      <c r="M830" s="355"/>
      <c r="N830" s="355"/>
      <c r="O830" s="355"/>
      <c r="P830" s="355"/>
      <c r="Q830" s="355"/>
      <c r="R830" s="355"/>
      <c r="S830" s="355"/>
      <c r="T830" s="355"/>
      <c r="U830" s="355"/>
      <c r="V830" s="355"/>
      <c r="W830" s="355"/>
      <c r="X830" s="355"/>
      <c r="Y830" s="355"/>
      <c r="Z830" s="355"/>
    </row>
    <row r="831" spans="1:26" ht="13.5" customHeight="1" x14ac:dyDescent="0.25">
      <c r="A831" s="382"/>
      <c r="B831" s="355"/>
      <c r="C831" s="450"/>
      <c r="D831" s="450"/>
      <c r="E831" s="355"/>
      <c r="F831" s="355"/>
      <c r="G831" s="355"/>
      <c r="H831" s="355"/>
      <c r="I831" s="355"/>
      <c r="J831" s="355"/>
      <c r="K831" s="355"/>
      <c r="L831" s="355"/>
      <c r="M831" s="355"/>
      <c r="N831" s="355"/>
      <c r="O831" s="355"/>
      <c r="P831" s="355"/>
      <c r="Q831" s="355"/>
      <c r="R831" s="355"/>
      <c r="S831" s="355"/>
      <c r="T831" s="355"/>
      <c r="U831" s="355"/>
      <c r="V831" s="355"/>
      <c r="W831" s="355"/>
      <c r="X831" s="355"/>
      <c r="Y831" s="355"/>
      <c r="Z831" s="355"/>
    </row>
    <row r="832" spans="1:26" ht="13.5" customHeight="1" x14ac:dyDescent="0.25">
      <c r="A832" s="382"/>
      <c r="B832" s="355"/>
      <c r="C832" s="450"/>
      <c r="D832" s="450"/>
      <c r="E832" s="355"/>
      <c r="F832" s="355"/>
      <c r="G832" s="355"/>
      <c r="H832" s="355"/>
      <c r="I832" s="355"/>
      <c r="J832" s="355"/>
      <c r="K832" s="355"/>
      <c r="L832" s="355"/>
      <c r="M832" s="355"/>
      <c r="N832" s="355"/>
      <c r="O832" s="355"/>
      <c r="P832" s="355"/>
      <c r="Q832" s="355"/>
      <c r="R832" s="355"/>
      <c r="S832" s="355"/>
      <c r="T832" s="355"/>
      <c r="U832" s="355"/>
      <c r="V832" s="355"/>
      <c r="W832" s="355"/>
      <c r="X832" s="355"/>
      <c r="Y832" s="355"/>
      <c r="Z832" s="355"/>
    </row>
    <row r="833" spans="1:26" ht="13.5" customHeight="1" x14ac:dyDescent="0.25">
      <c r="A833" s="382"/>
      <c r="B833" s="355"/>
      <c r="C833" s="450"/>
      <c r="D833" s="450"/>
      <c r="E833" s="355"/>
      <c r="F833" s="355"/>
      <c r="G833" s="355"/>
      <c r="H833" s="355"/>
      <c r="I833" s="355"/>
      <c r="J833" s="355"/>
      <c r="K833" s="355"/>
      <c r="L833" s="355"/>
      <c r="M833" s="355"/>
      <c r="N833" s="355"/>
      <c r="O833" s="355"/>
      <c r="P833" s="355"/>
      <c r="Q833" s="355"/>
      <c r="R833" s="355"/>
      <c r="S833" s="355"/>
      <c r="T833" s="355"/>
      <c r="U833" s="355"/>
      <c r="V833" s="355"/>
      <c r="W833" s="355"/>
      <c r="X833" s="355"/>
      <c r="Y833" s="355"/>
      <c r="Z833" s="355"/>
    </row>
    <row r="834" spans="1:26" ht="13.5" customHeight="1" x14ac:dyDescent="0.25">
      <c r="A834" s="382"/>
      <c r="B834" s="355"/>
      <c r="C834" s="450"/>
      <c r="D834" s="450"/>
      <c r="E834" s="355"/>
      <c r="F834" s="355"/>
      <c r="G834" s="355"/>
      <c r="H834" s="355"/>
      <c r="I834" s="355"/>
      <c r="J834" s="355"/>
      <c r="K834" s="355"/>
      <c r="L834" s="355"/>
      <c r="M834" s="355"/>
      <c r="N834" s="355"/>
      <c r="O834" s="355"/>
      <c r="P834" s="355"/>
      <c r="Q834" s="355"/>
      <c r="R834" s="355"/>
      <c r="S834" s="355"/>
      <c r="T834" s="355"/>
      <c r="U834" s="355"/>
      <c r="V834" s="355"/>
      <c r="W834" s="355"/>
      <c r="X834" s="355"/>
      <c r="Y834" s="355"/>
      <c r="Z834" s="355"/>
    </row>
    <row r="835" spans="1:26" ht="13.5" customHeight="1" x14ac:dyDescent="0.25">
      <c r="A835" s="382"/>
      <c r="B835" s="355"/>
      <c r="C835" s="450"/>
      <c r="D835" s="450"/>
      <c r="E835" s="355"/>
      <c r="F835" s="355"/>
      <c r="G835" s="355"/>
      <c r="H835" s="355"/>
      <c r="I835" s="355"/>
      <c r="J835" s="355"/>
      <c r="K835" s="355"/>
      <c r="L835" s="355"/>
      <c r="M835" s="355"/>
      <c r="N835" s="355"/>
      <c r="O835" s="355"/>
      <c r="P835" s="355"/>
      <c r="Q835" s="355"/>
      <c r="R835" s="355"/>
      <c r="S835" s="355"/>
      <c r="T835" s="355"/>
      <c r="U835" s="355"/>
      <c r="V835" s="355"/>
      <c r="W835" s="355"/>
      <c r="X835" s="355"/>
      <c r="Y835" s="355"/>
      <c r="Z835" s="355"/>
    </row>
    <row r="836" spans="1:26" ht="13.5" customHeight="1" x14ac:dyDescent="0.25">
      <c r="A836" s="382"/>
      <c r="B836" s="355"/>
      <c r="C836" s="450"/>
      <c r="D836" s="450"/>
      <c r="E836" s="355"/>
      <c r="F836" s="355"/>
      <c r="G836" s="355"/>
      <c r="H836" s="355"/>
      <c r="I836" s="355"/>
      <c r="J836" s="355"/>
      <c r="K836" s="355"/>
      <c r="L836" s="355"/>
      <c r="M836" s="355"/>
      <c r="N836" s="355"/>
      <c r="O836" s="355"/>
      <c r="P836" s="355"/>
      <c r="Q836" s="355"/>
      <c r="R836" s="355"/>
      <c r="S836" s="355"/>
      <c r="T836" s="355"/>
      <c r="U836" s="355"/>
      <c r="V836" s="355"/>
      <c r="W836" s="355"/>
      <c r="X836" s="355"/>
      <c r="Y836" s="355"/>
      <c r="Z836" s="355"/>
    </row>
    <row r="837" spans="1:26" ht="13.5" customHeight="1" x14ac:dyDescent="0.25">
      <c r="A837" s="382"/>
      <c r="B837" s="355"/>
      <c r="C837" s="450"/>
      <c r="D837" s="450"/>
      <c r="E837" s="355"/>
      <c r="F837" s="355"/>
      <c r="G837" s="355"/>
      <c r="H837" s="355"/>
      <c r="I837" s="355"/>
      <c r="J837" s="355"/>
      <c r="K837" s="355"/>
      <c r="L837" s="355"/>
      <c r="M837" s="355"/>
      <c r="N837" s="355"/>
      <c r="O837" s="355"/>
      <c r="P837" s="355"/>
      <c r="Q837" s="355"/>
      <c r="R837" s="355"/>
      <c r="S837" s="355"/>
      <c r="T837" s="355"/>
      <c r="U837" s="355"/>
      <c r="V837" s="355"/>
      <c r="W837" s="355"/>
      <c r="X837" s="355"/>
      <c r="Y837" s="355"/>
      <c r="Z837" s="355"/>
    </row>
    <row r="838" spans="1:26" ht="13.5" customHeight="1" x14ac:dyDescent="0.25">
      <c r="A838" s="382"/>
      <c r="B838" s="355"/>
      <c r="C838" s="450"/>
      <c r="D838" s="450"/>
      <c r="E838" s="355"/>
      <c r="F838" s="355"/>
      <c r="G838" s="355"/>
      <c r="H838" s="355"/>
      <c r="I838" s="355"/>
      <c r="J838" s="355"/>
      <c r="K838" s="355"/>
      <c r="L838" s="355"/>
      <c r="M838" s="355"/>
      <c r="N838" s="355"/>
      <c r="O838" s="355"/>
      <c r="P838" s="355"/>
      <c r="Q838" s="355"/>
      <c r="R838" s="355"/>
      <c r="S838" s="355"/>
      <c r="T838" s="355"/>
      <c r="U838" s="355"/>
      <c r="V838" s="355"/>
      <c r="W838" s="355"/>
      <c r="X838" s="355"/>
      <c r="Y838" s="355"/>
      <c r="Z838" s="355"/>
    </row>
    <row r="839" spans="1:26" ht="13.5" customHeight="1" x14ac:dyDescent="0.25">
      <c r="A839" s="382"/>
      <c r="B839" s="355"/>
      <c r="C839" s="450"/>
      <c r="D839" s="450"/>
      <c r="E839" s="355"/>
      <c r="F839" s="355"/>
      <c r="G839" s="355"/>
      <c r="H839" s="355"/>
      <c r="I839" s="355"/>
      <c r="J839" s="355"/>
      <c r="K839" s="355"/>
      <c r="L839" s="355"/>
      <c r="M839" s="355"/>
      <c r="N839" s="355"/>
      <c r="O839" s="355"/>
      <c r="P839" s="355"/>
      <c r="Q839" s="355"/>
      <c r="R839" s="355"/>
      <c r="S839" s="355"/>
      <c r="T839" s="355"/>
      <c r="U839" s="355"/>
      <c r="V839" s="355"/>
      <c r="W839" s="355"/>
      <c r="X839" s="355"/>
      <c r="Y839" s="355"/>
      <c r="Z839" s="355"/>
    </row>
    <row r="840" spans="1:26" ht="13.5" customHeight="1" x14ac:dyDescent="0.25">
      <c r="A840" s="382"/>
      <c r="B840" s="355"/>
      <c r="C840" s="450"/>
      <c r="D840" s="450"/>
      <c r="E840" s="355"/>
      <c r="F840" s="355"/>
      <c r="G840" s="355"/>
      <c r="H840" s="355"/>
      <c r="I840" s="355"/>
      <c r="J840" s="355"/>
      <c r="K840" s="355"/>
      <c r="L840" s="355"/>
      <c r="M840" s="355"/>
      <c r="N840" s="355"/>
      <c r="O840" s="355"/>
      <c r="P840" s="355"/>
      <c r="Q840" s="355"/>
      <c r="R840" s="355"/>
      <c r="S840" s="355"/>
      <c r="T840" s="355"/>
      <c r="U840" s="355"/>
      <c r="V840" s="355"/>
      <c r="W840" s="355"/>
      <c r="X840" s="355"/>
      <c r="Y840" s="355"/>
      <c r="Z840" s="355"/>
    </row>
    <row r="841" spans="1:26" ht="13.5" customHeight="1" x14ac:dyDescent="0.25">
      <c r="A841" s="382"/>
      <c r="B841" s="355"/>
      <c r="C841" s="450"/>
      <c r="D841" s="450"/>
      <c r="E841" s="355"/>
      <c r="F841" s="355"/>
      <c r="G841" s="355"/>
      <c r="H841" s="355"/>
      <c r="I841" s="355"/>
      <c r="J841" s="355"/>
      <c r="K841" s="355"/>
      <c r="L841" s="355"/>
      <c r="M841" s="355"/>
      <c r="N841" s="355"/>
      <c r="O841" s="355"/>
      <c r="P841" s="355"/>
      <c r="Q841" s="355"/>
      <c r="R841" s="355"/>
      <c r="S841" s="355"/>
      <c r="T841" s="355"/>
      <c r="U841" s="355"/>
      <c r="V841" s="355"/>
      <c r="W841" s="355"/>
      <c r="X841" s="355"/>
      <c r="Y841" s="355"/>
      <c r="Z841" s="355"/>
    </row>
    <row r="842" spans="1:26" ht="13.5" customHeight="1" x14ac:dyDescent="0.25">
      <c r="A842" s="382"/>
      <c r="B842" s="355"/>
      <c r="C842" s="450"/>
      <c r="D842" s="450"/>
      <c r="E842" s="355"/>
      <c r="F842" s="355"/>
      <c r="G842" s="355"/>
      <c r="H842" s="355"/>
      <c r="I842" s="355"/>
      <c r="J842" s="355"/>
      <c r="K842" s="355"/>
      <c r="L842" s="355"/>
      <c r="M842" s="355"/>
      <c r="N842" s="355"/>
      <c r="O842" s="355"/>
      <c r="P842" s="355"/>
      <c r="Q842" s="355"/>
      <c r="R842" s="355"/>
      <c r="S842" s="355"/>
      <c r="T842" s="355"/>
      <c r="U842" s="355"/>
      <c r="V842" s="355"/>
      <c r="W842" s="355"/>
      <c r="X842" s="355"/>
      <c r="Y842" s="355"/>
      <c r="Z842" s="355"/>
    </row>
    <row r="843" spans="1:26" ht="13.5" customHeight="1" x14ac:dyDescent="0.25">
      <c r="A843" s="382"/>
      <c r="B843" s="355"/>
      <c r="C843" s="450"/>
      <c r="D843" s="450"/>
      <c r="E843" s="355"/>
      <c r="F843" s="355"/>
      <c r="G843" s="355"/>
      <c r="H843" s="355"/>
      <c r="I843" s="355"/>
      <c r="J843" s="355"/>
      <c r="K843" s="355"/>
      <c r="L843" s="355"/>
      <c r="M843" s="355"/>
      <c r="N843" s="355"/>
      <c r="O843" s="355"/>
      <c r="P843" s="355"/>
      <c r="Q843" s="355"/>
      <c r="R843" s="355"/>
      <c r="S843" s="355"/>
      <c r="T843" s="355"/>
      <c r="U843" s="355"/>
      <c r="V843" s="355"/>
      <c r="W843" s="355"/>
      <c r="X843" s="355"/>
      <c r="Y843" s="355"/>
      <c r="Z843" s="355"/>
    </row>
    <row r="844" spans="1:26" ht="13.5" customHeight="1" x14ac:dyDescent="0.25">
      <c r="A844" s="382"/>
      <c r="B844" s="355"/>
      <c r="C844" s="450"/>
      <c r="D844" s="450"/>
      <c r="E844" s="355"/>
      <c r="F844" s="355"/>
      <c r="G844" s="355"/>
      <c r="H844" s="355"/>
      <c r="I844" s="355"/>
      <c r="J844" s="355"/>
      <c r="K844" s="355"/>
      <c r="L844" s="355"/>
      <c r="M844" s="355"/>
      <c r="N844" s="355"/>
      <c r="O844" s="355"/>
      <c r="P844" s="355"/>
      <c r="Q844" s="355"/>
      <c r="R844" s="355"/>
      <c r="S844" s="355"/>
      <c r="T844" s="355"/>
      <c r="U844" s="355"/>
      <c r="V844" s="355"/>
      <c r="W844" s="355"/>
      <c r="X844" s="355"/>
      <c r="Y844" s="355"/>
      <c r="Z844" s="355"/>
    </row>
    <row r="845" spans="1:26" ht="13.5" customHeight="1" x14ac:dyDescent="0.25">
      <c r="A845" s="382"/>
      <c r="B845" s="355"/>
      <c r="C845" s="450"/>
      <c r="D845" s="450"/>
      <c r="E845" s="355"/>
      <c r="F845" s="355"/>
      <c r="G845" s="355"/>
      <c r="H845" s="355"/>
      <c r="I845" s="355"/>
      <c r="J845" s="355"/>
      <c r="K845" s="355"/>
      <c r="L845" s="355"/>
      <c r="M845" s="355"/>
      <c r="N845" s="355"/>
      <c r="O845" s="355"/>
      <c r="P845" s="355"/>
      <c r="Q845" s="355"/>
      <c r="R845" s="355"/>
      <c r="S845" s="355"/>
      <c r="T845" s="355"/>
      <c r="U845" s="355"/>
      <c r="V845" s="355"/>
      <c r="W845" s="355"/>
      <c r="X845" s="355"/>
      <c r="Y845" s="355"/>
      <c r="Z845" s="355"/>
    </row>
    <row r="846" spans="1:26" ht="13.5" customHeight="1" x14ac:dyDescent="0.25">
      <c r="A846" s="382"/>
      <c r="B846" s="355"/>
      <c r="C846" s="450"/>
      <c r="D846" s="450"/>
      <c r="E846" s="355"/>
      <c r="F846" s="355"/>
      <c r="G846" s="355"/>
      <c r="H846" s="355"/>
      <c r="I846" s="355"/>
      <c r="J846" s="355"/>
      <c r="K846" s="355"/>
      <c r="L846" s="355"/>
      <c r="M846" s="355"/>
      <c r="N846" s="355"/>
      <c r="O846" s="355"/>
      <c r="P846" s="355"/>
      <c r="Q846" s="355"/>
      <c r="R846" s="355"/>
      <c r="S846" s="355"/>
      <c r="T846" s="355"/>
      <c r="U846" s="355"/>
      <c r="V846" s="355"/>
      <c r="W846" s="355"/>
      <c r="X846" s="355"/>
      <c r="Y846" s="355"/>
      <c r="Z846" s="355"/>
    </row>
    <row r="847" spans="1:26" ht="13.5" customHeight="1" x14ac:dyDescent="0.25">
      <c r="A847" s="382"/>
      <c r="B847" s="355"/>
      <c r="C847" s="450"/>
      <c r="D847" s="450"/>
      <c r="E847" s="355"/>
      <c r="F847" s="355"/>
      <c r="G847" s="355"/>
      <c r="H847" s="355"/>
      <c r="I847" s="355"/>
      <c r="J847" s="355"/>
      <c r="K847" s="355"/>
      <c r="L847" s="355"/>
      <c r="M847" s="355"/>
      <c r="N847" s="355"/>
      <c r="O847" s="355"/>
      <c r="P847" s="355"/>
      <c r="Q847" s="355"/>
      <c r="R847" s="355"/>
      <c r="S847" s="355"/>
      <c r="T847" s="355"/>
      <c r="U847" s="355"/>
      <c r="V847" s="355"/>
      <c r="W847" s="355"/>
      <c r="X847" s="355"/>
      <c r="Y847" s="355"/>
      <c r="Z847" s="355"/>
    </row>
    <row r="848" spans="1:26" ht="13.5" customHeight="1" x14ac:dyDescent="0.25">
      <c r="A848" s="382"/>
      <c r="B848" s="355"/>
      <c r="C848" s="450"/>
      <c r="D848" s="450"/>
      <c r="E848" s="355"/>
      <c r="F848" s="355"/>
      <c r="G848" s="355"/>
      <c r="H848" s="355"/>
      <c r="I848" s="355"/>
      <c r="J848" s="355"/>
      <c r="K848" s="355"/>
      <c r="L848" s="355"/>
      <c r="M848" s="355"/>
      <c r="N848" s="355"/>
      <c r="O848" s="355"/>
      <c r="P848" s="355"/>
      <c r="Q848" s="355"/>
      <c r="R848" s="355"/>
      <c r="S848" s="355"/>
      <c r="T848" s="355"/>
      <c r="U848" s="355"/>
      <c r="V848" s="355"/>
      <c r="W848" s="355"/>
      <c r="X848" s="355"/>
      <c r="Y848" s="355"/>
      <c r="Z848" s="355"/>
    </row>
    <row r="849" spans="1:26" ht="13.5" customHeight="1" x14ac:dyDescent="0.25">
      <c r="A849" s="382"/>
      <c r="B849" s="355"/>
      <c r="C849" s="450"/>
      <c r="D849" s="450"/>
      <c r="E849" s="355"/>
      <c r="F849" s="355"/>
      <c r="G849" s="355"/>
      <c r="H849" s="355"/>
      <c r="I849" s="355"/>
      <c r="J849" s="355"/>
      <c r="K849" s="355"/>
      <c r="L849" s="355"/>
      <c r="M849" s="355"/>
      <c r="N849" s="355"/>
      <c r="O849" s="355"/>
      <c r="P849" s="355"/>
      <c r="Q849" s="355"/>
      <c r="R849" s="355"/>
      <c r="S849" s="355"/>
      <c r="T849" s="355"/>
      <c r="U849" s="355"/>
      <c r="V849" s="355"/>
      <c r="W849" s="355"/>
      <c r="X849" s="355"/>
      <c r="Y849" s="355"/>
      <c r="Z849" s="355"/>
    </row>
    <row r="850" spans="1:26" ht="13.5" customHeight="1" x14ac:dyDescent="0.25">
      <c r="A850" s="382"/>
      <c r="B850" s="355"/>
      <c r="C850" s="450"/>
      <c r="D850" s="450"/>
      <c r="E850" s="355"/>
      <c r="F850" s="355"/>
      <c r="G850" s="355"/>
      <c r="H850" s="355"/>
      <c r="I850" s="355"/>
      <c r="J850" s="355"/>
      <c r="K850" s="355"/>
      <c r="L850" s="355"/>
      <c r="M850" s="355"/>
      <c r="N850" s="355"/>
      <c r="O850" s="355"/>
      <c r="P850" s="355"/>
      <c r="Q850" s="355"/>
      <c r="R850" s="355"/>
      <c r="S850" s="355"/>
      <c r="T850" s="355"/>
      <c r="U850" s="355"/>
      <c r="V850" s="355"/>
      <c r="W850" s="355"/>
      <c r="X850" s="355"/>
      <c r="Y850" s="355"/>
      <c r="Z850" s="355"/>
    </row>
    <row r="851" spans="1:26" ht="13.5" customHeight="1" x14ac:dyDescent="0.25">
      <c r="A851" s="382"/>
      <c r="B851" s="355"/>
      <c r="C851" s="450"/>
      <c r="D851" s="450"/>
      <c r="E851" s="355"/>
      <c r="F851" s="355"/>
      <c r="G851" s="355"/>
      <c r="H851" s="355"/>
      <c r="I851" s="355"/>
      <c r="J851" s="355"/>
      <c r="K851" s="355"/>
      <c r="L851" s="355"/>
      <c r="M851" s="355"/>
      <c r="N851" s="355"/>
      <c r="O851" s="355"/>
      <c r="P851" s="355"/>
      <c r="Q851" s="355"/>
      <c r="R851" s="355"/>
      <c r="S851" s="355"/>
      <c r="T851" s="355"/>
      <c r="U851" s="355"/>
      <c r="V851" s="355"/>
      <c r="W851" s="355"/>
      <c r="X851" s="355"/>
      <c r="Y851" s="355"/>
      <c r="Z851" s="355"/>
    </row>
    <row r="852" spans="1:26" ht="13.5" customHeight="1" x14ac:dyDescent="0.25">
      <c r="A852" s="382"/>
      <c r="B852" s="355"/>
      <c r="C852" s="450"/>
      <c r="D852" s="450"/>
      <c r="E852" s="355"/>
      <c r="F852" s="355"/>
      <c r="G852" s="355"/>
      <c r="H852" s="355"/>
      <c r="I852" s="355"/>
      <c r="J852" s="355"/>
      <c r="K852" s="355"/>
      <c r="L852" s="355"/>
      <c r="M852" s="355"/>
      <c r="N852" s="355"/>
      <c r="O852" s="355"/>
      <c r="P852" s="355"/>
      <c r="Q852" s="355"/>
      <c r="R852" s="355"/>
      <c r="S852" s="355"/>
      <c r="T852" s="355"/>
      <c r="U852" s="355"/>
      <c r="V852" s="355"/>
      <c r="W852" s="355"/>
      <c r="X852" s="355"/>
      <c r="Y852" s="355"/>
      <c r="Z852" s="355"/>
    </row>
    <row r="853" spans="1:26" ht="13.5" customHeight="1" x14ac:dyDescent="0.25">
      <c r="A853" s="382"/>
      <c r="B853" s="355"/>
      <c r="C853" s="450"/>
      <c r="D853" s="450"/>
      <c r="E853" s="355"/>
      <c r="F853" s="355"/>
      <c r="G853" s="355"/>
      <c r="H853" s="355"/>
      <c r="I853" s="355"/>
      <c r="J853" s="355"/>
      <c r="K853" s="355"/>
      <c r="L853" s="355"/>
      <c r="M853" s="355"/>
      <c r="N853" s="355"/>
      <c r="O853" s="355"/>
      <c r="P853" s="355"/>
      <c r="Q853" s="355"/>
      <c r="R853" s="355"/>
      <c r="S853" s="355"/>
      <c r="T853" s="355"/>
      <c r="U853" s="355"/>
      <c r="V853" s="355"/>
      <c r="W853" s="355"/>
      <c r="X853" s="355"/>
      <c r="Y853" s="355"/>
      <c r="Z853" s="355"/>
    </row>
    <row r="854" spans="1:26" ht="13.5" customHeight="1" x14ac:dyDescent="0.25">
      <c r="A854" s="382"/>
      <c r="B854" s="355"/>
      <c r="C854" s="450"/>
      <c r="D854" s="450"/>
      <c r="E854" s="355"/>
      <c r="F854" s="355"/>
      <c r="G854" s="355"/>
      <c r="H854" s="355"/>
      <c r="I854" s="355"/>
      <c r="J854" s="355"/>
      <c r="K854" s="355"/>
      <c r="L854" s="355"/>
      <c r="M854" s="355"/>
      <c r="N854" s="355"/>
      <c r="O854" s="355"/>
      <c r="P854" s="355"/>
      <c r="Q854" s="355"/>
      <c r="R854" s="355"/>
      <c r="S854" s="355"/>
      <c r="T854" s="355"/>
      <c r="U854" s="355"/>
      <c r="V854" s="355"/>
      <c r="W854" s="355"/>
      <c r="X854" s="355"/>
      <c r="Y854" s="355"/>
      <c r="Z854" s="355"/>
    </row>
    <row r="855" spans="1:26" ht="13.5" customHeight="1" x14ac:dyDescent="0.25">
      <c r="A855" s="382"/>
      <c r="B855" s="355"/>
      <c r="C855" s="450"/>
      <c r="D855" s="450"/>
      <c r="E855" s="355"/>
      <c r="F855" s="355"/>
      <c r="G855" s="355"/>
      <c r="H855" s="355"/>
      <c r="I855" s="355"/>
      <c r="J855" s="355"/>
      <c r="K855" s="355"/>
      <c r="L855" s="355"/>
      <c r="M855" s="355"/>
      <c r="N855" s="355"/>
      <c r="O855" s="355"/>
      <c r="P855" s="355"/>
      <c r="Q855" s="355"/>
      <c r="R855" s="355"/>
      <c r="S855" s="355"/>
      <c r="T855" s="355"/>
      <c r="U855" s="355"/>
      <c r="V855" s="355"/>
      <c r="W855" s="355"/>
      <c r="X855" s="355"/>
      <c r="Y855" s="355"/>
      <c r="Z855" s="355"/>
    </row>
    <row r="856" spans="1:26" ht="13.5" customHeight="1" x14ac:dyDescent="0.25">
      <c r="A856" s="382"/>
      <c r="B856" s="355"/>
      <c r="C856" s="450"/>
      <c r="D856" s="450"/>
      <c r="E856" s="355"/>
      <c r="F856" s="355"/>
      <c r="G856" s="355"/>
      <c r="H856" s="355"/>
      <c r="I856" s="355"/>
      <c r="J856" s="355"/>
      <c r="K856" s="355"/>
      <c r="L856" s="355"/>
      <c r="M856" s="355"/>
      <c r="N856" s="355"/>
      <c r="O856" s="355"/>
      <c r="P856" s="355"/>
      <c r="Q856" s="355"/>
      <c r="R856" s="355"/>
      <c r="S856" s="355"/>
      <c r="T856" s="355"/>
      <c r="U856" s="355"/>
      <c r="V856" s="355"/>
      <c r="W856" s="355"/>
      <c r="X856" s="355"/>
      <c r="Y856" s="355"/>
      <c r="Z856" s="355"/>
    </row>
    <row r="857" spans="1:26" ht="13.5" customHeight="1" x14ac:dyDescent="0.25">
      <c r="A857" s="382"/>
      <c r="B857" s="355"/>
      <c r="C857" s="450"/>
      <c r="D857" s="450"/>
      <c r="E857" s="355"/>
      <c r="F857" s="355"/>
      <c r="G857" s="355"/>
      <c r="H857" s="355"/>
      <c r="I857" s="355"/>
      <c r="J857" s="355"/>
      <c r="K857" s="355"/>
      <c r="L857" s="355"/>
      <c r="M857" s="355"/>
      <c r="N857" s="355"/>
      <c r="O857" s="355"/>
      <c r="P857" s="355"/>
      <c r="Q857" s="355"/>
      <c r="R857" s="355"/>
      <c r="S857" s="355"/>
      <c r="T857" s="355"/>
      <c r="U857" s="355"/>
      <c r="V857" s="355"/>
      <c r="W857" s="355"/>
      <c r="X857" s="355"/>
      <c r="Y857" s="355"/>
      <c r="Z857" s="355"/>
    </row>
    <row r="858" spans="1:26" ht="13.5" customHeight="1" x14ac:dyDescent="0.25">
      <c r="A858" s="382"/>
      <c r="B858" s="355"/>
      <c r="C858" s="450"/>
      <c r="D858" s="450"/>
      <c r="E858" s="355"/>
      <c r="F858" s="355"/>
      <c r="G858" s="355"/>
      <c r="H858" s="355"/>
      <c r="I858" s="355"/>
      <c r="J858" s="355"/>
      <c r="K858" s="355"/>
      <c r="L858" s="355"/>
      <c r="M858" s="355"/>
      <c r="N858" s="355"/>
      <c r="O858" s="355"/>
      <c r="P858" s="355"/>
      <c r="Q858" s="355"/>
      <c r="R858" s="355"/>
      <c r="S858" s="355"/>
      <c r="T858" s="355"/>
      <c r="U858" s="355"/>
      <c r="V858" s="355"/>
      <c r="W858" s="355"/>
      <c r="X858" s="355"/>
      <c r="Y858" s="355"/>
      <c r="Z858" s="355"/>
    </row>
    <row r="859" spans="1:26" ht="13.5" customHeight="1" x14ac:dyDescent="0.25">
      <c r="A859" s="382"/>
      <c r="B859" s="355"/>
      <c r="C859" s="450"/>
      <c r="D859" s="450"/>
      <c r="E859" s="355"/>
      <c r="F859" s="355"/>
      <c r="G859" s="355"/>
      <c r="H859" s="355"/>
      <c r="I859" s="355"/>
      <c r="J859" s="355"/>
      <c r="K859" s="355"/>
      <c r="L859" s="355"/>
      <c r="M859" s="355"/>
      <c r="N859" s="355"/>
      <c r="O859" s="355"/>
      <c r="P859" s="355"/>
      <c r="Q859" s="355"/>
      <c r="R859" s="355"/>
      <c r="S859" s="355"/>
      <c r="T859" s="355"/>
      <c r="U859" s="355"/>
      <c r="V859" s="355"/>
      <c r="W859" s="355"/>
      <c r="X859" s="355"/>
      <c r="Y859" s="355"/>
      <c r="Z859" s="355"/>
    </row>
    <row r="860" spans="1:26" ht="13.5" customHeight="1" x14ac:dyDescent="0.25">
      <c r="A860" s="382"/>
      <c r="B860" s="355"/>
      <c r="C860" s="450"/>
      <c r="D860" s="450"/>
      <c r="E860" s="355"/>
      <c r="F860" s="355"/>
      <c r="G860" s="355"/>
      <c r="H860" s="355"/>
      <c r="I860" s="355"/>
      <c r="J860" s="355"/>
      <c r="K860" s="355"/>
      <c r="L860" s="355"/>
      <c r="M860" s="355"/>
      <c r="N860" s="355"/>
      <c r="O860" s="355"/>
      <c r="P860" s="355"/>
      <c r="Q860" s="355"/>
      <c r="R860" s="355"/>
      <c r="S860" s="355"/>
      <c r="T860" s="355"/>
      <c r="U860" s="355"/>
      <c r="V860" s="355"/>
      <c r="W860" s="355"/>
      <c r="X860" s="355"/>
      <c r="Y860" s="355"/>
      <c r="Z860" s="355"/>
    </row>
    <row r="861" spans="1:26" ht="13.5" customHeight="1" x14ac:dyDescent="0.25">
      <c r="A861" s="382"/>
      <c r="B861" s="355"/>
      <c r="C861" s="450"/>
      <c r="D861" s="450"/>
      <c r="E861" s="355"/>
      <c r="F861" s="355"/>
      <c r="G861" s="355"/>
      <c r="H861" s="355"/>
      <c r="I861" s="355"/>
      <c r="J861" s="355"/>
      <c r="K861" s="355"/>
      <c r="L861" s="355"/>
      <c r="M861" s="355"/>
      <c r="N861" s="355"/>
      <c r="O861" s="355"/>
      <c r="P861" s="355"/>
      <c r="Q861" s="355"/>
      <c r="R861" s="355"/>
      <c r="S861" s="355"/>
      <c r="T861" s="355"/>
      <c r="U861" s="355"/>
      <c r="V861" s="355"/>
      <c r="W861" s="355"/>
      <c r="X861" s="355"/>
      <c r="Y861" s="355"/>
      <c r="Z861" s="355"/>
    </row>
    <row r="862" spans="1:26" ht="13.5" customHeight="1" x14ac:dyDescent="0.25">
      <c r="A862" s="382"/>
      <c r="B862" s="355"/>
      <c r="C862" s="450"/>
      <c r="D862" s="450"/>
      <c r="E862" s="355"/>
      <c r="F862" s="355"/>
      <c r="G862" s="355"/>
      <c r="H862" s="355"/>
      <c r="I862" s="355"/>
      <c r="J862" s="355"/>
      <c r="K862" s="355"/>
      <c r="L862" s="355"/>
      <c r="M862" s="355"/>
      <c r="N862" s="355"/>
      <c r="O862" s="355"/>
      <c r="P862" s="355"/>
      <c r="Q862" s="355"/>
      <c r="R862" s="355"/>
      <c r="S862" s="355"/>
      <c r="T862" s="355"/>
      <c r="U862" s="355"/>
      <c r="V862" s="355"/>
      <c r="W862" s="355"/>
      <c r="X862" s="355"/>
      <c r="Y862" s="355"/>
      <c r="Z862" s="355"/>
    </row>
    <row r="863" spans="1:26" ht="13.5" customHeight="1" x14ac:dyDescent="0.25">
      <c r="A863" s="382"/>
      <c r="B863" s="355"/>
      <c r="C863" s="450"/>
      <c r="D863" s="450"/>
      <c r="E863" s="355"/>
      <c r="F863" s="355"/>
      <c r="G863" s="355"/>
      <c r="H863" s="355"/>
      <c r="I863" s="355"/>
      <c r="J863" s="355"/>
      <c r="K863" s="355"/>
      <c r="L863" s="355"/>
      <c r="M863" s="355"/>
      <c r="N863" s="355"/>
      <c r="O863" s="355"/>
      <c r="P863" s="355"/>
      <c r="Q863" s="355"/>
      <c r="R863" s="355"/>
      <c r="S863" s="355"/>
      <c r="T863" s="355"/>
      <c r="U863" s="355"/>
      <c r="V863" s="355"/>
      <c r="W863" s="355"/>
      <c r="X863" s="355"/>
      <c r="Y863" s="355"/>
      <c r="Z863" s="355"/>
    </row>
    <row r="864" spans="1:26" ht="13.5" customHeight="1" x14ac:dyDescent="0.25">
      <c r="A864" s="382"/>
      <c r="B864" s="355"/>
      <c r="C864" s="450"/>
      <c r="D864" s="450"/>
      <c r="E864" s="355"/>
      <c r="F864" s="355"/>
      <c r="G864" s="355"/>
      <c r="H864" s="355"/>
      <c r="I864" s="355"/>
      <c r="J864" s="355"/>
      <c r="K864" s="355"/>
      <c r="L864" s="355"/>
      <c r="M864" s="355"/>
      <c r="N864" s="355"/>
      <c r="O864" s="355"/>
      <c r="P864" s="355"/>
      <c r="Q864" s="355"/>
      <c r="R864" s="355"/>
      <c r="S864" s="355"/>
      <c r="T864" s="355"/>
      <c r="U864" s="355"/>
      <c r="V864" s="355"/>
      <c r="W864" s="355"/>
      <c r="X864" s="355"/>
      <c r="Y864" s="355"/>
      <c r="Z864" s="355"/>
    </row>
    <row r="865" spans="1:26" ht="13.5" customHeight="1" x14ac:dyDescent="0.25">
      <c r="A865" s="382"/>
      <c r="B865" s="355"/>
      <c r="C865" s="450"/>
      <c r="D865" s="450"/>
      <c r="E865" s="355"/>
      <c r="F865" s="355"/>
      <c r="G865" s="355"/>
      <c r="H865" s="355"/>
      <c r="I865" s="355"/>
      <c r="J865" s="355"/>
      <c r="K865" s="355"/>
      <c r="L865" s="355"/>
      <c r="M865" s="355"/>
      <c r="N865" s="355"/>
      <c r="O865" s="355"/>
      <c r="P865" s="355"/>
      <c r="Q865" s="355"/>
      <c r="R865" s="355"/>
      <c r="S865" s="355"/>
      <c r="T865" s="355"/>
      <c r="U865" s="355"/>
      <c r="V865" s="355"/>
      <c r="W865" s="355"/>
      <c r="X865" s="355"/>
      <c r="Y865" s="355"/>
      <c r="Z865" s="355"/>
    </row>
    <row r="866" spans="1:26" ht="13.5" customHeight="1" x14ac:dyDescent="0.25">
      <c r="A866" s="382"/>
      <c r="B866" s="355"/>
      <c r="C866" s="450"/>
      <c r="D866" s="450"/>
      <c r="E866" s="355"/>
      <c r="F866" s="355"/>
      <c r="G866" s="355"/>
      <c r="H866" s="355"/>
      <c r="I866" s="355"/>
      <c r="J866" s="355"/>
      <c r="K866" s="355"/>
      <c r="L866" s="355"/>
      <c r="M866" s="355"/>
      <c r="N866" s="355"/>
      <c r="O866" s="355"/>
      <c r="P866" s="355"/>
      <c r="Q866" s="355"/>
      <c r="R866" s="355"/>
      <c r="S866" s="355"/>
      <c r="T866" s="355"/>
      <c r="U866" s="355"/>
      <c r="V866" s="355"/>
      <c r="W866" s="355"/>
      <c r="X866" s="355"/>
      <c r="Y866" s="355"/>
      <c r="Z866" s="355"/>
    </row>
    <row r="867" spans="1:26" ht="13.5" customHeight="1" x14ac:dyDescent="0.25">
      <c r="A867" s="382"/>
      <c r="B867" s="355"/>
      <c r="C867" s="450"/>
      <c r="D867" s="450"/>
      <c r="E867" s="355"/>
      <c r="F867" s="355"/>
      <c r="G867" s="355"/>
      <c r="H867" s="355"/>
      <c r="I867" s="355"/>
      <c r="J867" s="355"/>
      <c r="K867" s="355"/>
      <c r="L867" s="355"/>
      <c r="M867" s="355"/>
      <c r="N867" s="355"/>
      <c r="O867" s="355"/>
      <c r="P867" s="355"/>
      <c r="Q867" s="355"/>
      <c r="R867" s="355"/>
      <c r="S867" s="355"/>
      <c r="T867" s="355"/>
      <c r="U867" s="355"/>
      <c r="V867" s="355"/>
      <c r="W867" s="355"/>
      <c r="X867" s="355"/>
      <c r="Y867" s="355"/>
      <c r="Z867" s="355"/>
    </row>
    <row r="868" spans="1:26" ht="13.5" customHeight="1" x14ac:dyDescent="0.25">
      <c r="A868" s="382"/>
      <c r="B868" s="355"/>
      <c r="C868" s="450"/>
      <c r="D868" s="450"/>
      <c r="E868" s="355"/>
      <c r="F868" s="355"/>
      <c r="G868" s="355"/>
      <c r="H868" s="355"/>
      <c r="I868" s="355"/>
      <c r="J868" s="355"/>
      <c r="K868" s="355"/>
      <c r="L868" s="355"/>
      <c r="M868" s="355"/>
      <c r="N868" s="355"/>
      <c r="O868" s="355"/>
      <c r="P868" s="355"/>
      <c r="Q868" s="355"/>
      <c r="R868" s="355"/>
      <c r="S868" s="355"/>
      <c r="T868" s="355"/>
      <c r="U868" s="355"/>
      <c r="V868" s="355"/>
      <c r="W868" s="355"/>
      <c r="X868" s="355"/>
      <c r="Y868" s="355"/>
      <c r="Z868" s="355"/>
    </row>
    <row r="869" spans="1:26" ht="13.5" customHeight="1" x14ac:dyDescent="0.25">
      <c r="A869" s="382"/>
      <c r="B869" s="355"/>
      <c r="C869" s="450"/>
      <c r="D869" s="450"/>
      <c r="E869" s="355"/>
      <c r="F869" s="355"/>
      <c r="G869" s="355"/>
      <c r="H869" s="355"/>
      <c r="I869" s="355"/>
      <c r="J869" s="355"/>
      <c r="K869" s="355"/>
      <c r="L869" s="355"/>
      <c r="M869" s="355"/>
      <c r="N869" s="355"/>
      <c r="O869" s="355"/>
      <c r="P869" s="355"/>
      <c r="Q869" s="355"/>
      <c r="R869" s="355"/>
      <c r="S869" s="355"/>
      <c r="T869" s="355"/>
      <c r="U869" s="355"/>
      <c r="V869" s="355"/>
      <c r="W869" s="355"/>
      <c r="X869" s="355"/>
      <c r="Y869" s="355"/>
      <c r="Z869" s="355"/>
    </row>
    <row r="870" spans="1:26" ht="13.5" customHeight="1" x14ac:dyDescent="0.25">
      <c r="A870" s="382"/>
      <c r="B870" s="355"/>
      <c r="C870" s="450"/>
      <c r="D870" s="450"/>
      <c r="E870" s="355"/>
      <c r="F870" s="355"/>
      <c r="G870" s="355"/>
      <c r="H870" s="355"/>
      <c r="I870" s="355"/>
      <c r="J870" s="355"/>
      <c r="K870" s="355"/>
      <c r="L870" s="355"/>
      <c r="M870" s="355"/>
      <c r="N870" s="355"/>
      <c r="O870" s="355"/>
      <c r="P870" s="355"/>
      <c r="Q870" s="355"/>
      <c r="R870" s="355"/>
      <c r="S870" s="355"/>
      <c r="T870" s="355"/>
      <c r="U870" s="355"/>
      <c r="V870" s="355"/>
      <c r="W870" s="355"/>
      <c r="X870" s="355"/>
      <c r="Y870" s="355"/>
      <c r="Z870" s="355"/>
    </row>
    <row r="871" spans="1:26" ht="13.5" customHeight="1" x14ac:dyDescent="0.25">
      <c r="A871" s="382"/>
      <c r="B871" s="355"/>
      <c r="C871" s="450"/>
      <c r="D871" s="450"/>
      <c r="E871" s="355"/>
      <c r="F871" s="355"/>
      <c r="G871" s="355"/>
      <c r="H871" s="355"/>
      <c r="I871" s="355"/>
      <c r="J871" s="355"/>
      <c r="K871" s="355"/>
      <c r="L871" s="355"/>
      <c r="M871" s="355"/>
      <c r="N871" s="355"/>
      <c r="O871" s="355"/>
      <c r="P871" s="355"/>
      <c r="Q871" s="355"/>
      <c r="R871" s="355"/>
      <c r="S871" s="355"/>
      <c r="T871" s="355"/>
      <c r="U871" s="355"/>
      <c r="V871" s="355"/>
      <c r="W871" s="355"/>
      <c r="X871" s="355"/>
      <c r="Y871" s="355"/>
      <c r="Z871" s="355"/>
    </row>
    <row r="872" spans="1:26" ht="13.5" customHeight="1" x14ac:dyDescent="0.25">
      <c r="A872" s="382"/>
      <c r="B872" s="355"/>
      <c r="C872" s="450"/>
      <c r="D872" s="450"/>
      <c r="E872" s="355"/>
      <c r="F872" s="355"/>
      <c r="G872" s="355"/>
      <c r="H872" s="355"/>
      <c r="I872" s="355"/>
      <c r="J872" s="355"/>
      <c r="K872" s="355"/>
      <c r="L872" s="355"/>
      <c r="M872" s="355"/>
      <c r="N872" s="355"/>
      <c r="O872" s="355"/>
      <c r="P872" s="355"/>
      <c r="Q872" s="355"/>
      <c r="R872" s="355"/>
      <c r="S872" s="355"/>
      <c r="T872" s="355"/>
      <c r="U872" s="355"/>
      <c r="V872" s="355"/>
      <c r="W872" s="355"/>
      <c r="X872" s="355"/>
      <c r="Y872" s="355"/>
      <c r="Z872" s="355"/>
    </row>
    <row r="873" spans="1:26" ht="13.5" customHeight="1" x14ac:dyDescent="0.25">
      <c r="A873" s="382"/>
      <c r="B873" s="355"/>
      <c r="C873" s="450"/>
      <c r="D873" s="450"/>
      <c r="E873" s="355"/>
      <c r="F873" s="355"/>
      <c r="G873" s="355"/>
      <c r="H873" s="355"/>
      <c r="I873" s="355"/>
      <c r="J873" s="355"/>
      <c r="K873" s="355"/>
      <c r="L873" s="355"/>
      <c r="M873" s="355"/>
      <c r="N873" s="355"/>
      <c r="O873" s="355"/>
      <c r="P873" s="355"/>
      <c r="Q873" s="355"/>
      <c r="R873" s="355"/>
      <c r="S873" s="355"/>
      <c r="T873" s="355"/>
      <c r="U873" s="355"/>
      <c r="V873" s="355"/>
      <c r="W873" s="355"/>
      <c r="X873" s="355"/>
      <c r="Y873" s="355"/>
      <c r="Z873" s="355"/>
    </row>
    <row r="874" spans="1:26" ht="13.5" customHeight="1" x14ac:dyDescent="0.25">
      <c r="A874" s="382"/>
      <c r="B874" s="355"/>
      <c r="C874" s="450"/>
      <c r="D874" s="450"/>
      <c r="E874" s="355"/>
      <c r="F874" s="355"/>
      <c r="G874" s="355"/>
      <c r="H874" s="355"/>
      <c r="I874" s="355"/>
      <c r="J874" s="355"/>
      <c r="K874" s="355"/>
      <c r="L874" s="355"/>
      <c r="M874" s="355"/>
      <c r="N874" s="355"/>
      <c r="O874" s="355"/>
      <c r="P874" s="355"/>
      <c r="Q874" s="355"/>
      <c r="R874" s="355"/>
      <c r="S874" s="355"/>
      <c r="T874" s="355"/>
      <c r="U874" s="355"/>
      <c r="V874" s="355"/>
      <c r="W874" s="355"/>
      <c r="X874" s="355"/>
      <c r="Y874" s="355"/>
      <c r="Z874" s="355"/>
    </row>
    <row r="875" spans="1:26" ht="13.5" customHeight="1" x14ac:dyDescent="0.25">
      <c r="A875" s="382"/>
      <c r="B875" s="355"/>
      <c r="C875" s="450"/>
      <c r="D875" s="450"/>
      <c r="E875" s="355"/>
      <c r="F875" s="355"/>
      <c r="G875" s="355"/>
      <c r="H875" s="355"/>
      <c r="I875" s="355"/>
      <c r="J875" s="355"/>
      <c r="K875" s="355"/>
      <c r="L875" s="355"/>
      <c r="M875" s="355"/>
      <c r="N875" s="355"/>
      <c r="O875" s="355"/>
      <c r="P875" s="355"/>
      <c r="Q875" s="355"/>
      <c r="R875" s="355"/>
      <c r="S875" s="355"/>
      <c r="T875" s="355"/>
      <c r="U875" s="355"/>
      <c r="V875" s="355"/>
      <c r="W875" s="355"/>
      <c r="X875" s="355"/>
      <c r="Y875" s="355"/>
      <c r="Z875" s="355"/>
    </row>
    <row r="876" spans="1:26" ht="13.5" customHeight="1" x14ac:dyDescent="0.25">
      <c r="A876" s="382"/>
      <c r="B876" s="355"/>
      <c r="C876" s="450"/>
      <c r="D876" s="450"/>
      <c r="E876" s="355"/>
      <c r="F876" s="355"/>
      <c r="G876" s="355"/>
      <c r="H876" s="355"/>
      <c r="I876" s="355"/>
      <c r="J876" s="355"/>
      <c r="K876" s="355"/>
      <c r="L876" s="355"/>
      <c r="M876" s="355"/>
      <c r="N876" s="355"/>
      <c r="O876" s="355"/>
      <c r="P876" s="355"/>
      <c r="Q876" s="355"/>
      <c r="R876" s="355"/>
      <c r="S876" s="355"/>
      <c r="T876" s="355"/>
      <c r="U876" s="355"/>
      <c r="V876" s="355"/>
      <c r="W876" s="355"/>
      <c r="X876" s="355"/>
      <c r="Y876" s="355"/>
      <c r="Z876" s="355"/>
    </row>
    <row r="877" spans="1:26" ht="13.5" customHeight="1" x14ac:dyDescent="0.25">
      <c r="A877" s="382"/>
      <c r="B877" s="355"/>
      <c r="C877" s="450"/>
      <c r="D877" s="450"/>
      <c r="E877" s="355"/>
      <c r="F877" s="355"/>
      <c r="G877" s="355"/>
      <c r="H877" s="355"/>
      <c r="I877" s="355"/>
      <c r="J877" s="355"/>
      <c r="K877" s="355"/>
      <c r="L877" s="355"/>
      <c r="M877" s="355"/>
      <c r="N877" s="355"/>
      <c r="O877" s="355"/>
      <c r="P877" s="355"/>
      <c r="Q877" s="355"/>
      <c r="R877" s="355"/>
      <c r="S877" s="355"/>
      <c r="T877" s="355"/>
      <c r="U877" s="355"/>
      <c r="V877" s="355"/>
      <c r="W877" s="355"/>
      <c r="X877" s="355"/>
      <c r="Y877" s="355"/>
      <c r="Z877" s="355"/>
    </row>
    <row r="878" spans="1:26" ht="13.5" customHeight="1" x14ac:dyDescent="0.25">
      <c r="A878" s="382"/>
      <c r="B878" s="355"/>
      <c r="C878" s="450"/>
      <c r="D878" s="450"/>
      <c r="E878" s="355"/>
      <c r="F878" s="355"/>
      <c r="G878" s="355"/>
      <c r="H878" s="355"/>
      <c r="I878" s="355"/>
      <c r="J878" s="355"/>
      <c r="K878" s="355"/>
      <c r="L878" s="355"/>
      <c r="M878" s="355"/>
      <c r="N878" s="355"/>
      <c r="O878" s="355"/>
      <c r="P878" s="355"/>
      <c r="Q878" s="355"/>
      <c r="R878" s="355"/>
      <c r="S878" s="355"/>
      <c r="T878" s="355"/>
      <c r="U878" s="355"/>
      <c r="V878" s="355"/>
      <c r="W878" s="355"/>
      <c r="X878" s="355"/>
      <c r="Y878" s="355"/>
      <c r="Z878" s="355"/>
    </row>
    <row r="879" spans="1:26" ht="13.5" customHeight="1" x14ac:dyDescent="0.25">
      <c r="A879" s="382"/>
      <c r="B879" s="355"/>
      <c r="C879" s="450"/>
      <c r="D879" s="450"/>
      <c r="E879" s="355"/>
      <c r="F879" s="355"/>
      <c r="G879" s="355"/>
      <c r="H879" s="355"/>
      <c r="I879" s="355"/>
      <c r="J879" s="355"/>
      <c r="K879" s="355"/>
      <c r="L879" s="355"/>
      <c r="M879" s="355"/>
      <c r="N879" s="355"/>
      <c r="O879" s="355"/>
      <c r="P879" s="355"/>
      <c r="Q879" s="355"/>
      <c r="R879" s="355"/>
      <c r="S879" s="355"/>
      <c r="T879" s="355"/>
      <c r="U879" s="355"/>
      <c r="V879" s="355"/>
      <c r="W879" s="355"/>
      <c r="X879" s="355"/>
      <c r="Y879" s="355"/>
      <c r="Z879" s="355"/>
    </row>
    <row r="880" spans="1:26" ht="13.5" customHeight="1" x14ac:dyDescent="0.25">
      <c r="A880" s="382"/>
      <c r="B880" s="355"/>
      <c r="C880" s="450"/>
      <c r="D880" s="450"/>
      <c r="E880" s="355"/>
      <c r="F880" s="355"/>
      <c r="G880" s="355"/>
      <c r="H880" s="355"/>
      <c r="I880" s="355"/>
      <c r="J880" s="355"/>
      <c r="K880" s="355"/>
      <c r="L880" s="355"/>
      <c r="M880" s="355"/>
      <c r="N880" s="355"/>
      <c r="O880" s="355"/>
      <c r="P880" s="355"/>
      <c r="Q880" s="355"/>
      <c r="R880" s="355"/>
      <c r="S880" s="355"/>
      <c r="T880" s="355"/>
      <c r="U880" s="355"/>
      <c r="V880" s="355"/>
      <c r="W880" s="355"/>
      <c r="X880" s="355"/>
      <c r="Y880" s="355"/>
      <c r="Z880" s="355"/>
    </row>
    <row r="881" spans="1:26" ht="13.5" customHeight="1" x14ac:dyDescent="0.25">
      <c r="A881" s="382"/>
      <c r="B881" s="355"/>
      <c r="C881" s="450"/>
      <c r="D881" s="450"/>
      <c r="E881" s="355"/>
      <c r="F881" s="355"/>
      <c r="G881" s="355"/>
      <c r="H881" s="355"/>
      <c r="I881" s="355"/>
      <c r="J881" s="355"/>
      <c r="K881" s="355"/>
      <c r="L881" s="355"/>
      <c r="M881" s="355"/>
      <c r="N881" s="355"/>
      <c r="O881" s="355"/>
      <c r="P881" s="355"/>
      <c r="Q881" s="355"/>
      <c r="R881" s="355"/>
      <c r="S881" s="355"/>
      <c r="T881" s="355"/>
      <c r="U881" s="355"/>
      <c r="V881" s="355"/>
      <c r="W881" s="355"/>
      <c r="X881" s="355"/>
      <c r="Y881" s="355"/>
      <c r="Z881" s="355"/>
    </row>
    <row r="882" spans="1:26" ht="13.5" customHeight="1" x14ac:dyDescent="0.25">
      <c r="A882" s="382"/>
      <c r="B882" s="355"/>
      <c r="C882" s="450"/>
      <c r="D882" s="450"/>
      <c r="E882" s="355"/>
      <c r="F882" s="355"/>
      <c r="G882" s="355"/>
      <c r="H882" s="355"/>
      <c r="I882" s="355"/>
      <c r="J882" s="355"/>
      <c r="K882" s="355"/>
      <c r="L882" s="355"/>
      <c r="M882" s="355"/>
      <c r="N882" s="355"/>
      <c r="O882" s="355"/>
      <c r="P882" s="355"/>
      <c r="Q882" s="355"/>
      <c r="R882" s="355"/>
      <c r="S882" s="355"/>
      <c r="T882" s="355"/>
      <c r="U882" s="355"/>
      <c r="V882" s="355"/>
      <c r="W882" s="355"/>
      <c r="X882" s="355"/>
      <c r="Y882" s="355"/>
      <c r="Z882" s="355"/>
    </row>
    <row r="883" spans="1:26" ht="13.5" customHeight="1" x14ac:dyDescent="0.25">
      <c r="A883" s="382"/>
      <c r="B883" s="355"/>
      <c r="C883" s="450"/>
      <c r="D883" s="450"/>
      <c r="E883" s="355"/>
      <c r="F883" s="355"/>
      <c r="G883" s="355"/>
      <c r="H883" s="355"/>
      <c r="I883" s="355"/>
      <c r="J883" s="355"/>
      <c r="K883" s="355"/>
      <c r="L883" s="355"/>
      <c r="M883" s="355"/>
      <c r="N883" s="355"/>
      <c r="O883" s="355"/>
      <c r="P883" s="355"/>
      <c r="Q883" s="355"/>
      <c r="R883" s="355"/>
      <c r="S883" s="355"/>
      <c r="T883" s="355"/>
      <c r="U883" s="355"/>
      <c r="V883" s="355"/>
      <c r="W883" s="355"/>
      <c r="X883" s="355"/>
      <c r="Y883" s="355"/>
      <c r="Z883" s="355"/>
    </row>
    <row r="884" spans="1:26" ht="13.5" customHeight="1" x14ac:dyDescent="0.25">
      <c r="A884" s="382"/>
      <c r="B884" s="355"/>
      <c r="C884" s="450"/>
      <c r="D884" s="450"/>
      <c r="E884" s="355"/>
      <c r="F884" s="355"/>
      <c r="G884" s="355"/>
      <c r="H884" s="355"/>
      <c r="I884" s="355"/>
      <c r="J884" s="355"/>
      <c r="K884" s="355"/>
      <c r="L884" s="355"/>
      <c r="M884" s="355"/>
      <c r="N884" s="355"/>
      <c r="O884" s="355"/>
      <c r="P884" s="355"/>
      <c r="Q884" s="355"/>
      <c r="R884" s="355"/>
      <c r="S884" s="355"/>
      <c r="T884" s="355"/>
      <c r="U884" s="355"/>
      <c r="V884" s="355"/>
      <c r="W884" s="355"/>
      <c r="X884" s="355"/>
      <c r="Y884" s="355"/>
      <c r="Z884" s="355"/>
    </row>
    <row r="885" spans="1:26" ht="13.5" customHeight="1" x14ac:dyDescent="0.25">
      <c r="A885" s="382"/>
      <c r="B885" s="355"/>
      <c r="C885" s="450"/>
      <c r="D885" s="450"/>
      <c r="E885" s="355"/>
      <c r="F885" s="355"/>
      <c r="G885" s="355"/>
      <c r="H885" s="355"/>
      <c r="I885" s="355"/>
      <c r="J885" s="355"/>
      <c r="K885" s="355"/>
      <c r="L885" s="355"/>
      <c r="M885" s="355"/>
      <c r="N885" s="355"/>
      <c r="O885" s="355"/>
      <c r="P885" s="355"/>
      <c r="Q885" s="355"/>
      <c r="R885" s="355"/>
      <c r="S885" s="355"/>
      <c r="T885" s="355"/>
      <c r="U885" s="355"/>
      <c r="V885" s="355"/>
      <c r="W885" s="355"/>
      <c r="X885" s="355"/>
      <c r="Y885" s="355"/>
      <c r="Z885" s="355"/>
    </row>
    <row r="886" spans="1:26" ht="13.5" customHeight="1" x14ac:dyDescent="0.25">
      <c r="A886" s="382"/>
      <c r="B886" s="355"/>
      <c r="C886" s="450"/>
      <c r="D886" s="450"/>
      <c r="E886" s="355"/>
      <c r="F886" s="355"/>
      <c r="G886" s="355"/>
      <c r="H886" s="355"/>
      <c r="I886" s="355"/>
      <c r="J886" s="355"/>
      <c r="K886" s="355"/>
      <c r="L886" s="355"/>
      <c r="M886" s="355"/>
      <c r="N886" s="355"/>
      <c r="O886" s="355"/>
      <c r="P886" s="355"/>
      <c r="Q886" s="355"/>
      <c r="R886" s="355"/>
      <c r="S886" s="355"/>
      <c r="T886" s="355"/>
      <c r="U886" s="355"/>
      <c r="V886" s="355"/>
      <c r="W886" s="355"/>
      <c r="X886" s="355"/>
      <c r="Y886" s="355"/>
      <c r="Z886" s="355"/>
    </row>
    <row r="887" spans="1:26" ht="13.5" customHeight="1" x14ac:dyDescent="0.25">
      <c r="A887" s="382"/>
      <c r="B887" s="355"/>
      <c r="C887" s="450"/>
      <c r="D887" s="450"/>
      <c r="E887" s="355"/>
      <c r="F887" s="355"/>
      <c r="G887" s="355"/>
      <c r="H887" s="355"/>
      <c r="I887" s="355"/>
      <c r="J887" s="355"/>
      <c r="K887" s="355"/>
      <c r="L887" s="355"/>
      <c r="M887" s="355"/>
      <c r="N887" s="355"/>
      <c r="O887" s="355"/>
      <c r="P887" s="355"/>
      <c r="Q887" s="355"/>
      <c r="R887" s="355"/>
      <c r="S887" s="355"/>
      <c r="T887" s="355"/>
      <c r="U887" s="355"/>
      <c r="V887" s="355"/>
      <c r="W887" s="355"/>
      <c r="X887" s="355"/>
      <c r="Y887" s="355"/>
      <c r="Z887" s="355"/>
    </row>
    <row r="888" spans="1:26" ht="13.5" customHeight="1" x14ac:dyDescent="0.25">
      <c r="A888" s="382"/>
      <c r="B888" s="355"/>
      <c r="C888" s="450"/>
      <c r="D888" s="450"/>
      <c r="E888" s="355"/>
      <c r="F888" s="355"/>
      <c r="G888" s="355"/>
      <c r="H888" s="355"/>
      <c r="I888" s="355"/>
      <c r="J888" s="355"/>
      <c r="K888" s="355"/>
      <c r="L888" s="355"/>
      <c r="M888" s="355"/>
      <c r="N888" s="355"/>
      <c r="O888" s="355"/>
      <c r="P888" s="355"/>
      <c r="Q888" s="355"/>
      <c r="R888" s="355"/>
      <c r="S888" s="355"/>
      <c r="T888" s="355"/>
      <c r="U888" s="355"/>
      <c r="V888" s="355"/>
      <c r="W888" s="355"/>
      <c r="X888" s="355"/>
      <c r="Y888" s="355"/>
      <c r="Z888" s="355"/>
    </row>
    <row r="889" spans="1:26" ht="13.5" customHeight="1" x14ac:dyDescent="0.25">
      <c r="A889" s="382"/>
      <c r="B889" s="355"/>
      <c r="C889" s="450"/>
      <c r="D889" s="450"/>
      <c r="E889" s="355"/>
      <c r="F889" s="355"/>
      <c r="G889" s="355"/>
      <c r="H889" s="355"/>
      <c r="I889" s="355"/>
      <c r="J889" s="355"/>
      <c r="K889" s="355"/>
      <c r="L889" s="355"/>
      <c r="M889" s="355"/>
      <c r="N889" s="355"/>
      <c r="O889" s="355"/>
      <c r="P889" s="355"/>
      <c r="Q889" s="355"/>
      <c r="R889" s="355"/>
      <c r="S889" s="355"/>
      <c r="T889" s="355"/>
      <c r="U889" s="355"/>
      <c r="V889" s="355"/>
      <c r="W889" s="355"/>
      <c r="X889" s="355"/>
      <c r="Y889" s="355"/>
      <c r="Z889" s="355"/>
    </row>
    <row r="890" spans="1:26" ht="13.5" customHeight="1" x14ac:dyDescent="0.25">
      <c r="A890" s="382"/>
      <c r="B890" s="355"/>
      <c r="C890" s="450"/>
      <c r="D890" s="450"/>
      <c r="E890" s="355"/>
      <c r="F890" s="355"/>
      <c r="G890" s="355"/>
      <c r="H890" s="355"/>
      <c r="I890" s="355"/>
      <c r="J890" s="355"/>
      <c r="K890" s="355"/>
      <c r="L890" s="355"/>
      <c r="M890" s="355"/>
      <c r="N890" s="355"/>
      <c r="O890" s="355"/>
      <c r="P890" s="355"/>
      <c r="Q890" s="355"/>
      <c r="R890" s="355"/>
      <c r="S890" s="355"/>
      <c r="T890" s="355"/>
      <c r="U890" s="355"/>
      <c r="V890" s="355"/>
      <c r="W890" s="355"/>
      <c r="X890" s="355"/>
      <c r="Y890" s="355"/>
      <c r="Z890" s="355"/>
    </row>
    <row r="891" spans="1:26" ht="13.5" customHeight="1" x14ac:dyDescent="0.25">
      <c r="A891" s="382"/>
      <c r="B891" s="355"/>
      <c r="C891" s="450"/>
      <c r="D891" s="450"/>
      <c r="E891" s="355"/>
      <c r="F891" s="355"/>
      <c r="G891" s="355"/>
      <c r="H891" s="355"/>
      <c r="I891" s="355"/>
      <c r="J891" s="355"/>
      <c r="K891" s="355"/>
      <c r="L891" s="355"/>
      <c r="M891" s="355"/>
      <c r="N891" s="355"/>
      <c r="O891" s="355"/>
      <c r="P891" s="355"/>
      <c r="Q891" s="355"/>
      <c r="R891" s="355"/>
      <c r="S891" s="355"/>
      <c r="T891" s="355"/>
      <c r="U891" s="355"/>
      <c r="V891" s="355"/>
      <c r="W891" s="355"/>
      <c r="X891" s="355"/>
      <c r="Y891" s="355"/>
      <c r="Z891" s="355"/>
    </row>
    <row r="892" spans="1:26" ht="13.5" customHeight="1" x14ac:dyDescent="0.25">
      <c r="A892" s="382"/>
      <c r="B892" s="355"/>
      <c r="C892" s="450"/>
      <c r="D892" s="450"/>
      <c r="E892" s="355"/>
      <c r="F892" s="355"/>
      <c r="G892" s="355"/>
      <c r="H892" s="355"/>
      <c r="I892" s="355"/>
      <c r="J892" s="355"/>
      <c r="K892" s="355"/>
      <c r="L892" s="355"/>
      <c r="M892" s="355"/>
      <c r="N892" s="355"/>
      <c r="O892" s="355"/>
      <c r="P892" s="355"/>
      <c r="Q892" s="355"/>
      <c r="R892" s="355"/>
      <c r="S892" s="355"/>
      <c r="T892" s="355"/>
      <c r="U892" s="355"/>
      <c r="V892" s="355"/>
      <c r="W892" s="355"/>
      <c r="X892" s="355"/>
      <c r="Y892" s="355"/>
      <c r="Z892" s="355"/>
    </row>
    <row r="893" spans="1:26" ht="13.5" customHeight="1" x14ac:dyDescent="0.25">
      <c r="A893" s="382"/>
      <c r="B893" s="355"/>
      <c r="C893" s="450"/>
      <c r="D893" s="450"/>
      <c r="E893" s="355"/>
      <c r="F893" s="355"/>
      <c r="G893" s="355"/>
      <c r="H893" s="355"/>
      <c r="I893" s="355"/>
      <c r="J893" s="355"/>
      <c r="K893" s="355"/>
      <c r="L893" s="355"/>
      <c r="M893" s="355"/>
      <c r="N893" s="355"/>
      <c r="O893" s="355"/>
      <c r="P893" s="355"/>
      <c r="Q893" s="355"/>
      <c r="R893" s="355"/>
      <c r="S893" s="355"/>
      <c r="T893" s="355"/>
      <c r="U893" s="355"/>
      <c r="V893" s="355"/>
      <c r="W893" s="355"/>
      <c r="X893" s="355"/>
      <c r="Y893" s="355"/>
      <c r="Z893" s="355"/>
    </row>
    <row r="894" spans="1:26" ht="13.5" customHeight="1" x14ac:dyDescent="0.25">
      <c r="A894" s="382"/>
      <c r="B894" s="355"/>
      <c r="C894" s="450"/>
      <c r="D894" s="450"/>
      <c r="E894" s="355"/>
      <c r="F894" s="355"/>
      <c r="G894" s="355"/>
      <c r="H894" s="355"/>
      <c r="I894" s="355"/>
      <c r="J894" s="355"/>
      <c r="K894" s="355"/>
      <c r="L894" s="355"/>
      <c r="M894" s="355"/>
      <c r="N894" s="355"/>
      <c r="O894" s="355"/>
      <c r="P894" s="355"/>
      <c r="Q894" s="355"/>
      <c r="R894" s="355"/>
      <c r="S894" s="355"/>
      <c r="T894" s="355"/>
      <c r="U894" s="355"/>
      <c r="V894" s="355"/>
      <c r="W894" s="355"/>
      <c r="X894" s="355"/>
      <c r="Y894" s="355"/>
      <c r="Z894" s="355"/>
    </row>
    <row r="895" spans="1:26" ht="13.5" customHeight="1" x14ac:dyDescent="0.25">
      <c r="A895" s="382"/>
      <c r="B895" s="355"/>
      <c r="C895" s="450"/>
      <c r="D895" s="450"/>
      <c r="E895" s="355"/>
      <c r="F895" s="355"/>
      <c r="G895" s="355"/>
      <c r="H895" s="355"/>
      <c r="I895" s="355"/>
      <c r="J895" s="355"/>
      <c r="K895" s="355"/>
      <c r="L895" s="355"/>
      <c r="M895" s="355"/>
      <c r="N895" s="355"/>
      <c r="O895" s="355"/>
      <c r="P895" s="355"/>
      <c r="Q895" s="355"/>
      <c r="R895" s="355"/>
      <c r="S895" s="355"/>
      <c r="T895" s="355"/>
      <c r="U895" s="355"/>
      <c r="V895" s="355"/>
      <c r="W895" s="355"/>
      <c r="X895" s="355"/>
      <c r="Y895" s="355"/>
      <c r="Z895" s="355"/>
    </row>
    <row r="896" spans="1:26" ht="13.5" customHeight="1" x14ac:dyDescent="0.25">
      <c r="A896" s="382"/>
      <c r="B896" s="355"/>
      <c r="C896" s="450"/>
      <c r="D896" s="450"/>
      <c r="E896" s="355"/>
      <c r="F896" s="355"/>
      <c r="G896" s="355"/>
      <c r="H896" s="355"/>
      <c r="I896" s="355"/>
      <c r="J896" s="355"/>
      <c r="K896" s="355"/>
      <c r="L896" s="355"/>
      <c r="M896" s="355"/>
      <c r="N896" s="355"/>
      <c r="O896" s="355"/>
      <c r="P896" s="355"/>
      <c r="Q896" s="355"/>
      <c r="R896" s="355"/>
      <c r="S896" s="355"/>
      <c r="T896" s="355"/>
      <c r="U896" s="355"/>
      <c r="V896" s="355"/>
      <c r="W896" s="355"/>
      <c r="X896" s="355"/>
      <c r="Y896" s="355"/>
      <c r="Z896" s="355"/>
    </row>
    <row r="897" spans="1:26" ht="13.5" customHeight="1" x14ac:dyDescent="0.25">
      <c r="A897" s="382"/>
      <c r="B897" s="355"/>
      <c r="C897" s="450"/>
      <c r="D897" s="450"/>
      <c r="E897" s="355"/>
      <c r="F897" s="355"/>
      <c r="G897" s="355"/>
      <c r="H897" s="355"/>
      <c r="I897" s="355"/>
      <c r="J897" s="355"/>
      <c r="K897" s="355"/>
      <c r="L897" s="355"/>
      <c r="M897" s="355"/>
      <c r="N897" s="355"/>
      <c r="O897" s="355"/>
      <c r="P897" s="355"/>
      <c r="Q897" s="355"/>
      <c r="R897" s="355"/>
      <c r="S897" s="355"/>
      <c r="T897" s="355"/>
      <c r="U897" s="355"/>
      <c r="V897" s="355"/>
      <c r="W897" s="355"/>
      <c r="X897" s="355"/>
      <c r="Y897" s="355"/>
      <c r="Z897" s="355"/>
    </row>
    <row r="898" spans="1:26" ht="13.5" customHeight="1" x14ac:dyDescent="0.25">
      <c r="A898" s="382"/>
      <c r="B898" s="355"/>
      <c r="C898" s="450"/>
      <c r="D898" s="450"/>
      <c r="E898" s="355"/>
      <c r="F898" s="355"/>
      <c r="G898" s="355"/>
      <c r="H898" s="355"/>
      <c r="I898" s="355"/>
      <c r="J898" s="355"/>
      <c r="K898" s="355"/>
      <c r="L898" s="355"/>
      <c r="M898" s="355"/>
      <c r="N898" s="355"/>
      <c r="O898" s="355"/>
      <c r="P898" s="355"/>
      <c r="Q898" s="355"/>
      <c r="R898" s="355"/>
      <c r="S898" s="355"/>
      <c r="T898" s="355"/>
      <c r="U898" s="355"/>
      <c r="V898" s="355"/>
      <c r="W898" s="355"/>
      <c r="X898" s="355"/>
      <c r="Y898" s="355"/>
      <c r="Z898" s="355"/>
    </row>
    <row r="899" spans="1:26" ht="13.5" customHeight="1" x14ac:dyDescent="0.25">
      <c r="A899" s="382"/>
      <c r="B899" s="355"/>
      <c r="C899" s="450"/>
      <c r="D899" s="450"/>
      <c r="E899" s="355"/>
      <c r="F899" s="355"/>
      <c r="G899" s="355"/>
      <c r="H899" s="355"/>
      <c r="I899" s="355"/>
      <c r="J899" s="355"/>
      <c r="K899" s="355"/>
      <c r="L899" s="355"/>
      <c r="M899" s="355"/>
      <c r="N899" s="355"/>
      <c r="O899" s="355"/>
      <c r="P899" s="355"/>
      <c r="Q899" s="355"/>
      <c r="R899" s="355"/>
      <c r="S899" s="355"/>
      <c r="T899" s="355"/>
      <c r="U899" s="355"/>
      <c r="V899" s="355"/>
      <c r="W899" s="355"/>
      <c r="X899" s="355"/>
      <c r="Y899" s="355"/>
      <c r="Z899" s="355"/>
    </row>
    <row r="900" spans="1:26" ht="13.5" customHeight="1" x14ac:dyDescent="0.25">
      <c r="A900" s="382"/>
      <c r="B900" s="355"/>
      <c r="C900" s="450"/>
      <c r="D900" s="450"/>
      <c r="E900" s="355"/>
      <c r="F900" s="355"/>
      <c r="G900" s="355"/>
      <c r="H900" s="355"/>
      <c r="I900" s="355"/>
      <c r="J900" s="355"/>
      <c r="K900" s="355"/>
      <c r="L900" s="355"/>
      <c r="M900" s="355"/>
      <c r="N900" s="355"/>
      <c r="O900" s="355"/>
      <c r="P900" s="355"/>
      <c r="Q900" s="355"/>
      <c r="R900" s="355"/>
      <c r="S900" s="355"/>
      <c r="T900" s="355"/>
      <c r="U900" s="355"/>
      <c r="V900" s="355"/>
      <c r="W900" s="355"/>
      <c r="X900" s="355"/>
      <c r="Y900" s="355"/>
      <c r="Z900" s="355"/>
    </row>
    <row r="901" spans="1:26" ht="13.5" customHeight="1" x14ac:dyDescent="0.25">
      <c r="A901" s="382"/>
      <c r="B901" s="355"/>
      <c r="C901" s="450"/>
      <c r="D901" s="450"/>
      <c r="E901" s="355"/>
      <c r="F901" s="355"/>
      <c r="G901" s="355"/>
      <c r="H901" s="355"/>
      <c r="I901" s="355"/>
      <c r="J901" s="355"/>
      <c r="K901" s="355"/>
      <c r="L901" s="355"/>
      <c r="M901" s="355"/>
      <c r="N901" s="355"/>
      <c r="O901" s="355"/>
      <c r="P901" s="355"/>
      <c r="Q901" s="355"/>
      <c r="R901" s="355"/>
      <c r="S901" s="355"/>
      <c r="T901" s="355"/>
      <c r="U901" s="355"/>
      <c r="V901" s="355"/>
      <c r="W901" s="355"/>
      <c r="X901" s="355"/>
      <c r="Y901" s="355"/>
      <c r="Z901" s="355"/>
    </row>
    <row r="902" spans="1:26" ht="13.5" customHeight="1" x14ac:dyDescent="0.25">
      <c r="A902" s="382"/>
      <c r="B902" s="355"/>
      <c r="C902" s="450"/>
      <c r="D902" s="450"/>
      <c r="E902" s="355"/>
      <c r="F902" s="355"/>
      <c r="G902" s="355"/>
      <c r="H902" s="355"/>
      <c r="I902" s="355"/>
      <c r="J902" s="355"/>
      <c r="K902" s="355"/>
      <c r="L902" s="355"/>
      <c r="M902" s="355"/>
      <c r="N902" s="355"/>
      <c r="O902" s="355"/>
      <c r="P902" s="355"/>
      <c r="Q902" s="355"/>
      <c r="R902" s="355"/>
      <c r="S902" s="355"/>
      <c r="T902" s="355"/>
      <c r="U902" s="355"/>
      <c r="V902" s="355"/>
      <c r="W902" s="355"/>
      <c r="X902" s="355"/>
      <c r="Y902" s="355"/>
      <c r="Z902" s="355"/>
    </row>
    <row r="903" spans="1:26" ht="13.5" customHeight="1" x14ac:dyDescent="0.25">
      <c r="A903" s="382"/>
      <c r="B903" s="355"/>
      <c r="C903" s="450"/>
      <c r="D903" s="450"/>
      <c r="E903" s="355"/>
      <c r="F903" s="355"/>
      <c r="G903" s="355"/>
      <c r="H903" s="355"/>
      <c r="I903" s="355"/>
      <c r="J903" s="355"/>
      <c r="K903" s="355"/>
      <c r="L903" s="355"/>
      <c r="M903" s="355"/>
      <c r="N903" s="355"/>
      <c r="O903" s="355"/>
      <c r="P903" s="355"/>
      <c r="Q903" s="355"/>
      <c r="R903" s="355"/>
      <c r="S903" s="355"/>
      <c r="T903" s="355"/>
      <c r="U903" s="355"/>
      <c r="V903" s="355"/>
      <c r="W903" s="355"/>
      <c r="X903" s="355"/>
      <c r="Y903" s="355"/>
      <c r="Z903" s="355"/>
    </row>
    <row r="904" spans="1:26" ht="13.5" customHeight="1" x14ac:dyDescent="0.25">
      <c r="A904" s="382"/>
      <c r="B904" s="355"/>
      <c r="C904" s="450"/>
      <c r="D904" s="450"/>
      <c r="E904" s="355"/>
      <c r="F904" s="355"/>
      <c r="G904" s="355"/>
      <c r="H904" s="355"/>
      <c r="I904" s="355"/>
      <c r="J904" s="355"/>
      <c r="K904" s="355"/>
      <c r="L904" s="355"/>
      <c r="M904" s="355"/>
      <c r="N904" s="355"/>
      <c r="O904" s="355"/>
      <c r="P904" s="355"/>
      <c r="Q904" s="355"/>
      <c r="R904" s="355"/>
      <c r="S904" s="355"/>
      <c r="T904" s="355"/>
      <c r="U904" s="355"/>
      <c r="V904" s="355"/>
      <c r="W904" s="355"/>
      <c r="X904" s="355"/>
      <c r="Y904" s="355"/>
      <c r="Z904" s="355"/>
    </row>
    <row r="905" spans="1:26" ht="13.5" customHeight="1" x14ac:dyDescent="0.25">
      <c r="A905" s="382"/>
      <c r="B905" s="355"/>
      <c r="C905" s="450"/>
      <c r="D905" s="450"/>
      <c r="E905" s="355"/>
      <c r="F905" s="355"/>
      <c r="G905" s="355"/>
      <c r="H905" s="355"/>
      <c r="I905" s="355"/>
      <c r="J905" s="355"/>
      <c r="K905" s="355"/>
      <c r="L905" s="355"/>
      <c r="M905" s="355"/>
      <c r="N905" s="355"/>
      <c r="O905" s="355"/>
      <c r="P905" s="355"/>
      <c r="Q905" s="355"/>
      <c r="R905" s="355"/>
      <c r="S905" s="355"/>
      <c r="T905" s="355"/>
      <c r="U905" s="355"/>
      <c r="V905" s="355"/>
      <c r="W905" s="355"/>
      <c r="X905" s="355"/>
      <c r="Y905" s="355"/>
      <c r="Z905" s="355"/>
    </row>
    <row r="906" spans="1:26" ht="13.5" customHeight="1" x14ac:dyDescent="0.25">
      <c r="A906" s="382"/>
      <c r="B906" s="355"/>
      <c r="C906" s="450"/>
      <c r="D906" s="450"/>
      <c r="E906" s="355"/>
      <c r="F906" s="355"/>
      <c r="G906" s="355"/>
      <c r="H906" s="355"/>
      <c r="I906" s="355"/>
      <c r="J906" s="355"/>
      <c r="K906" s="355"/>
      <c r="L906" s="355"/>
      <c r="M906" s="355"/>
      <c r="N906" s="355"/>
      <c r="O906" s="355"/>
      <c r="P906" s="355"/>
      <c r="Q906" s="355"/>
      <c r="R906" s="355"/>
      <c r="S906" s="355"/>
      <c r="T906" s="355"/>
      <c r="U906" s="355"/>
      <c r="V906" s="355"/>
      <c r="W906" s="355"/>
      <c r="X906" s="355"/>
      <c r="Y906" s="355"/>
      <c r="Z906" s="355"/>
    </row>
    <row r="907" spans="1:26" ht="13.5" customHeight="1" x14ac:dyDescent="0.25">
      <c r="A907" s="382"/>
      <c r="B907" s="355"/>
      <c r="C907" s="450"/>
      <c r="D907" s="450"/>
      <c r="E907" s="355"/>
      <c r="F907" s="355"/>
      <c r="G907" s="355"/>
      <c r="H907" s="355"/>
      <c r="I907" s="355"/>
      <c r="J907" s="355"/>
      <c r="K907" s="355"/>
      <c r="L907" s="355"/>
      <c r="M907" s="355"/>
      <c r="N907" s="355"/>
      <c r="O907" s="355"/>
      <c r="P907" s="355"/>
      <c r="Q907" s="355"/>
      <c r="R907" s="355"/>
      <c r="S907" s="355"/>
      <c r="T907" s="355"/>
      <c r="U907" s="355"/>
      <c r="V907" s="355"/>
      <c r="W907" s="355"/>
      <c r="X907" s="355"/>
      <c r="Y907" s="355"/>
      <c r="Z907" s="355"/>
    </row>
    <row r="908" spans="1:26" ht="13.5" customHeight="1" x14ac:dyDescent="0.25">
      <c r="A908" s="382"/>
      <c r="B908" s="355"/>
      <c r="C908" s="450"/>
      <c r="D908" s="450"/>
      <c r="E908" s="355"/>
      <c r="F908" s="355"/>
      <c r="G908" s="355"/>
      <c r="H908" s="355"/>
      <c r="I908" s="355"/>
      <c r="J908" s="355"/>
      <c r="K908" s="355"/>
      <c r="L908" s="355"/>
      <c r="M908" s="355"/>
      <c r="N908" s="355"/>
      <c r="O908" s="355"/>
      <c r="P908" s="355"/>
      <c r="Q908" s="355"/>
      <c r="R908" s="355"/>
      <c r="S908" s="355"/>
      <c r="T908" s="355"/>
      <c r="U908" s="355"/>
      <c r="V908" s="355"/>
      <c r="W908" s="355"/>
      <c r="X908" s="355"/>
      <c r="Y908" s="355"/>
      <c r="Z908" s="355"/>
    </row>
    <row r="909" spans="1:26" ht="13.5" customHeight="1" x14ac:dyDescent="0.25">
      <c r="A909" s="382"/>
      <c r="B909" s="355"/>
      <c r="C909" s="450"/>
      <c r="D909" s="450"/>
      <c r="E909" s="355"/>
      <c r="F909" s="355"/>
      <c r="G909" s="355"/>
      <c r="H909" s="355"/>
      <c r="I909" s="355"/>
      <c r="J909" s="355"/>
      <c r="K909" s="355"/>
      <c r="L909" s="355"/>
      <c r="M909" s="355"/>
      <c r="N909" s="355"/>
      <c r="O909" s="355"/>
      <c r="P909" s="355"/>
      <c r="Q909" s="355"/>
      <c r="R909" s="355"/>
      <c r="S909" s="355"/>
      <c r="T909" s="355"/>
      <c r="U909" s="355"/>
      <c r="V909" s="355"/>
      <c r="W909" s="355"/>
      <c r="X909" s="355"/>
      <c r="Y909" s="355"/>
      <c r="Z909" s="355"/>
    </row>
    <row r="910" spans="1:26" ht="13.5" customHeight="1" x14ac:dyDescent="0.25">
      <c r="A910" s="382"/>
      <c r="B910" s="355"/>
      <c r="C910" s="450"/>
      <c r="D910" s="450"/>
      <c r="E910" s="355"/>
      <c r="F910" s="355"/>
      <c r="G910" s="355"/>
      <c r="H910" s="355"/>
      <c r="I910" s="355"/>
      <c r="J910" s="355"/>
      <c r="K910" s="355"/>
      <c r="L910" s="355"/>
      <c r="M910" s="355"/>
      <c r="N910" s="355"/>
      <c r="O910" s="355"/>
      <c r="P910" s="355"/>
      <c r="Q910" s="355"/>
      <c r="R910" s="355"/>
      <c r="S910" s="355"/>
      <c r="T910" s="355"/>
      <c r="U910" s="355"/>
      <c r="V910" s="355"/>
      <c r="W910" s="355"/>
      <c r="X910" s="355"/>
      <c r="Y910" s="355"/>
      <c r="Z910" s="355"/>
    </row>
    <row r="911" spans="1:26" ht="13.5" customHeight="1" x14ac:dyDescent="0.25">
      <c r="A911" s="382"/>
      <c r="B911" s="355"/>
      <c r="C911" s="450"/>
      <c r="D911" s="450"/>
      <c r="E911" s="355"/>
      <c r="F911" s="355"/>
      <c r="G911" s="355"/>
      <c r="H911" s="355"/>
      <c r="I911" s="355"/>
      <c r="J911" s="355"/>
      <c r="K911" s="355"/>
      <c r="L911" s="355"/>
      <c r="M911" s="355"/>
      <c r="N911" s="355"/>
      <c r="O911" s="355"/>
      <c r="P911" s="355"/>
      <c r="Q911" s="355"/>
      <c r="R911" s="355"/>
      <c r="S911" s="355"/>
      <c r="T911" s="355"/>
      <c r="U911" s="355"/>
      <c r="V911" s="355"/>
      <c r="W911" s="355"/>
      <c r="X911" s="355"/>
      <c r="Y911" s="355"/>
      <c r="Z911" s="355"/>
    </row>
    <row r="912" spans="1:26" ht="13.5" customHeight="1" x14ac:dyDescent="0.25">
      <c r="A912" s="382"/>
      <c r="B912" s="355"/>
      <c r="C912" s="450"/>
      <c r="D912" s="450"/>
      <c r="E912" s="355"/>
      <c r="F912" s="355"/>
      <c r="G912" s="355"/>
      <c r="H912" s="355"/>
      <c r="I912" s="355"/>
      <c r="J912" s="355"/>
      <c r="K912" s="355"/>
      <c r="L912" s="355"/>
      <c r="M912" s="355"/>
      <c r="N912" s="355"/>
      <c r="O912" s="355"/>
      <c r="P912" s="355"/>
      <c r="Q912" s="355"/>
      <c r="R912" s="355"/>
      <c r="S912" s="355"/>
      <c r="T912" s="355"/>
      <c r="U912" s="355"/>
      <c r="V912" s="355"/>
      <c r="W912" s="355"/>
      <c r="X912" s="355"/>
      <c r="Y912" s="355"/>
      <c r="Z912" s="355"/>
    </row>
    <row r="913" spans="1:26" ht="13.5" customHeight="1" x14ac:dyDescent="0.25">
      <c r="A913" s="382"/>
      <c r="B913" s="355"/>
      <c r="C913" s="450"/>
      <c r="D913" s="450"/>
      <c r="E913" s="355"/>
      <c r="F913" s="355"/>
      <c r="G913" s="355"/>
      <c r="H913" s="355"/>
      <c r="I913" s="355"/>
      <c r="J913" s="355"/>
      <c r="K913" s="355"/>
      <c r="L913" s="355"/>
      <c r="M913" s="355"/>
      <c r="N913" s="355"/>
      <c r="O913" s="355"/>
      <c r="P913" s="355"/>
      <c r="Q913" s="355"/>
      <c r="R913" s="355"/>
      <c r="S913" s="355"/>
      <c r="T913" s="355"/>
      <c r="U913" s="355"/>
      <c r="V913" s="355"/>
      <c r="W913" s="355"/>
      <c r="X913" s="355"/>
      <c r="Y913" s="355"/>
      <c r="Z913" s="355"/>
    </row>
    <row r="914" spans="1:26" ht="13.5" customHeight="1" x14ac:dyDescent="0.25">
      <c r="A914" s="382"/>
      <c r="B914" s="355"/>
      <c r="C914" s="450"/>
      <c r="D914" s="450"/>
      <c r="E914" s="355"/>
      <c r="F914" s="355"/>
      <c r="G914" s="355"/>
      <c r="H914" s="355"/>
      <c r="I914" s="355"/>
      <c r="J914" s="355"/>
      <c r="K914" s="355"/>
      <c r="L914" s="355"/>
      <c r="M914" s="355"/>
      <c r="N914" s="355"/>
      <c r="O914" s="355"/>
      <c r="P914" s="355"/>
      <c r="Q914" s="355"/>
      <c r="R914" s="355"/>
      <c r="S914" s="355"/>
      <c r="T914" s="355"/>
      <c r="U914" s="355"/>
      <c r="V914" s="355"/>
      <c r="W914" s="355"/>
      <c r="X914" s="355"/>
      <c r="Y914" s="355"/>
      <c r="Z914" s="355"/>
    </row>
    <row r="915" spans="1:26" ht="13.5" customHeight="1" x14ac:dyDescent="0.25">
      <c r="A915" s="382"/>
      <c r="B915" s="355"/>
      <c r="C915" s="450"/>
      <c r="D915" s="450"/>
      <c r="E915" s="355"/>
      <c r="F915" s="355"/>
      <c r="G915" s="355"/>
      <c r="H915" s="355"/>
      <c r="I915" s="355"/>
      <c r="J915" s="355"/>
      <c r="K915" s="355"/>
      <c r="L915" s="355"/>
      <c r="M915" s="355"/>
      <c r="N915" s="355"/>
      <c r="O915" s="355"/>
      <c r="P915" s="355"/>
      <c r="Q915" s="355"/>
      <c r="R915" s="355"/>
      <c r="S915" s="355"/>
      <c r="T915" s="355"/>
      <c r="U915" s="355"/>
      <c r="V915" s="355"/>
      <c r="W915" s="355"/>
      <c r="X915" s="355"/>
      <c r="Y915" s="355"/>
      <c r="Z915" s="355"/>
    </row>
    <row r="916" spans="1:26" ht="13.5" customHeight="1" x14ac:dyDescent="0.25">
      <c r="A916" s="382"/>
      <c r="B916" s="355"/>
      <c r="C916" s="450"/>
      <c r="D916" s="450"/>
      <c r="E916" s="355"/>
      <c r="F916" s="355"/>
      <c r="G916" s="355"/>
      <c r="H916" s="355"/>
      <c r="I916" s="355"/>
      <c r="J916" s="355"/>
      <c r="K916" s="355"/>
      <c r="L916" s="355"/>
      <c r="M916" s="355"/>
      <c r="N916" s="355"/>
      <c r="O916" s="355"/>
      <c r="P916" s="355"/>
      <c r="Q916" s="355"/>
      <c r="R916" s="355"/>
      <c r="S916" s="355"/>
      <c r="T916" s="355"/>
      <c r="U916" s="355"/>
      <c r="V916" s="355"/>
      <c r="W916" s="355"/>
      <c r="X916" s="355"/>
      <c r="Y916" s="355"/>
      <c r="Z916" s="355"/>
    </row>
    <row r="917" spans="1:26" ht="13.5" customHeight="1" x14ac:dyDescent="0.25">
      <c r="A917" s="382"/>
      <c r="B917" s="355"/>
      <c r="C917" s="450"/>
      <c r="D917" s="450"/>
      <c r="E917" s="355"/>
      <c r="F917" s="355"/>
      <c r="G917" s="355"/>
      <c r="H917" s="355"/>
      <c r="I917" s="355"/>
      <c r="J917" s="355"/>
      <c r="K917" s="355"/>
      <c r="L917" s="355"/>
      <c r="M917" s="355"/>
      <c r="N917" s="355"/>
      <c r="O917" s="355"/>
      <c r="P917" s="355"/>
      <c r="Q917" s="355"/>
      <c r="R917" s="355"/>
      <c r="S917" s="355"/>
      <c r="T917" s="355"/>
      <c r="U917" s="355"/>
      <c r="V917" s="355"/>
      <c r="W917" s="355"/>
      <c r="X917" s="355"/>
      <c r="Y917" s="355"/>
      <c r="Z917" s="355"/>
    </row>
    <row r="918" spans="1:26" ht="13.5" customHeight="1" x14ac:dyDescent="0.25">
      <c r="A918" s="382"/>
      <c r="B918" s="355"/>
      <c r="C918" s="450"/>
      <c r="D918" s="450"/>
      <c r="E918" s="355"/>
      <c r="F918" s="355"/>
      <c r="G918" s="355"/>
      <c r="H918" s="355"/>
      <c r="I918" s="355"/>
      <c r="J918" s="355"/>
      <c r="K918" s="355"/>
      <c r="L918" s="355"/>
      <c r="M918" s="355"/>
      <c r="N918" s="355"/>
      <c r="O918" s="355"/>
      <c r="P918" s="355"/>
      <c r="Q918" s="355"/>
      <c r="R918" s="355"/>
      <c r="S918" s="355"/>
      <c r="T918" s="355"/>
      <c r="U918" s="355"/>
      <c r="V918" s="355"/>
      <c r="W918" s="355"/>
      <c r="X918" s="355"/>
      <c r="Y918" s="355"/>
      <c r="Z918" s="355"/>
    </row>
    <row r="919" spans="1:26" ht="13.5" customHeight="1" x14ac:dyDescent="0.25">
      <c r="A919" s="382"/>
      <c r="B919" s="355"/>
      <c r="C919" s="450"/>
      <c r="D919" s="450"/>
      <c r="E919" s="355"/>
      <c r="F919" s="355"/>
      <c r="G919" s="355"/>
      <c r="H919" s="355"/>
      <c r="I919" s="355"/>
      <c r="J919" s="355"/>
      <c r="K919" s="355"/>
      <c r="L919" s="355"/>
      <c r="M919" s="355"/>
      <c r="N919" s="355"/>
      <c r="O919" s="355"/>
      <c r="P919" s="355"/>
      <c r="Q919" s="355"/>
      <c r="R919" s="355"/>
      <c r="S919" s="355"/>
      <c r="T919" s="355"/>
      <c r="U919" s="355"/>
      <c r="V919" s="355"/>
      <c r="W919" s="355"/>
      <c r="X919" s="355"/>
      <c r="Y919" s="355"/>
      <c r="Z919" s="355"/>
    </row>
    <row r="920" spans="1:26" ht="13.5" customHeight="1" x14ac:dyDescent="0.25">
      <c r="A920" s="382"/>
      <c r="B920" s="355"/>
      <c r="C920" s="450"/>
      <c r="D920" s="450"/>
      <c r="E920" s="355"/>
      <c r="F920" s="355"/>
      <c r="G920" s="355"/>
      <c r="H920" s="355"/>
      <c r="I920" s="355"/>
      <c r="J920" s="355"/>
      <c r="K920" s="355"/>
      <c r="L920" s="355"/>
      <c r="M920" s="355"/>
      <c r="N920" s="355"/>
      <c r="O920" s="355"/>
      <c r="P920" s="355"/>
      <c r="Q920" s="355"/>
      <c r="R920" s="355"/>
      <c r="S920" s="355"/>
      <c r="T920" s="355"/>
      <c r="U920" s="355"/>
      <c r="V920" s="355"/>
      <c r="W920" s="355"/>
      <c r="X920" s="355"/>
      <c r="Y920" s="355"/>
      <c r="Z920" s="355"/>
    </row>
    <row r="921" spans="1:26" ht="13.5" customHeight="1" x14ac:dyDescent="0.25">
      <c r="A921" s="382"/>
      <c r="B921" s="355"/>
      <c r="C921" s="450"/>
      <c r="D921" s="450"/>
      <c r="E921" s="355"/>
      <c r="F921" s="355"/>
      <c r="G921" s="355"/>
      <c r="H921" s="355"/>
      <c r="I921" s="355"/>
      <c r="J921" s="355"/>
      <c r="K921" s="355"/>
      <c r="L921" s="355"/>
      <c r="M921" s="355"/>
      <c r="N921" s="355"/>
      <c r="O921" s="355"/>
      <c r="P921" s="355"/>
      <c r="Q921" s="355"/>
      <c r="R921" s="355"/>
      <c r="S921" s="355"/>
      <c r="T921" s="355"/>
      <c r="U921" s="355"/>
      <c r="V921" s="355"/>
      <c r="W921" s="355"/>
      <c r="X921" s="355"/>
      <c r="Y921" s="355"/>
      <c r="Z921" s="355"/>
    </row>
    <row r="922" spans="1:26" ht="13.5" customHeight="1" x14ac:dyDescent="0.25">
      <c r="A922" s="382"/>
      <c r="B922" s="355"/>
      <c r="C922" s="450"/>
      <c r="D922" s="450"/>
      <c r="E922" s="355"/>
      <c r="F922" s="355"/>
      <c r="G922" s="355"/>
      <c r="H922" s="355"/>
      <c r="I922" s="355"/>
      <c r="J922" s="355"/>
      <c r="K922" s="355"/>
      <c r="L922" s="355"/>
      <c r="M922" s="355"/>
      <c r="N922" s="355"/>
      <c r="O922" s="355"/>
      <c r="P922" s="355"/>
      <c r="Q922" s="355"/>
      <c r="R922" s="355"/>
      <c r="S922" s="355"/>
      <c r="T922" s="355"/>
      <c r="U922" s="355"/>
      <c r="V922" s="355"/>
      <c r="W922" s="355"/>
      <c r="X922" s="355"/>
      <c r="Y922" s="355"/>
      <c r="Z922" s="355"/>
    </row>
    <row r="923" spans="1:26" ht="13.5" customHeight="1" x14ac:dyDescent="0.25">
      <c r="A923" s="382"/>
      <c r="B923" s="355"/>
      <c r="C923" s="450"/>
      <c r="D923" s="450"/>
      <c r="E923" s="355"/>
      <c r="F923" s="355"/>
      <c r="G923" s="355"/>
      <c r="H923" s="355"/>
      <c r="I923" s="355"/>
      <c r="J923" s="355"/>
      <c r="K923" s="355"/>
      <c r="L923" s="355"/>
      <c r="M923" s="355"/>
      <c r="N923" s="355"/>
      <c r="O923" s="355"/>
      <c r="P923" s="355"/>
      <c r="Q923" s="355"/>
      <c r="R923" s="355"/>
      <c r="S923" s="355"/>
      <c r="T923" s="355"/>
      <c r="U923" s="355"/>
      <c r="V923" s="355"/>
      <c r="W923" s="355"/>
      <c r="X923" s="355"/>
      <c r="Y923" s="355"/>
      <c r="Z923" s="355"/>
    </row>
    <row r="924" spans="1:26" ht="13.5" customHeight="1" x14ac:dyDescent="0.25">
      <c r="A924" s="382"/>
      <c r="B924" s="355"/>
      <c r="C924" s="450"/>
      <c r="D924" s="450"/>
      <c r="E924" s="355"/>
      <c r="F924" s="355"/>
      <c r="G924" s="355"/>
      <c r="H924" s="355"/>
      <c r="I924" s="355"/>
      <c r="J924" s="355"/>
      <c r="K924" s="355"/>
      <c r="L924" s="355"/>
      <c r="M924" s="355"/>
      <c r="N924" s="355"/>
      <c r="O924" s="355"/>
      <c r="P924" s="355"/>
      <c r="Q924" s="355"/>
      <c r="R924" s="355"/>
      <c r="S924" s="355"/>
      <c r="T924" s="355"/>
      <c r="U924" s="355"/>
      <c r="V924" s="355"/>
      <c r="W924" s="355"/>
      <c r="X924" s="355"/>
      <c r="Y924" s="355"/>
      <c r="Z924" s="355"/>
    </row>
    <row r="925" spans="1:26" ht="13.5" customHeight="1" x14ac:dyDescent="0.25">
      <c r="A925" s="382"/>
      <c r="B925" s="355"/>
      <c r="C925" s="450"/>
      <c r="D925" s="450"/>
      <c r="E925" s="355"/>
      <c r="F925" s="355"/>
      <c r="G925" s="355"/>
      <c r="H925" s="355"/>
      <c r="I925" s="355"/>
      <c r="J925" s="355"/>
      <c r="K925" s="355"/>
      <c r="L925" s="355"/>
      <c r="M925" s="355"/>
      <c r="N925" s="355"/>
      <c r="O925" s="355"/>
      <c r="P925" s="355"/>
      <c r="Q925" s="355"/>
      <c r="R925" s="355"/>
      <c r="S925" s="355"/>
      <c r="T925" s="355"/>
      <c r="U925" s="355"/>
      <c r="V925" s="355"/>
      <c r="W925" s="355"/>
      <c r="X925" s="355"/>
      <c r="Y925" s="355"/>
      <c r="Z925" s="355"/>
    </row>
    <row r="926" spans="1:26" ht="13.5" customHeight="1" x14ac:dyDescent="0.25">
      <c r="A926" s="382"/>
      <c r="B926" s="355"/>
      <c r="C926" s="450"/>
      <c r="D926" s="450"/>
      <c r="E926" s="355"/>
      <c r="F926" s="355"/>
      <c r="G926" s="355"/>
      <c r="H926" s="355"/>
      <c r="I926" s="355"/>
      <c r="J926" s="355"/>
      <c r="K926" s="355"/>
      <c r="L926" s="355"/>
      <c r="M926" s="355"/>
      <c r="N926" s="355"/>
      <c r="O926" s="355"/>
      <c r="P926" s="355"/>
      <c r="Q926" s="355"/>
      <c r="R926" s="355"/>
      <c r="S926" s="355"/>
      <c r="T926" s="355"/>
      <c r="U926" s="355"/>
      <c r="V926" s="355"/>
      <c r="W926" s="355"/>
      <c r="X926" s="355"/>
      <c r="Y926" s="355"/>
      <c r="Z926" s="355"/>
    </row>
    <row r="927" spans="1:26" ht="13.5" customHeight="1" x14ac:dyDescent="0.25">
      <c r="A927" s="382"/>
      <c r="B927" s="355"/>
      <c r="C927" s="450"/>
      <c r="D927" s="450"/>
      <c r="E927" s="355"/>
      <c r="F927" s="355"/>
      <c r="G927" s="355"/>
      <c r="H927" s="355"/>
      <c r="I927" s="355"/>
      <c r="J927" s="355"/>
      <c r="K927" s="355"/>
      <c r="L927" s="355"/>
      <c r="M927" s="355"/>
      <c r="N927" s="355"/>
      <c r="O927" s="355"/>
      <c r="P927" s="355"/>
      <c r="Q927" s="355"/>
      <c r="R927" s="355"/>
      <c r="S927" s="355"/>
      <c r="T927" s="355"/>
      <c r="U927" s="355"/>
      <c r="V927" s="355"/>
      <c r="W927" s="355"/>
      <c r="X927" s="355"/>
      <c r="Y927" s="355"/>
      <c r="Z927" s="355"/>
    </row>
    <row r="928" spans="1:26" ht="13.5" customHeight="1" x14ac:dyDescent="0.25">
      <c r="A928" s="382"/>
      <c r="B928" s="355"/>
      <c r="C928" s="450"/>
      <c r="D928" s="450"/>
      <c r="E928" s="355"/>
      <c r="F928" s="355"/>
      <c r="G928" s="355"/>
      <c r="H928" s="355"/>
      <c r="I928" s="355"/>
      <c r="J928" s="355"/>
      <c r="K928" s="355"/>
      <c r="L928" s="355"/>
      <c r="M928" s="355"/>
      <c r="N928" s="355"/>
      <c r="O928" s="355"/>
      <c r="P928" s="355"/>
      <c r="Q928" s="355"/>
      <c r="R928" s="355"/>
      <c r="S928" s="355"/>
      <c r="T928" s="355"/>
      <c r="U928" s="355"/>
      <c r="V928" s="355"/>
      <c r="W928" s="355"/>
      <c r="X928" s="355"/>
      <c r="Y928" s="355"/>
      <c r="Z928" s="355"/>
    </row>
    <row r="929" spans="1:26" ht="13.5" customHeight="1" x14ac:dyDescent="0.25">
      <c r="A929" s="382"/>
      <c r="B929" s="355"/>
      <c r="C929" s="450"/>
      <c r="D929" s="450"/>
      <c r="E929" s="355"/>
      <c r="F929" s="355"/>
      <c r="G929" s="355"/>
      <c r="H929" s="355"/>
      <c r="I929" s="355"/>
      <c r="J929" s="355"/>
      <c r="K929" s="355"/>
      <c r="L929" s="355"/>
      <c r="M929" s="355"/>
      <c r="N929" s="355"/>
      <c r="O929" s="355"/>
      <c r="P929" s="355"/>
      <c r="Q929" s="355"/>
      <c r="R929" s="355"/>
      <c r="S929" s="355"/>
      <c r="T929" s="355"/>
      <c r="U929" s="355"/>
      <c r="V929" s="355"/>
      <c r="W929" s="355"/>
      <c r="X929" s="355"/>
      <c r="Y929" s="355"/>
      <c r="Z929" s="355"/>
    </row>
    <row r="930" spans="1:26" ht="13.5" customHeight="1" x14ac:dyDescent="0.25">
      <c r="A930" s="382"/>
      <c r="B930" s="355"/>
      <c r="C930" s="450"/>
      <c r="D930" s="450"/>
      <c r="E930" s="355"/>
      <c r="F930" s="355"/>
      <c r="G930" s="355"/>
      <c r="H930" s="355"/>
      <c r="I930" s="355"/>
      <c r="J930" s="355"/>
      <c r="K930" s="355"/>
      <c r="L930" s="355"/>
      <c r="M930" s="355"/>
      <c r="N930" s="355"/>
      <c r="O930" s="355"/>
      <c r="P930" s="355"/>
      <c r="Q930" s="355"/>
      <c r="R930" s="355"/>
      <c r="S930" s="355"/>
      <c r="T930" s="355"/>
      <c r="U930" s="355"/>
      <c r="V930" s="355"/>
      <c r="W930" s="355"/>
      <c r="X930" s="355"/>
      <c r="Y930" s="355"/>
      <c r="Z930" s="355"/>
    </row>
    <row r="931" spans="1:26" ht="13.5" customHeight="1" x14ac:dyDescent="0.25">
      <c r="A931" s="382"/>
      <c r="B931" s="355"/>
      <c r="C931" s="450"/>
      <c r="D931" s="450"/>
      <c r="E931" s="355"/>
      <c r="F931" s="355"/>
      <c r="G931" s="355"/>
      <c r="H931" s="355"/>
      <c r="I931" s="355"/>
      <c r="J931" s="355"/>
      <c r="K931" s="355"/>
      <c r="L931" s="355"/>
      <c r="M931" s="355"/>
      <c r="N931" s="355"/>
      <c r="O931" s="355"/>
      <c r="P931" s="355"/>
      <c r="Q931" s="355"/>
      <c r="R931" s="355"/>
      <c r="S931" s="355"/>
      <c r="T931" s="355"/>
      <c r="U931" s="355"/>
      <c r="V931" s="355"/>
      <c r="W931" s="355"/>
      <c r="X931" s="355"/>
      <c r="Y931" s="355"/>
      <c r="Z931" s="355"/>
    </row>
    <row r="932" spans="1:26" ht="13.5" customHeight="1" x14ac:dyDescent="0.25">
      <c r="A932" s="382"/>
      <c r="B932" s="355"/>
      <c r="C932" s="450"/>
      <c r="D932" s="450"/>
      <c r="E932" s="355"/>
      <c r="F932" s="355"/>
      <c r="G932" s="355"/>
      <c r="H932" s="355"/>
      <c r="I932" s="355"/>
      <c r="J932" s="355"/>
      <c r="K932" s="355"/>
      <c r="L932" s="355"/>
      <c r="M932" s="355"/>
      <c r="N932" s="355"/>
      <c r="O932" s="355"/>
      <c r="P932" s="355"/>
      <c r="Q932" s="355"/>
      <c r="R932" s="355"/>
      <c r="S932" s="355"/>
      <c r="T932" s="355"/>
      <c r="U932" s="355"/>
      <c r="V932" s="355"/>
      <c r="W932" s="355"/>
      <c r="X932" s="355"/>
      <c r="Y932" s="355"/>
      <c r="Z932" s="355"/>
    </row>
    <row r="933" spans="1:26" ht="13.5" customHeight="1" x14ac:dyDescent="0.25">
      <c r="A933" s="382"/>
      <c r="B933" s="355"/>
      <c r="C933" s="450"/>
      <c r="D933" s="450"/>
      <c r="E933" s="355"/>
      <c r="F933" s="355"/>
      <c r="G933" s="355"/>
      <c r="H933" s="355"/>
      <c r="I933" s="355"/>
      <c r="J933" s="355"/>
      <c r="K933" s="355"/>
      <c r="L933" s="355"/>
      <c r="M933" s="355"/>
      <c r="N933" s="355"/>
      <c r="O933" s="355"/>
      <c r="P933" s="355"/>
      <c r="Q933" s="355"/>
      <c r="R933" s="355"/>
      <c r="S933" s="355"/>
      <c r="T933" s="355"/>
      <c r="U933" s="355"/>
      <c r="V933" s="355"/>
      <c r="W933" s="355"/>
      <c r="X933" s="355"/>
      <c r="Y933" s="355"/>
      <c r="Z933" s="355"/>
    </row>
    <row r="934" spans="1:26" ht="13.5" customHeight="1" x14ac:dyDescent="0.25">
      <c r="A934" s="382"/>
      <c r="B934" s="355"/>
      <c r="C934" s="450"/>
      <c r="D934" s="450"/>
      <c r="E934" s="355"/>
      <c r="F934" s="355"/>
      <c r="G934" s="355"/>
      <c r="H934" s="355"/>
      <c r="I934" s="355"/>
      <c r="J934" s="355"/>
      <c r="K934" s="355"/>
      <c r="L934" s="355"/>
      <c r="M934" s="355"/>
      <c r="N934" s="355"/>
      <c r="O934" s="355"/>
      <c r="P934" s="355"/>
      <c r="Q934" s="355"/>
      <c r="R934" s="355"/>
      <c r="S934" s="355"/>
      <c r="T934" s="355"/>
      <c r="U934" s="355"/>
      <c r="V934" s="355"/>
      <c r="W934" s="355"/>
      <c r="X934" s="355"/>
      <c r="Y934" s="355"/>
      <c r="Z934" s="355"/>
    </row>
    <row r="935" spans="1:26" ht="13.5" customHeight="1" x14ac:dyDescent="0.25">
      <c r="A935" s="382"/>
      <c r="B935" s="355"/>
      <c r="C935" s="450"/>
      <c r="D935" s="450"/>
      <c r="E935" s="355"/>
      <c r="F935" s="355"/>
      <c r="G935" s="355"/>
      <c r="H935" s="355"/>
      <c r="I935" s="355"/>
      <c r="J935" s="355"/>
      <c r="K935" s="355"/>
      <c r="L935" s="355"/>
      <c r="M935" s="355"/>
      <c r="N935" s="355"/>
      <c r="O935" s="355"/>
      <c r="P935" s="355"/>
      <c r="Q935" s="355"/>
      <c r="R935" s="355"/>
      <c r="S935" s="355"/>
      <c r="T935" s="355"/>
      <c r="U935" s="355"/>
      <c r="V935" s="355"/>
      <c r="W935" s="355"/>
      <c r="X935" s="355"/>
      <c r="Y935" s="355"/>
      <c r="Z935" s="355"/>
    </row>
    <row r="936" spans="1:26" ht="13.5" customHeight="1" x14ac:dyDescent="0.25">
      <c r="A936" s="382"/>
      <c r="B936" s="355"/>
      <c r="C936" s="450"/>
      <c r="D936" s="450"/>
      <c r="E936" s="355"/>
      <c r="F936" s="355"/>
      <c r="G936" s="355"/>
      <c r="H936" s="355"/>
      <c r="I936" s="355"/>
      <c r="J936" s="355"/>
      <c r="K936" s="355"/>
      <c r="L936" s="355"/>
      <c r="M936" s="355"/>
      <c r="N936" s="355"/>
      <c r="O936" s="355"/>
      <c r="P936" s="355"/>
      <c r="Q936" s="355"/>
      <c r="R936" s="355"/>
      <c r="S936" s="355"/>
      <c r="T936" s="355"/>
      <c r="U936" s="355"/>
      <c r="V936" s="355"/>
      <c r="W936" s="355"/>
      <c r="X936" s="355"/>
      <c r="Y936" s="355"/>
      <c r="Z936" s="355"/>
    </row>
    <row r="937" spans="1:26" ht="13.5" customHeight="1" x14ac:dyDescent="0.25">
      <c r="A937" s="382"/>
      <c r="B937" s="355"/>
      <c r="C937" s="450"/>
      <c r="D937" s="450"/>
      <c r="E937" s="355"/>
      <c r="F937" s="355"/>
      <c r="G937" s="355"/>
      <c r="H937" s="355"/>
      <c r="I937" s="355"/>
      <c r="J937" s="355"/>
      <c r="K937" s="355"/>
      <c r="L937" s="355"/>
      <c r="M937" s="355"/>
      <c r="N937" s="355"/>
      <c r="O937" s="355"/>
      <c r="P937" s="355"/>
      <c r="Q937" s="355"/>
      <c r="R937" s="355"/>
      <c r="S937" s="355"/>
      <c r="T937" s="355"/>
      <c r="U937" s="355"/>
      <c r="V937" s="355"/>
      <c r="W937" s="355"/>
      <c r="X937" s="355"/>
      <c r="Y937" s="355"/>
      <c r="Z937" s="355"/>
    </row>
    <row r="938" spans="1:26" ht="13.5" customHeight="1" x14ac:dyDescent="0.25">
      <c r="A938" s="382"/>
      <c r="B938" s="355"/>
      <c r="C938" s="450"/>
      <c r="D938" s="450"/>
      <c r="E938" s="355"/>
      <c r="F938" s="355"/>
      <c r="G938" s="355"/>
      <c r="H938" s="355"/>
      <c r="I938" s="355"/>
      <c r="J938" s="355"/>
      <c r="K938" s="355"/>
      <c r="L938" s="355"/>
      <c r="M938" s="355"/>
      <c r="N938" s="355"/>
      <c r="O938" s="355"/>
      <c r="P938" s="355"/>
      <c r="Q938" s="355"/>
      <c r="R938" s="355"/>
      <c r="S938" s="355"/>
      <c r="T938" s="355"/>
      <c r="U938" s="355"/>
      <c r="V938" s="355"/>
      <c r="W938" s="355"/>
      <c r="X938" s="355"/>
      <c r="Y938" s="355"/>
      <c r="Z938" s="355"/>
    </row>
    <row r="939" spans="1:26" ht="13.5" customHeight="1" x14ac:dyDescent="0.25">
      <c r="A939" s="382"/>
      <c r="B939" s="355"/>
      <c r="C939" s="450"/>
      <c r="D939" s="450"/>
      <c r="E939" s="355"/>
      <c r="F939" s="355"/>
      <c r="G939" s="355"/>
      <c r="H939" s="355"/>
      <c r="I939" s="355"/>
      <c r="J939" s="355"/>
      <c r="K939" s="355"/>
      <c r="L939" s="355"/>
      <c r="M939" s="355"/>
      <c r="N939" s="355"/>
      <c r="O939" s="355"/>
      <c r="P939" s="355"/>
      <c r="Q939" s="355"/>
      <c r="R939" s="355"/>
      <c r="S939" s="355"/>
      <c r="T939" s="355"/>
      <c r="U939" s="355"/>
      <c r="V939" s="355"/>
      <c r="W939" s="355"/>
      <c r="X939" s="355"/>
      <c r="Y939" s="355"/>
      <c r="Z939" s="355"/>
    </row>
    <row r="940" spans="1:26" ht="13.5" customHeight="1" x14ac:dyDescent="0.25">
      <c r="A940" s="382"/>
      <c r="B940" s="355"/>
      <c r="C940" s="450"/>
      <c r="D940" s="450"/>
      <c r="E940" s="355"/>
      <c r="F940" s="355"/>
      <c r="G940" s="355"/>
      <c r="H940" s="355"/>
      <c r="I940" s="355"/>
      <c r="J940" s="355"/>
      <c r="K940" s="355"/>
      <c r="L940" s="355"/>
      <c r="M940" s="355"/>
      <c r="N940" s="355"/>
      <c r="O940" s="355"/>
      <c r="P940" s="355"/>
      <c r="Q940" s="355"/>
      <c r="R940" s="355"/>
      <c r="S940" s="355"/>
      <c r="T940" s="355"/>
      <c r="U940" s="355"/>
      <c r="V940" s="355"/>
      <c r="W940" s="355"/>
      <c r="X940" s="355"/>
      <c r="Y940" s="355"/>
      <c r="Z940" s="355"/>
    </row>
    <row r="941" spans="1:26" ht="13.5" customHeight="1" x14ac:dyDescent="0.25">
      <c r="A941" s="382"/>
      <c r="B941" s="355"/>
      <c r="C941" s="450"/>
      <c r="D941" s="450"/>
      <c r="E941" s="355"/>
      <c r="F941" s="355"/>
      <c r="G941" s="355"/>
      <c r="H941" s="355"/>
      <c r="I941" s="355"/>
      <c r="J941" s="355"/>
      <c r="K941" s="355"/>
      <c r="L941" s="355"/>
      <c r="M941" s="355"/>
      <c r="N941" s="355"/>
      <c r="O941" s="355"/>
      <c r="P941" s="355"/>
      <c r="Q941" s="355"/>
      <c r="R941" s="355"/>
      <c r="S941" s="355"/>
      <c r="T941" s="355"/>
      <c r="U941" s="355"/>
      <c r="V941" s="355"/>
      <c r="W941" s="355"/>
      <c r="X941" s="355"/>
      <c r="Y941" s="355"/>
      <c r="Z941" s="355"/>
    </row>
    <row r="942" spans="1:26" ht="13.5" customHeight="1" x14ac:dyDescent="0.25">
      <c r="A942" s="382"/>
      <c r="B942" s="355"/>
      <c r="C942" s="450"/>
      <c r="D942" s="450"/>
      <c r="E942" s="355"/>
      <c r="F942" s="355"/>
      <c r="G942" s="355"/>
      <c r="H942" s="355"/>
      <c r="I942" s="355"/>
      <c r="J942" s="355"/>
      <c r="K942" s="355"/>
      <c r="L942" s="355"/>
      <c r="M942" s="355"/>
      <c r="N942" s="355"/>
      <c r="O942" s="355"/>
      <c r="P942" s="355"/>
      <c r="Q942" s="355"/>
      <c r="R942" s="355"/>
      <c r="S942" s="355"/>
      <c r="T942" s="355"/>
      <c r="U942" s="355"/>
      <c r="V942" s="355"/>
      <c r="W942" s="355"/>
      <c r="X942" s="355"/>
      <c r="Y942" s="355"/>
      <c r="Z942" s="355"/>
    </row>
    <row r="943" spans="1:26" ht="13.5" customHeight="1" x14ac:dyDescent="0.25">
      <c r="A943" s="382"/>
      <c r="B943" s="355"/>
      <c r="C943" s="450"/>
      <c r="D943" s="450"/>
      <c r="E943" s="355"/>
      <c r="F943" s="355"/>
      <c r="G943" s="355"/>
      <c r="H943" s="355"/>
      <c r="I943" s="355"/>
      <c r="J943" s="355"/>
      <c r="K943" s="355"/>
      <c r="L943" s="355"/>
      <c r="M943" s="355"/>
      <c r="N943" s="355"/>
      <c r="O943" s="355"/>
      <c r="P943" s="355"/>
      <c r="Q943" s="355"/>
      <c r="R943" s="355"/>
      <c r="S943" s="355"/>
      <c r="T943" s="355"/>
      <c r="U943" s="355"/>
      <c r="V943" s="355"/>
      <c r="W943" s="355"/>
      <c r="X943" s="355"/>
      <c r="Y943" s="355"/>
      <c r="Z943" s="355"/>
    </row>
    <row r="944" spans="1:26" ht="13.5" customHeight="1" x14ac:dyDescent="0.25">
      <c r="A944" s="382"/>
      <c r="B944" s="355"/>
      <c r="C944" s="450"/>
      <c r="D944" s="450"/>
      <c r="E944" s="355"/>
      <c r="F944" s="355"/>
      <c r="G944" s="355"/>
      <c r="H944" s="355"/>
      <c r="I944" s="355"/>
      <c r="J944" s="355"/>
      <c r="K944" s="355"/>
      <c r="L944" s="355"/>
      <c r="M944" s="355"/>
      <c r="N944" s="355"/>
      <c r="O944" s="355"/>
      <c r="P944" s="355"/>
      <c r="Q944" s="355"/>
      <c r="R944" s="355"/>
      <c r="S944" s="355"/>
      <c r="T944" s="355"/>
      <c r="U944" s="355"/>
      <c r="V944" s="355"/>
      <c r="W944" s="355"/>
      <c r="X944" s="355"/>
      <c r="Y944" s="355"/>
      <c r="Z944" s="355"/>
    </row>
    <row r="945" spans="1:26" ht="13.5" customHeight="1" x14ac:dyDescent="0.25">
      <c r="A945" s="382"/>
      <c r="B945" s="355"/>
      <c r="C945" s="450"/>
      <c r="D945" s="450"/>
      <c r="E945" s="355"/>
      <c r="F945" s="355"/>
      <c r="G945" s="355"/>
      <c r="H945" s="355"/>
      <c r="I945" s="355"/>
      <c r="J945" s="355"/>
      <c r="K945" s="355"/>
      <c r="L945" s="355"/>
      <c r="M945" s="355"/>
      <c r="N945" s="355"/>
      <c r="O945" s="355"/>
      <c r="P945" s="355"/>
      <c r="Q945" s="355"/>
      <c r="R945" s="355"/>
      <c r="S945" s="355"/>
      <c r="T945" s="355"/>
      <c r="U945" s="355"/>
      <c r="V945" s="355"/>
      <c r="W945" s="355"/>
      <c r="X945" s="355"/>
      <c r="Y945" s="355"/>
      <c r="Z945" s="355"/>
    </row>
    <row r="946" spans="1:26" ht="13.5" customHeight="1" x14ac:dyDescent="0.25">
      <c r="A946" s="382"/>
      <c r="B946" s="355"/>
      <c r="C946" s="450"/>
      <c r="D946" s="450"/>
      <c r="E946" s="355"/>
      <c r="F946" s="355"/>
      <c r="G946" s="355"/>
      <c r="H946" s="355"/>
      <c r="I946" s="355"/>
      <c r="J946" s="355"/>
      <c r="K946" s="355"/>
      <c r="L946" s="355"/>
      <c r="M946" s="355"/>
      <c r="N946" s="355"/>
      <c r="O946" s="355"/>
      <c r="P946" s="355"/>
      <c r="Q946" s="355"/>
      <c r="R946" s="355"/>
      <c r="S946" s="355"/>
      <c r="T946" s="355"/>
      <c r="U946" s="355"/>
      <c r="V946" s="355"/>
      <c r="W946" s="355"/>
      <c r="X946" s="355"/>
      <c r="Y946" s="355"/>
      <c r="Z946" s="355"/>
    </row>
    <row r="947" spans="1:26" ht="13.5" customHeight="1" x14ac:dyDescent="0.25">
      <c r="A947" s="382"/>
      <c r="B947" s="355"/>
      <c r="C947" s="450"/>
      <c r="D947" s="450"/>
      <c r="E947" s="355"/>
      <c r="F947" s="355"/>
      <c r="G947" s="355"/>
      <c r="H947" s="355"/>
      <c r="I947" s="355"/>
      <c r="J947" s="355"/>
      <c r="K947" s="355"/>
      <c r="L947" s="355"/>
      <c r="M947" s="355"/>
      <c r="N947" s="355"/>
      <c r="O947" s="355"/>
      <c r="P947" s="355"/>
      <c r="Q947" s="355"/>
      <c r="R947" s="355"/>
      <c r="S947" s="355"/>
      <c r="T947" s="355"/>
      <c r="U947" s="355"/>
      <c r="V947" s="355"/>
      <c r="W947" s="355"/>
      <c r="X947" s="355"/>
      <c r="Y947" s="355"/>
      <c r="Z947" s="355"/>
    </row>
    <row r="948" spans="1:26" ht="13.5" customHeight="1" x14ac:dyDescent="0.25">
      <c r="A948" s="382"/>
      <c r="B948" s="355"/>
      <c r="C948" s="450"/>
      <c r="D948" s="450"/>
      <c r="E948" s="355"/>
      <c r="F948" s="355"/>
      <c r="G948" s="355"/>
      <c r="H948" s="355"/>
      <c r="I948" s="355"/>
      <c r="J948" s="355"/>
      <c r="K948" s="355"/>
      <c r="L948" s="355"/>
      <c r="M948" s="355"/>
      <c r="N948" s="355"/>
      <c r="O948" s="355"/>
      <c r="P948" s="355"/>
      <c r="Q948" s="355"/>
      <c r="R948" s="355"/>
      <c r="S948" s="355"/>
      <c r="T948" s="355"/>
      <c r="U948" s="355"/>
      <c r="V948" s="355"/>
      <c r="W948" s="355"/>
      <c r="X948" s="355"/>
      <c r="Y948" s="355"/>
      <c r="Z948" s="355"/>
    </row>
    <row r="949" spans="1:26" ht="13.5" customHeight="1" x14ac:dyDescent="0.25">
      <c r="A949" s="382"/>
      <c r="B949" s="355"/>
      <c r="C949" s="450"/>
      <c r="D949" s="450"/>
      <c r="E949" s="355"/>
      <c r="F949" s="355"/>
      <c r="G949" s="355"/>
      <c r="H949" s="355"/>
      <c r="I949" s="355"/>
      <c r="J949" s="355"/>
      <c r="K949" s="355"/>
      <c r="L949" s="355"/>
      <c r="M949" s="355"/>
      <c r="N949" s="355"/>
      <c r="O949" s="355"/>
      <c r="P949" s="355"/>
      <c r="Q949" s="355"/>
      <c r="R949" s="355"/>
      <c r="S949" s="355"/>
      <c r="T949" s="355"/>
      <c r="U949" s="355"/>
      <c r="V949" s="355"/>
      <c r="W949" s="355"/>
      <c r="X949" s="355"/>
      <c r="Y949" s="355"/>
      <c r="Z949" s="355"/>
    </row>
    <row r="950" spans="1:26" ht="13.5" customHeight="1" x14ac:dyDescent="0.25">
      <c r="A950" s="382"/>
      <c r="B950" s="355"/>
      <c r="C950" s="450"/>
      <c r="D950" s="450"/>
      <c r="E950" s="355"/>
      <c r="F950" s="355"/>
      <c r="G950" s="355"/>
      <c r="H950" s="355"/>
      <c r="I950" s="355"/>
      <c r="J950" s="355"/>
      <c r="K950" s="355"/>
      <c r="L950" s="355"/>
      <c r="M950" s="355"/>
      <c r="N950" s="355"/>
      <c r="O950" s="355"/>
      <c r="P950" s="355"/>
      <c r="Q950" s="355"/>
      <c r="R950" s="355"/>
      <c r="S950" s="355"/>
      <c r="T950" s="355"/>
      <c r="U950" s="355"/>
      <c r="V950" s="355"/>
      <c r="W950" s="355"/>
      <c r="X950" s="355"/>
      <c r="Y950" s="355"/>
      <c r="Z950" s="355"/>
    </row>
    <row r="951" spans="1:26" ht="13.5" customHeight="1" x14ac:dyDescent="0.25">
      <c r="A951" s="382"/>
      <c r="B951" s="355"/>
      <c r="C951" s="450"/>
      <c r="D951" s="450"/>
      <c r="E951" s="355"/>
      <c r="F951" s="355"/>
      <c r="G951" s="355"/>
      <c r="H951" s="355"/>
      <c r="I951" s="355"/>
      <c r="J951" s="355"/>
      <c r="K951" s="355"/>
      <c r="L951" s="355"/>
      <c r="M951" s="355"/>
      <c r="N951" s="355"/>
      <c r="O951" s="355"/>
      <c r="P951" s="355"/>
      <c r="Q951" s="355"/>
      <c r="R951" s="355"/>
      <c r="S951" s="355"/>
      <c r="T951" s="355"/>
      <c r="U951" s="355"/>
      <c r="V951" s="355"/>
      <c r="W951" s="355"/>
      <c r="X951" s="355"/>
      <c r="Y951" s="355"/>
      <c r="Z951" s="355"/>
    </row>
    <row r="952" spans="1:26" ht="13.5" customHeight="1" x14ac:dyDescent="0.25">
      <c r="A952" s="382"/>
      <c r="B952" s="355"/>
      <c r="C952" s="450"/>
      <c r="D952" s="450"/>
      <c r="E952" s="355"/>
      <c r="F952" s="355"/>
      <c r="G952" s="355"/>
      <c r="H952" s="355"/>
      <c r="I952" s="355"/>
      <c r="J952" s="355"/>
      <c r="K952" s="355"/>
      <c r="L952" s="355"/>
      <c r="M952" s="355"/>
      <c r="N952" s="355"/>
      <c r="O952" s="355"/>
      <c r="P952" s="355"/>
      <c r="Q952" s="355"/>
      <c r="R952" s="355"/>
      <c r="S952" s="355"/>
      <c r="T952" s="355"/>
      <c r="U952" s="355"/>
      <c r="V952" s="355"/>
      <c r="W952" s="355"/>
      <c r="X952" s="355"/>
      <c r="Y952" s="355"/>
      <c r="Z952" s="355"/>
    </row>
    <row r="953" spans="1:26" ht="13.5" customHeight="1" x14ac:dyDescent="0.25">
      <c r="A953" s="382"/>
      <c r="B953" s="355"/>
      <c r="C953" s="450"/>
      <c r="D953" s="450"/>
      <c r="E953" s="355"/>
      <c r="F953" s="355"/>
      <c r="G953" s="355"/>
      <c r="H953" s="355"/>
      <c r="I953" s="355"/>
      <c r="J953" s="355"/>
      <c r="K953" s="355"/>
      <c r="L953" s="355"/>
      <c r="M953" s="355"/>
      <c r="N953" s="355"/>
      <c r="O953" s="355"/>
      <c r="P953" s="355"/>
      <c r="Q953" s="355"/>
      <c r="R953" s="355"/>
      <c r="S953" s="355"/>
      <c r="T953" s="355"/>
      <c r="U953" s="355"/>
      <c r="V953" s="355"/>
      <c r="W953" s="355"/>
      <c r="X953" s="355"/>
      <c r="Y953" s="355"/>
      <c r="Z953" s="355"/>
    </row>
    <row r="954" spans="1:26" ht="13.5" customHeight="1" x14ac:dyDescent="0.25">
      <c r="A954" s="382"/>
      <c r="B954" s="355"/>
      <c r="C954" s="450"/>
      <c r="D954" s="450"/>
      <c r="E954" s="355"/>
      <c r="F954" s="355"/>
      <c r="G954" s="355"/>
      <c r="H954" s="355"/>
      <c r="I954" s="355"/>
      <c r="J954" s="355"/>
      <c r="K954" s="355"/>
      <c r="L954" s="355"/>
      <c r="M954" s="355"/>
      <c r="N954" s="355"/>
      <c r="O954" s="355"/>
      <c r="P954" s="355"/>
      <c r="Q954" s="355"/>
      <c r="R954" s="355"/>
      <c r="S954" s="355"/>
      <c r="T954" s="355"/>
      <c r="U954" s="355"/>
      <c r="V954" s="355"/>
      <c r="W954" s="355"/>
      <c r="X954" s="355"/>
      <c r="Y954" s="355"/>
      <c r="Z954" s="355"/>
    </row>
    <row r="955" spans="1:26" ht="13.5" customHeight="1" x14ac:dyDescent="0.25">
      <c r="A955" s="382"/>
      <c r="B955" s="355"/>
      <c r="C955" s="450"/>
      <c r="D955" s="450"/>
      <c r="E955" s="355"/>
      <c r="F955" s="355"/>
      <c r="G955" s="355"/>
      <c r="H955" s="355"/>
      <c r="I955" s="355"/>
      <c r="J955" s="355"/>
      <c r="K955" s="355"/>
      <c r="L955" s="355"/>
      <c r="M955" s="355"/>
      <c r="N955" s="355"/>
      <c r="O955" s="355"/>
      <c r="P955" s="355"/>
      <c r="Q955" s="355"/>
      <c r="R955" s="355"/>
      <c r="S955" s="355"/>
      <c r="T955" s="355"/>
      <c r="U955" s="355"/>
      <c r="V955" s="355"/>
      <c r="W955" s="355"/>
      <c r="X955" s="355"/>
      <c r="Y955" s="355"/>
      <c r="Z955" s="355"/>
    </row>
    <row r="956" spans="1:26" ht="13.5" customHeight="1" x14ac:dyDescent="0.25">
      <c r="A956" s="382"/>
      <c r="B956" s="355"/>
      <c r="C956" s="450"/>
      <c r="D956" s="450"/>
      <c r="E956" s="355"/>
      <c r="F956" s="355"/>
      <c r="G956" s="355"/>
      <c r="H956" s="355"/>
      <c r="I956" s="355"/>
      <c r="J956" s="355"/>
      <c r="K956" s="355"/>
      <c r="L956" s="355"/>
      <c r="M956" s="355"/>
      <c r="N956" s="355"/>
      <c r="O956" s="355"/>
      <c r="P956" s="355"/>
      <c r="Q956" s="355"/>
      <c r="R956" s="355"/>
      <c r="S956" s="355"/>
      <c r="T956" s="355"/>
      <c r="U956" s="355"/>
      <c r="V956" s="355"/>
      <c r="W956" s="355"/>
      <c r="X956" s="355"/>
      <c r="Y956" s="355"/>
      <c r="Z956" s="355"/>
    </row>
    <row r="957" spans="1:26" ht="13.5" customHeight="1" x14ac:dyDescent="0.25">
      <c r="A957" s="382"/>
      <c r="B957" s="355"/>
      <c r="C957" s="450"/>
      <c r="D957" s="450"/>
      <c r="E957" s="355"/>
      <c r="F957" s="355"/>
      <c r="G957" s="355"/>
      <c r="H957" s="355"/>
      <c r="I957" s="355"/>
      <c r="J957" s="355"/>
      <c r="K957" s="355"/>
      <c r="L957" s="355"/>
      <c r="M957" s="355"/>
      <c r="N957" s="355"/>
      <c r="O957" s="355"/>
      <c r="P957" s="355"/>
      <c r="Q957" s="355"/>
      <c r="R957" s="355"/>
      <c r="S957" s="355"/>
      <c r="T957" s="355"/>
      <c r="U957" s="355"/>
      <c r="V957" s="355"/>
      <c r="W957" s="355"/>
      <c r="X957" s="355"/>
      <c r="Y957" s="355"/>
      <c r="Z957" s="355"/>
    </row>
    <row r="958" spans="1:26" ht="13.5" customHeight="1" x14ac:dyDescent="0.25">
      <c r="A958" s="382"/>
      <c r="B958" s="355"/>
      <c r="C958" s="450"/>
      <c r="D958" s="450"/>
      <c r="E958" s="355"/>
      <c r="F958" s="355"/>
      <c r="G958" s="355"/>
      <c r="H958" s="355"/>
      <c r="I958" s="355"/>
      <c r="J958" s="355"/>
      <c r="K958" s="355"/>
      <c r="L958" s="355"/>
      <c r="M958" s="355"/>
      <c r="N958" s="355"/>
      <c r="O958" s="355"/>
      <c r="P958" s="355"/>
      <c r="Q958" s="355"/>
      <c r="R958" s="355"/>
      <c r="S958" s="355"/>
      <c r="T958" s="355"/>
      <c r="U958" s="355"/>
      <c r="V958" s="355"/>
      <c r="W958" s="355"/>
      <c r="X958" s="355"/>
      <c r="Y958" s="355"/>
      <c r="Z958" s="355"/>
    </row>
    <row r="959" spans="1:26" ht="13.5" customHeight="1" x14ac:dyDescent="0.25">
      <c r="A959" s="382"/>
      <c r="B959" s="355"/>
      <c r="C959" s="450"/>
      <c r="D959" s="450"/>
      <c r="E959" s="355"/>
      <c r="F959" s="355"/>
      <c r="G959" s="355"/>
      <c r="H959" s="355"/>
      <c r="I959" s="355"/>
      <c r="J959" s="355"/>
      <c r="K959" s="355"/>
      <c r="L959" s="355"/>
      <c r="M959" s="355"/>
      <c r="N959" s="355"/>
      <c r="O959" s="355"/>
      <c r="P959" s="355"/>
      <c r="Q959" s="355"/>
      <c r="R959" s="355"/>
      <c r="S959" s="355"/>
      <c r="T959" s="355"/>
      <c r="U959" s="355"/>
      <c r="V959" s="355"/>
      <c r="W959" s="355"/>
      <c r="X959" s="355"/>
      <c r="Y959" s="355"/>
      <c r="Z959" s="355"/>
    </row>
    <row r="960" spans="1:26" ht="13.5" customHeight="1" x14ac:dyDescent="0.25">
      <c r="A960" s="382"/>
      <c r="B960" s="355"/>
      <c r="C960" s="450"/>
      <c r="D960" s="450"/>
      <c r="E960" s="355"/>
      <c r="F960" s="355"/>
      <c r="G960" s="355"/>
      <c r="H960" s="355"/>
      <c r="I960" s="355"/>
      <c r="J960" s="355"/>
      <c r="K960" s="355"/>
      <c r="L960" s="355"/>
      <c r="M960" s="355"/>
      <c r="N960" s="355"/>
      <c r="O960" s="355"/>
      <c r="P960" s="355"/>
      <c r="Q960" s="355"/>
      <c r="R960" s="355"/>
      <c r="S960" s="355"/>
      <c r="T960" s="355"/>
      <c r="U960" s="355"/>
      <c r="V960" s="355"/>
      <c r="W960" s="355"/>
      <c r="X960" s="355"/>
      <c r="Y960" s="355"/>
      <c r="Z960" s="355"/>
    </row>
    <row r="961" spans="1:26" ht="13.5" customHeight="1" x14ac:dyDescent="0.25">
      <c r="A961" s="382"/>
      <c r="B961" s="355"/>
      <c r="C961" s="450"/>
      <c r="D961" s="450"/>
      <c r="E961" s="355"/>
      <c r="F961" s="355"/>
      <c r="G961" s="355"/>
      <c r="H961" s="355"/>
      <c r="I961" s="355"/>
      <c r="J961" s="355"/>
      <c r="K961" s="355"/>
      <c r="L961" s="355"/>
      <c r="M961" s="355"/>
      <c r="N961" s="355"/>
      <c r="O961" s="355"/>
      <c r="P961" s="355"/>
      <c r="Q961" s="355"/>
      <c r="R961" s="355"/>
      <c r="S961" s="355"/>
      <c r="T961" s="355"/>
      <c r="U961" s="355"/>
      <c r="V961" s="355"/>
      <c r="W961" s="355"/>
      <c r="X961" s="355"/>
      <c r="Y961" s="355"/>
      <c r="Z961" s="355"/>
    </row>
    <row r="962" spans="1:26" ht="13.5" customHeight="1" x14ac:dyDescent="0.25">
      <c r="A962" s="382"/>
      <c r="B962" s="355"/>
      <c r="C962" s="450"/>
      <c r="D962" s="450"/>
      <c r="E962" s="355"/>
      <c r="F962" s="355"/>
      <c r="G962" s="355"/>
      <c r="H962" s="355"/>
      <c r="I962" s="355"/>
      <c r="J962" s="355"/>
      <c r="K962" s="355"/>
      <c r="L962" s="355"/>
      <c r="M962" s="355"/>
      <c r="N962" s="355"/>
      <c r="O962" s="355"/>
      <c r="P962" s="355"/>
      <c r="Q962" s="355"/>
      <c r="R962" s="355"/>
      <c r="S962" s="355"/>
      <c r="T962" s="355"/>
      <c r="U962" s="355"/>
      <c r="V962" s="355"/>
      <c r="W962" s="355"/>
      <c r="X962" s="355"/>
      <c r="Y962" s="355"/>
      <c r="Z962" s="355"/>
    </row>
    <row r="963" spans="1:26" ht="13.5" customHeight="1" x14ac:dyDescent="0.25">
      <c r="A963" s="382"/>
      <c r="B963" s="355"/>
      <c r="C963" s="450"/>
      <c r="D963" s="450"/>
      <c r="E963" s="355"/>
      <c r="F963" s="355"/>
      <c r="G963" s="355"/>
      <c r="H963" s="355"/>
      <c r="I963" s="355"/>
      <c r="J963" s="355"/>
      <c r="K963" s="355"/>
      <c r="L963" s="355"/>
      <c r="M963" s="355"/>
      <c r="N963" s="355"/>
      <c r="O963" s="355"/>
      <c r="P963" s="355"/>
      <c r="Q963" s="355"/>
      <c r="R963" s="355"/>
      <c r="S963" s="355"/>
      <c r="T963" s="355"/>
      <c r="U963" s="355"/>
      <c r="V963" s="355"/>
      <c r="W963" s="355"/>
      <c r="X963" s="355"/>
      <c r="Y963" s="355"/>
      <c r="Z963" s="355"/>
    </row>
    <row r="964" spans="1:26" ht="13.5" customHeight="1" x14ac:dyDescent="0.25">
      <c r="A964" s="382"/>
      <c r="B964" s="355"/>
      <c r="C964" s="450"/>
      <c r="D964" s="450"/>
      <c r="E964" s="355"/>
      <c r="F964" s="355"/>
      <c r="G964" s="355"/>
      <c r="H964" s="355"/>
      <c r="I964" s="355"/>
      <c r="J964" s="355"/>
      <c r="K964" s="355"/>
      <c r="L964" s="355"/>
      <c r="M964" s="355"/>
      <c r="N964" s="355"/>
      <c r="O964" s="355"/>
      <c r="P964" s="355"/>
      <c r="Q964" s="355"/>
      <c r="R964" s="355"/>
      <c r="S964" s="355"/>
      <c r="T964" s="355"/>
      <c r="U964" s="355"/>
      <c r="V964" s="355"/>
      <c r="W964" s="355"/>
      <c r="X964" s="355"/>
      <c r="Y964" s="355"/>
      <c r="Z964" s="355"/>
    </row>
    <row r="965" spans="1:26" ht="13.5" customHeight="1" x14ac:dyDescent="0.25">
      <c r="A965" s="382"/>
      <c r="B965" s="355"/>
      <c r="C965" s="450"/>
      <c r="D965" s="450"/>
      <c r="E965" s="355"/>
      <c r="F965" s="355"/>
      <c r="G965" s="355"/>
      <c r="H965" s="355"/>
      <c r="I965" s="355"/>
      <c r="J965" s="355"/>
      <c r="K965" s="355"/>
      <c r="L965" s="355"/>
      <c r="M965" s="355"/>
      <c r="N965" s="355"/>
      <c r="O965" s="355"/>
      <c r="P965" s="355"/>
      <c r="Q965" s="355"/>
      <c r="R965" s="355"/>
      <c r="S965" s="355"/>
      <c r="T965" s="355"/>
      <c r="U965" s="355"/>
      <c r="V965" s="355"/>
      <c r="W965" s="355"/>
      <c r="X965" s="355"/>
      <c r="Y965" s="355"/>
      <c r="Z965" s="355"/>
    </row>
    <row r="966" spans="1:26" ht="13.5" customHeight="1" x14ac:dyDescent="0.25">
      <c r="A966" s="382"/>
      <c r="B966" s="355"/>
      <c r="C966" s="450"/>
      <c r="D966" s="450"/>
      <c r="E966" s="355"/>
      <c r="F966" s="355"/>
      <c r="G966" s="355"/>
      <c r="H966" s="355"/>
      <c r="I966" s="355"/>
      <c r="J966" s="355"/>
      <c r="K966" s="355"/>
      <c r="L966" s="355"/>
      <c r="M966" s="355"/>
      <c r="N966" s="355"/>
      <c r="O966" s="355"/>
      <c r="P966" s="355"/>
      <c r="Q966" s="355"/>
      <c r="R966" s="355"/>
      <c r="S966" s="355"/>
      <c r="T966" s="355"/>
      <c r="U966" s="355"/>
      <c r="V966" s="355"/>
      <c r="W966" s="355"/>
      <c r="X966" s="355"/>
      <c r="Y966" s="355"/>
      <c r="Z966" s="355"/>
    </row>
    <row r="967" spans="1:26" ht="13.5" customHeight="1" x14ac:dyDescent="0.25">
      <c r="A967" s="382"/>
      <c r="B967" s="355"/>
      <c r="C967" s="450"/>
      <c r="D967" s="450"/>
      <c r="E967" s="355"/>
      <c r="F967" s="355"/>
      <c r="G967" s="355"/>
      <c r="H967" s="355"/>
      <c r="I967" s="355"/>
      <c r="J967" s="355"/>
      <c r="K967" s="355"/>
      <c r="L967" s="355"/>
      <c r="M967" s="355"/>
      <c r="N967" s="355"/>
      <c r="O967" s="355"/>
      <c r="P967" s="355"/>
      <c r="Q967" s="355"/>
      <c r="R967" s="355"/>
      <c r="S967" s="355"/>
      <c r="T967" s="355"/>
      <c r="U967" s="355"/>
      <c r="V967" s="355"/>
      <c r="W967" s="355"/>
      <c r="X967" s="355"/>
      <c r="Y967" s="355"/>
      <c r="Z967" s="355"/>
    </row>
    <row r="968" spans="1:26" ht="13.5" customHeight="1" x14ac:dyDescent="0.25">
      <c r="A968" s="382"/>
      <c r="B968" s="355"/>
      <c r="C968" s="450"/>
      <c r="D968" s="450"/>
      <c r="E968" s="355"/>
      <c r="F968" s="355"/>
      <c r="G968" s="355"/>
      <c r="H968" s="355"/>
      <c r="I968" s="355"/>
      <c r="J968" s="355"/>
      <c r="K968" s="355"/>
      <c r="L968" s="355"/>
      <c r="M968" s="355"/>
      <c r="N968" s="355"/>
      <c r="O968" s="355"/>
      <c r="P968" s="355"/>
      <c r="Q968" s="355"/>
      <c r="R968" s="355"/>
      <c r="S968" s="355"/>
      <c r="T968" s="355"/>
      <c r="U968" s="355"/>
      <c r="V968" s="355"/>
      <c r="W968" s="355"/>
      <c r="X968" s="355"/>
      <c r="Y968" s="355"/>
      <c r="Z968" s="355"/>
    </row>
    <row r="969" spans="1:26" ht="13.5" customHeight="1" x14ac:dyDescent="0.25">
      <c r="A969" s="382"/>
      <c r="B969" s="355"/>
      <c r="C969" s="450"/>
      <c r="D969" s="450"/>
      <c r="E969" s="355"/>
      <c r="F969" s="355"/>
      <c r="G969" s="355"/>
      <c r="H969" s="355"/>
      <c r="I969" s="355"/>
      <c r="J969" s="355"/>
      <c r="K969" s="355"/>
      <c r="L969" s="355"/>
      <c r="M969" s="355"/>
      <c r="N969" s="355"/>
      <c r="O969" s="355"/>
      <c r="P969" s="355"/>
      <c r="Q969" s="355"/>
      <c r="R969" s="355"/>
      <c r="S969" s="355"/>
      <c r="T969" s="355"/>
      <c r="U969" s="355"/>
      <c r="V969" s="355"/>
      <c r="W969" s="355"/>
      <c r="X969" s="355"/>
      <c r="Y969" s="355"/>
      <c r="Z969" s="355"/>
    </row>
    <row r="970" spans="1:26" ht="13.5" customHeight="1" x14ac:dyDescent="0.25">
      <c r="A970" s="382"/>
      <c r="B970" s="355"/>
      <c r="C970" s="450"/>
      <c r="D970" s="450"/>
      <c r="E970" s="355"/>
      <c r="F970" s="355"/>
      <c r="G970" s="355"/>
      <c r="H970" s="355"/>
      <c r="I970" s="355"/>
      <c r="J970" s="355"/>
      <c r="K970" s="355"/>
      <c r="L970" s="355"/>
      <c r="M970" s="355"/>
      <c r="N970" s="355"/>
      <c r="O970" s="355"/>
      <c r="P970" s="355"/>
      <c r="Q970" s="355"/>
      <c r="R970" s="355"/>
      <c r="S970" s="355"/>
      <c r="T970" s="355"/>
      <c r="U970" s="355"/>
      <c r="V970" s="355"/>
      <c r="W970" s="355"/>
      <c r="X970" s="355"/>
      <c r="Y970" s="355"/>
      <c r="Z970" s="355"/>
    </row>
    <row r="971" spans="1:26" ht="13.5" customHeight="1" x14ac:dyDescent="0.25">
      <c r="A971" s="382"/>
      <c r="B971" s="355"/>
      <c r="C971" s="450"/>
      <c r="D971" s="450"/>
      <c r="E971" s="355"/>
      <c r="F971" s="355"/>
      <c r="G971" s="355"/>
      <c r="H971" s="355"/>
      <c r="I971" s="355"/>
      <c r="J971" s="355"/>
      <c r="K971" s="355"/>
      <c r="L971" s="355"/>
      <c r="M971" s="355"/>
      <c r="N971" s="355"/>
      <c r="O971" s="355"/>
      <c r="P971" s="355"/>
      <c r="Q971" s="355"/>
      <c r="R971" s="355"/>
      <c r="S971" s="355"/>
      <c r="T971" s="355"/>
      <c r="U971" s="355"/>
      <c r="V971" s="355"/>
      <c r="W971" s="355"/>
      <c r="X971" s="355"/>
      <c r="Y971" s="355"/>
      <c r="Z971" s="355"/>
    </row>
    <row r="972" spans="1:26" ht="13.5" customHeight="1" x14ac:dyDescent="0.25">
      <c r="A972" s="382"/>
      <c r="B972" s="355"/>
      <c r="C972" s="450"/>
      <c r="D972" s="450"/>
      <c r="E972" s="355"/>
      <c r="F972" s="355"/>
      <c r="G972" s="355"/>
      <c r="H972" s="355"/>
      <c r="I972" s="355"/>
      <c r="J972" s="355"/>
      <c r="K972" s="355"/>
      <c r="L972" s="355"/>
      <c r="M972" s="355"/>
      <c r="N972" s="355"/>
      <c r="O972" s="355"/>
      <c r="P972" s="355"/>
      <c r="Q972" s="355"/>
      <c r="R972" s="355"/>
      <c r="S972" s="355"/>
      <c r="T972" s="355"/>
      <c r="U972" s="355"/>
      <c r="V972" s="355"/>
      <c r="W972" s="355"/>
      <c r="X972" s="355"/>
      <c r="Y972" s="355"/>
      <c r="Z972" s="355"/>
    </row>
    <row r="973" spans="1:26" ht="13.5" customHeight="1" x14ac:dyDescent="0.25">
      <c r="A973" s="382"/>
      <c r="B973" s="355"/>
      <c r="C973" s="450"/>
      <c r="D973" s="450"/>
      <c r="E973" s="355"/>
      <c r="F973" s="355"/>
      <c r="G973" s="355"/>
      <c r="H973" s="355"/>
      <c r="I973" s="355"/>
      <c r="J973" s="355"/>
      <c r="K973" s="355"/>
      <c r="L973" s="355"/>
      <c r="M973" s="355"/>
      <c r="N973" s="355"/>
      <c r="O973" s="355"/>
      <c r="P973" s="355"/>
      <c r="Q973" s="355"/>
      <c r="R973" s="355"/>
      <c r="S973" s="355"/>
      <c r="T973" s="355"/>
      <c r="U973" s="355"/>
      <c r="V973" s="355"/>
      <c r="W973" s="355"/>
      <c r="X973" s="355"/>
      <c r="Y973" s="355"/>
      <c r="Z973" s="355"/>
    </row>
    <row r="974" spans="1:26" ht="13.5" customHeight="1" x14ac:dyDescent="0.25">
      <c r="A974" s="382"/>
      <c r="B974" s="355"/>
      <c r="C974" s="450"/>
      <c r="D974" s="450"/>
      <c r="E974" s="355"/>
      <c r="F974" s="355"/>
      <c r="G974" s="355"/>
      <c r="H974" s="355"/>
      <c r="I974" s="355"/>
      <c r="J974" s="355"/>
      <c r="K974" s="355"/>
      <c r="L974" s="355"/>
      <c r="M974" s="355"/>
      <c r="N974" s="355"/>
      <c r="O974" s="355"/>
      <c r="P974" s="355"/>
      <c r="Q974" s="355"/>
      <c r="R974" s="355"/>
      <c r="S974" s="355"/>
      <c r="T974" s="355"/>
      <c r="U974" s="355"/>
      <c r="V974" s="355"/>
      <c r="W974" s="355"/>
      <c r="X974" s="355"/>
      <c r="Y974" s="355"/>
      <c r="Z974" s="355"/>
    </row>
    <row r="975" spans="1:26" ht="13.5" customHeight="1" x14ac:dyDescent="0.25">
      <c r="A975" s="382"/>
      <c r="B975" s="355"/>
      <c r="C975" s="450"/>
      <c r="D975" s="450"/>
      <c r="E975" s="355"/>
      <c r="F975" s="355"/>
      <c r="G975" s="355"/>
      <c r="H975" s="355"/>
      <c r="I975" s="355"/>
      <c r="J975" s="355"/>
      <c r="K975" s="355"/>
      <c r="L975" s="355"/>
      <c r="M975" s="355"/>
      <c r="N975" s="355"/>
      <c r="O975" s="355"/>
      <c r="P975" s="355"/>
      <c r="Q975" s="355"/>
      <c r="R975" s="355"/>
      <c r="S975" s="355"/>
      <c r="T975" s="355"/>
      <c r="U975" s="355"/>
      <c r="V975" s="355"/>
      <c r="W975" s="355"/>
      <c r="X975" s="355"/>
      <c r="Y975" s="355"/>
      <c r="Z975" s="355"/>
    </row>
    <row r="976" spans="1:26" ht="13.5" customHeight="1" x14ac:dyDescent="0.25">
      <c r="A976" s="382"/>
      <c r="B976" s="355"/>
      <c r="C976" s="450"/>
      <c r="D976" s="450"/>
      <c r="E976" s="355"/>
      <c r="F976" s="355"/>
      <c r="G976" s="355"/>
      <c r="H976" s="355"/>
      <c r="I976" s="355"/>
      <c r="J976" s="355"/>
      <c r="K976" s="355"/>
      <c r="L976" s="355"/>
      <c r="M976" s="355"/>
      <c r="N976" s="355"/>
      <c r="O976" s="355"/>
      <c r="P976" s="355"/>
      <c r="Q976" s="355"/>
      <c r="R976" s="355"/>
      <c r="S976" s="355"/>
      <c r="T976" s="355"/>
      <c r="U976" s="355"/>
      <c r="V976" s="355"/>
      <c r="W976" s="355"/>
      <c r="X976" s="355"/>
      <c r="Y976" s="355"/>
      <c r="Z976" s="355"/>
    </row>
    <row r="977" spans="1:26" ht="13.5" customHeight="1" x14ac:dyDescent="0.25">
      <c r="A977" s="382"/>
      <c r="B977" s="355"/>
      <c r="C977" s="450"/>
      <c r="D977" s="450"/>
      <c r="E977" s="355"/>
      <c r="F977" s="355"/>
      <c r="G977" s="355"/>
      <c r="H977" s="355"/>
      <c r="I977" s="355"/>
      <c r="J977" s="355"/>
      <c r="K977" s="355"/>
      <c r="L977" s="355"/>
      <c r="M977" s="355"/>
      <c r="N977" s="355"/>
      <c r="O977" s="355"/>
      <c r="P977" s="355"/>
      <c r="Q977" s="355"/>
      <c r="R977" s="355"/>
      <c r="S977" s="355"/>
      <c r="T977" s="355"/>
      <c r="U977" s="355"/>
      <c r="V977" s="355"/>
      <c r="W977" s="355"/>
      <c r="X977" s="355"/>
      <c r="Y977" s="355"/>
      <c r="Z977" s="355"/>
    </row>
    <row r="978" spans="1:26" ht="13.5" customHeight="1" x14ac:dyDescent="0.25">
      <c r="A978" s="382"/>
      <c r="B978" s="355"/>
      <c r="C978" s="450"/>
      <c r="D978" s="450"/>
      <c r="E978" s="355"/>
      <c r="F978" s="355"/>
      <c r="G978" s="355"/>
      <c r="H978" s="355"/>
      <c r="I978" s="355"/>
      <c r="J978" s="355"/>
      <c r="K978" s="355"/>
      <c r="L978" s="355"/>
      <c r="M978" s="355"/>
      <c r="N978" s="355"/>
      <c r="O978" s="355"/>
      <c r="P978" s="355"/>
      <c r="Q978" s="355"/>
      <c r="R978" s="355"/>
      <c r="S978" s="355"/>
      <c r="T978" s="355"/>
      <c r="U978" s="355"/>
      <c r="V978" s="355"/>
      <c r="W978" s="355"/>
      <c r="X978" s="355"/>
      <c r="Y978" s="355"/>
      <c r="Z978" s="355"/>
    </row>
    <row r="979" spans="1:26" ht="13.5" customHeight="1" x14ac:dyDescent="0.25">
      <c r="A979" s="382"/>
      <c r="B979" s="355"/>
      <c r="C979" s="450"/>
      <c r="D979" s="450"/>
      <c r="E979" s="355"/>
      <c r="F979" s="355"/>
      <c r="G979" s="355"/>
      <c r="H979" s="355"/>
      <c r="I979" s="355"/>
      <c r="J979" s="355"/>
      <c r="K979" s="355"/>
      <c r="L979" s="355"/>
      <c r="M979" s="355"/>
      <c r="N979" s="355"/>
      <c r="O979" s="355"/>
      <c r="P979" s="355"/>
      <c r="Q979" s="355"/>
      <c r="R979" s="355"/>
      <c r="S979" s="355"/>
      <c r="T979" s="355"/>
      <c r="U979" s="355"/>
      <c r="V979" s="355"/>
      <c r="W979" s="355"/>
      <c r="X979" s="355"/>
      <c r="Y979" s="355"/>
      <c r="Z979" s="355"/>
    </row>
    <row r="980" spans="1:26" ht="13.5" customHeight="1" x14ac:dyDescent="0.25">
      <c r="A980" s="382"/>
      <c r="B980" s="355"/>
      <c r="C980" s="450"/>
      <c r="D980" s="450"/>
      <c r="E980" s="355"/>
      <c r="F980" s="355"/>
      <c r="G980" s="355"/>
      <c r="H980" s="355"/>
      <c r="I980" s="355"/>
      <c r="J980" s="355"/>
      <c r="K980" s="355"/>
      <c r="L980" s="355"/>
      <c r="M980" s="355"/>
      <c r="N980" s="355"/>
      <c r="O980" s="355"/>
      <c r="P980" s="355"/>
      <c r="Q980" s="355"/>
      <c r="R980" s="355"/>
      <c r="S980" s="355"/>
      <c r="T980" s="355"/>
      <c r="U980" s="355"/>
      <c r="V980" s="355"/>
      <c r="W980" s="355"/>
      <c r="X980" s="355"/>
      <c r="Y980" s="355"/>
      <c r="Z980" s="355"/>
    </row>
    <row r="981" spans="1:26" ht="13.5" customHeight="1" x14ac:dyDescent="0.25">
      <c r="A981" s="382"/>
      <c r="B981" s="355"/>
      <c r="C981" s="450"/>
      <c r="D981" s="450"/>
      <c r="E981" s="355"/>
      <c r="F981" s="355"/>
      <c r="G981" s="355"/>
      <c r="H981" s="355"/>
      <c r="I981" s="355"/>
      <c r="J981" s="355"/>
      <c r="K981" s="355"/>
      <c r="L981" s="355"/>
      <c r="M981" s="355"/>
      <c r="N981" s="355"/>
      <c r="O981" s="355"/>
      <c r="P981" s="355"/>
      <c r="Q981" s="355"/>
      <c r="R981" s="355"/>
      <c r="S981" s="355"/>
      <c r="T981" s="355"/>
      <c r="U981" s="355"/>
      <c r="V981" s="355"/>
      <c r="W981" s="355"/>
      <c r="X981" s="355"/>
      <c r="Y981" s="355"/>
      <c r="Z981" s="355"/>
    </row>
    <row r="982" spans="1:26" ht="13.5" customHeight="1" x14ac:dyDescent="0.25">
      <c r="A982" s="382"/>
      <c r="B982" s="355"/>
      <c r="C982" s="450"/>
      <c r="D982" s="450"/>
      <c r="E982" s="355"/>
      <c r="F982" s="355"/>
      <c r="G982" s="355"/>
      <c r="H982" s="355"/>
      <c r="I982" s="355"/>
      <c r="J982" s="355"/>
      <c r="K982" s="355"/>
      <c r="L982" s="355"/>
      <c r="M982" s="355"/>
      <c r="N982" s="355"/>
      <c r="O982" s="355"/>
      <c r="P982" s="355"/>
      <c r="Q982" s="355"/>
      <c r="R982" s="355"/>
      <c r="S982" s="355"/>
      <c r="T982" s="355"/>
      <c r="U982" s="355"/>
      <c r="V982" s="355"/>
      <c r="W982" s="355"/>
      <c r="X982" s="355"/>
      <c r="Y982" s="355"/>
      <c r="Z982" s="355"/>
    </row>
    <row r="983" spans="1:26" ht="13.5" customHeight="1" x14ac:dyDescent="0.25">
      <c r="A983" s="382"/>
      <c r="B983" s="355"/>
      <c r="C983" s="450"/>
      <c r="D983" s="450"/>
      <c r="E983" s="355"/>
      <c r="F983" s="355"/>
      <c r="G983" s="355"/>
      <c r="H983" s="355"/>
      <c r="I983" s="355"/>
      <c r="J983" s="355"/>
      <c r="K983" s="355"/>
      <c r="L983" s="355"/>
      <c r="M983" s="355"/>
      <c r="N983" s="355"/>
      <c r="O983" s="355"/>
      <c r="P983" s="355"/>
      <c r="Q983" s="355"/>
      <c r="R983" s="355"/>
      <c r="S983" s="355"/>
      <c r="T983" s="355"/>
      <c r="U983" s="355"/>
      <c r="V983" s="355"/>
      <c r="W983" s="355"/>
      <c r="X983" s="355"/>
      <c r="Y983" s="355"/>
      <c r="Z983" s="355"/>
    </row>
    <row r="984" spans="1:26" ht="13.5" customHeight="1" x14ac:dyDescent="0.25">
      <c r="A984" s="382"/>
      <c r="B984" s="355"/>
      <c r="C984" s="450"/>
      <c r="D984" s="450"/>
      <c r="E984" s="355"/>
      <c r="F984" s="355"/>
      <c r="G984" s="355"/>
      <c r="H984" s="355"/>
      <c r="I984" s="355"/>
      <c r="J984" s="355"/>
      <c r="K984" s="355"/>
      <c r="L984" s="355"/>
      <c r="M984" s="355"/>
      <c r="N984" s="355"/>
      <c r="O984" s="355"/>
      <c r="P984" s="355"/>
      <c r="Q984" s="355"/>
      <c r="R984" s="355"/>
      <c r="S984" s="355"/>
      <c r="T984" s="355"/>
      <c r="U984" s="355"/>
      <c r="V984" s="355"/>
      <c r="W984" s="355"/>
      <c r="X984" s="355"/>
      <c r="Y984" s="355"/>
      <c r="Z984" s="355"/>
    </row>
    <row r="985" spans="1:26" ht="13.5" customHeight="1" x14ac:dyDescent="0.25">
      <c r="A985" s="382"/>
      <c r="B985" s="355"/>
      <c r="C985" s="450"/>
      <c r="D985" s="450"/>
      <c r="E985" s="355"/>
      <c r="F985" s="355"/>
      <c r="G985" s="355"/>
      <c r="H985" s="355"/>
      <c r="I985" s="355"/>
      <c r="J985" s="355"/>
      <c r="K985" s="355"/>
      <c r="L985" s="355"/>
      <c r="M985" s="355"/>
      <c r="N985" s="355"/>
      <c r="O985" s="355"/>
      <c r="P985" s="355"/>
      <c r="Q985" s="355"/>
      <c r="R985" s="355"/>
      <c r="S985" s="355"/>
      <c r="T985" s="355"/>
      <c r="U985" s="355"/>
      <c r="V985" s="355"/>
      <c r="W985" s="355"/>
      <c r="X985" s="355"/>
      <c r="Y985" s="355"/>
      <c r="Z985" s="355"/>
    </row>
    <row r="986" spans="1:26" ht="13.5" customHeight="1" x14ac:dyDescent="0.25">
      <c r="A986" s="382"/>
      <c r="B986" s="355"/>
      <c r="C986" s="450"/>
      <c r="D986" s="450"/>
      <c r="E986" s="355"/>
      <c r="F986" s="355"/>
      <c r="G986" s="355"/>
      <c r="H986" s="355"/>
      <c r="I986" s="355"/>
      <c r="J986" s="355"/>
      <c r="K986" s="355"/>
      <c r="L986" s="355"/>
      <c r="M986" s="355"/>
      <c r="N986" s="355"/>
      <c r="O986" s="355"/>
      <c r="P986" s="355"/>
      <c r="Q986" s="355"/>
      <c r="R986" s="355"/>
      <c r="S986" s="355"/>
      <c r="T986" s="355"/>
      <c r="U986" s="355"/>
      <c r="V986" s="355"/>
      <c r="W986" s="355"/>
      <c r="X986" s="355"/>
      <c r="Y986" s="355"/>
      <c r="Z986" s="355"/>
    </row>
    <row r="987" spans="1:26" ht="13.5" customHeight="1" x14ac:dyDescent="0.25">
      <c r="A987" s="382"/>
      <c r="B987" s="355"/>
      <c r="C987" s="450"/>
      <c r="D987" s="450"/>
      <c r="E987" s="355"/>
      <c r="F987" s="355"/>
      <c r="G987" s="355"/>
      <c r="H987" s="355"/>
      <c r="I987" s="355"/>
      <c r="J987" s="355"/>
      <c r="K987" s="355"/>
      <c r="L987" s="355"/>
      <c r="M987" s="355"/>
      <c r="N987" s="355"/>
      <c r="O987" s="355"/>
      <c r="P987" s="355"/>
      <c r="Q987" s="355"/>
      <c r="R987" s="355"/>
      <c r="S987" s="355"/>
      <c r="T987" s="355"/>
      <c r="U987" s="355"/>
      <c r="V987" s="355"/>
      <c r="W987" s="355"/>
      <c r="X987" s="355"/>
      <c r="Y987" s="355"/>
      <c r="Z987" s="355"/>
    </row>
    <row r="988" spans="1:26" ht="13.5" customHeight="1" x14ac:dyDescent="0.25">
      <c r="A988" s="382"/>
      <c r="B988" s="355"/>
      <c r="C988" s="450"/>
      <c r="D988" s="450"/>
      <c r="E988" s="355"/>
      <c r="F988" s="355"/>
      <c r="G988" s="355"/>
      <c r="H988" s="355"/>
      <c r="I988" s="355"/>
      <c r="J988" s="355"/>
      <c r="K988" s="355"/>
      <c r="L988" s="355"/>
      <c r="M988" s="355"/>
      <c r="N988" s="355"/>
      <c r="O988" s="355"/>
      <c r="P988" s="355"/>
      <c r="Q988" s="355"/>
      <c r="R988" s="355"/>
      <c r="S988" s="355"/>
      <c r="T988" s="355"/>
      <c r="U988" s="355"/>
      <c r="V988" s="355"/>
      <c r="W988" s="355"/>
      <c r="X988" s="355"/>
      <c r="Y988" s="355"/>
      <c r="Z988" s="355"/>
    </row>
    <row r="989" spans="1:26" ht="13.5" customHeight="1" x14ac:dyDescent="0.25">
      <c r="A989" s="382"/>
      <c r="B989" s="355"/>
      <c r="C989" s="450"/>
      <c r="D989" s="450"/>
      <c r="E989" s="355"/>
      <c r="F989" s="355"/>
      <c r="G989" s="355"/>
      <c r="H989" s="355"/>
      <c r="I989" s="355"/>
      <c r="J989" s="355"/>
      <c r="K989" s="355"/>
      <c r="L989" s="355"/>
      <c r="M989" s="355"/>
      <c r="N989" s="355"/>
      <c r="O989" s="355"/>
      <c r="P989" s="355"/>
      <c r="Q989" s="355"/>
      <c r="R989" s="355"/>
      <c r="S989" s="355"/>
      <c r="T989" s="355"/>
      <c r="U989" s="355"/>
      <c r="V989" s="355"/>
      <c r="W989" s="355"/>
      <c r="X989" s="355"/>
      <c r="Y989" s="355"/>
      <c r="Z989" s="355"/>
    </row>
    <row r="990" spans="1:26" ht="13.5" customHeight="1" x14ac:dyDescent="0.25">
      <c r="A990" s="382"/>
      <c r="B990" s="355"/>
      <c r="C990" s="450"/>
      <c r="D990" s="450"/>
      <c r="E990" s="355"/>
      <c r="F990" s="355"/>
      <c r="G990" s="355"/>
      <c r="H990" s="355"/>
      <c r="I990" s="355"/>
      <c r="J990" s="355"/>
      <c r="K990" s="355"/>
      <c r="L990" s="355"/>
      <c r="M990" s="355"/>
      <c r="N990" s="355"/>
      <c r="O990" s="355"/>
      <c r="P990" s="355"/>
      <c r="Q990" s="355"/>
      <c r="R990" s="355"/>
      <c r="S990" s="355"/>
      <c r="T990" s="355"/>
      <c r="U990" s="355"/>
      <c r="V990" s="355"/>
      <c r="W990" s="355"/>
      <c r="X990" s="355"/>
      <c r="Y990" s="355"/>
      <c r="Z990" s="355"/>
    </row>
    <row r="991" spans="1:26" ht="13.5" customHeight="1" x14ac:dyDescent="0.25">
      <c r="A991" s="382"/>
      <c r="B991" s="355"/>
      <c r="C991" s="450"/>
      <c r="D991" s="450"/>
      <c r="E991" s="355"/>
      <c r="F991" s="355"/>
      <c r="G991" s="355"/>
      <c r="H991" s="355"/>
      <c r="I991" s="355"/>
      <c r="J991" s="355"/>
      <c r="K991" s="355"/>
      <c r="L991" s="355"/>
      <c r="M991" s="355"/>
      <c r="N991" s="355"/>
      <c r="O991" s="355"/>
      <c r="P991" s="355"/>
      <c r="Q991" s="355"/>
      <c r="R991" s="355"/>
      <c r="S991" s="355"/>
      <c r="T991" s="355"/>
      <c r="U991" s="355"/>
      <c r="V991" s="355"/>
      <c r="W991" s="355"/>
      <c r="X991" s="355"/>
      <c r="Y991" s="355"/>
      <c r="Z991" s="355"/>
    </row>
    <row r="992" spans="1:26" ht="13.5" customHeight="1" x14ac:dyDescent="0.25">
      <c r="A992" s="382"/>
      <c r="B992" s="355"/>
      <c r="C992" s="450"/>
      <c r="D992" s="450"/>
      <c r="E992" s="355"/>
      <c r="F992" s="355"/>
      <c r="G992" s="355"/>
      <c r="H992" s="355"/>
      <c r="I992" s="355"/>
      <c r="J992" s="355"/>
      <c r="K992" s="355"/>
      <c r="L992" s="355"/>
      <c r="M992" s="355"/>
      <c r="N992" s="355"/>
      <c r="O992" s="355"/>
      <c r="P992" s="355"/>
      <c r="Q992" s="355"/>
      <c r="R992" s="355"/>
      <c r="S992" s="355"/>
      <c r="T992" s="355"/>
      <c r="U992" s="355"/>
      <c r="V992" s="355"/>
      <c r="W992" s="355"/>
      <c r="X992" s="355"/>
      <c r="Y992" s="355"/>
      <c r="Z992" s="355"/>
    </row>
    <row r="993" spans="1:26" ht="13.5" customHeight="1" x14ac:dyDescent="0.25">
      <c r="A993" s="382"/>
      <c r="B993" s="355"/>
      <c r="C993" s="450"/>
      <c r="D993" s="450"/>
      <c r="E993" s="355"/>
      <c r="F993" s="355"/>
      <c r="G993" s="355"/>
      <c r="H993" s="355"/>
      <c r="I993" s="355"/>
      <c r="J993" s="355"/>
      <c r="K993" s="355"/>
      <c r="L993" s="355"/>
      <c r="M993" s="355"/>
      <c r="N993" s="355"/>
      <c r="O993" s="355"/>
      <c r="P993" s="355"/>
      <c r="Q993" s="355"/>
      <c r="R993" s="355"/>
      <c r="S993" s="355"/>
      <c r="T993" s="355"/>
      <c r="U993" s="355"/>
      <c r="V993" s="355"/>
      <c r="W993" s="355"/>
      <c r="X993" s="355"/>
      <c r="Y993" s="355"/>
      <c r="Z993" s="355"/>
    </row>
    <row r="994" spans="1:26" ht="13.5" customHeight="1" x14ac:dyDescent="0.25">
      <c r="A994" s="382"/>
      <c r="B994" s="355"/>
      <c r="C994" s="450"/>
      <c r="D994" s="450"/>
      <c r="E994" s="355"/>
      <c r="F994" s="355"/>
      <c r="G994" s="355"/>
      <c r="H994" s="355"/>
      <c r="I994" s="355"/>
      <c r="J994" s="355"/>
      <c r="K994" s="355"/>
      <c r="L994" s="355"/>
      <c r="M994" s="355"/>
      <c r="N994" s="355"/>
      <c r="O994" s="355"/>
      <c r="P994" s="355"/>
      <c r="Q994" s="355"/>
      <c r="R994" s="355"/>
      <c r="S994" s="355"/>
      <c r="T994" s="355"/>
      <c r="U994" s="355"/>
      <c r="V994" s="355"/>
      <c r="W994" s="355"/>
      <c r="X994" s="355"/>
      <c r="Y994" s="355"/>
      <c r="Z994" s="355"/>
    </row>
    <row r="995" spans="1:26" ht="13.5" customHeight="1" x14ac:dyDescent="0.25">
      <c r="A995" s="382"/>
      <c r="B995" s="355"/>
      <c r="C995" s="450"/>
      <c r="D995" s="450"/>
      <c r="E995" s="355"/>
      <c r="F995" s="355"/>
      <c r="G995" s="355"/>
      <c r="H995" s="355"/>
      <c r="I995" s="355"/>
      <c r="J995" s="355"/>
      <c r="K995" s="355"/>
      <c r="L995" s="355"/>
      <c r="M995" s="355"/>
      <c r="N995" s="355"/>
      <c r="O995" s="355"/>
      <c r="P995" s="355"/>
      <c r="Q995" s="355"/>
      <c r="R995" s="355"/>
      <c r="S995" s="355"/>
      <c r="T995" s="355"/>
      <c r="U995" s="355"/>
      <c r="V995" s="355"/>
      <c r="W995" s="355"/>
      <c r="X995" s="355"/>
      <c r="Y995" s="355"/>
      <c r="Z995" s="355"/>
    </row>
    <row r="996" spans="1:26" ht="13.5" customHeight="1" x14ac:dyDescent="0.25">
      <c r="A996" s="382"/>
      <c r="B996" s="355"/>
      <c r="C996" s="450"/>
      <c r="D996" s="450"/>
      <c r="E996" s="355"/>
      <c r="F996" s="355"/>
      <c r="G996" s="355"/>
      <c r="H996" s="355"/>
      <c r="I996" s="355"/>
      <c r="J996" s="355"/>
      <c r="K996" s="355"/>
      <c r="L996" s="355"/>
      <c r="M996" s="355"/>
      <c r="N996" s="355"/>
      <c r="O996" s="355"/>
      <c r="P996" s="355"/>
      <c r="Q996" s="355"/>
      <c r="R996" s="355"/>
      <c r="S996" s="355"/>
      <c r="T996" s="355"/>
      <c r="U996" s="355"/>
      <c r="V996" s="355"/>
      <c r="W996" s="355"/>
      <c r="X996" s="355"/>
      <c r="Y996" s="355"/>
      <c r="Z996" s="355"/>
    </row>
    <row r="997" spans="1:26" ht="13.5" customHeight="1" x14ac:dyDescent="0.25">
      <c r="A997" s="382"/>
      <c r="B997" s="355"/>
      <c r="C997" s="450"/>
      <c r="D997" s="450"/>
      <c r="E997" s="355"/>
      <c r="F997" s="355"/>
      <c r="G997" s="355"/>
      <c r="H997" s="355"/>
      <c r="I997" s="355"/>
      <c r="J997" s="355"/>
      <c r="K997" s="355"/>
      <c r="L997" s="355"/>
      <c r="M997" s="355"/>
      <c r="N997" s="355"/>
      <c r="O997" s="355"/>
      <c r="P997" s="355"/>
      <c r="Q997" s="355"/>
      <c r="R997" s="355"/>
      <c r="S997" s="355"/>
      <c r="T997" s="355"/>
      <c r="U997" s="355"/>
      <c r="V997" s="355"/>
      <c r="W997" s="355"/>
      <c r="X997" s="355"/>
      <c r="Y997" s="355"/>
      <c r="Z997" s="355"/>
    </row>
    <row r="998" spans="1:26" ht="13.5" customHeight="1" x14ac:dyDescent="0.25">
      <c r="A998" s="382"/>
      <c r="B998" s="355"/>
      <c r="C998" s="450"/>
      <c r="D998" s="450"/>
      <c r="E998" s="355"/>
      <c r="F998" s="355"/>
      <c r="G998" s="355"/>
      <c r="H998" s="355"/>
      <c r="I998" s="355"/>
      <c r="J998" s="355"/>
      <c r="K998" s="355"/>
      <c r="L998" s="355"/>
      <c r="M998" s="355"/>
      <c r="N998" s="355"/>
      <c r="O998" s="355"/>
      <c r="P998" s="355"/>
      <c r="Q998" s="355"/>
      <c r="R998" s="355"/>
      <c r="S998" s="355"/>
      <c r="T998" s="355"/>
      <c r="U998" s="355"/>
      <c r="V998" s="355"/>
      <c r="W998" s="355"/>
      <c r="X998" s="355"/>
      <c r="Y998" s="355"/>
      <c r="Z998" s="355"/>
    </row>
    <row r="999" spans="1:26" ht="13.5" customHeight="1" x14ac:dyDescent="0.25">
      <c r="A999" s="382"/>
      <c r="B999" s="355"/>
      <c r="C999" s="450"/>
      <c r="D999" s="450"/>
      <c r="E999" s="355"/>
      <c r="F999" s="355"/>
      <c r="G999" s="355"/>
      <c r="H999" s="355"/>
      <c r="I999" s="355"/>
      <c r="J999" s="355"/>
      <c r="K999" s="355"/>
      <c r="L999" s="355"/>
      <c r="M999" s="355"/>
      <c r="N999" s="355"/>
      <c r="O999" s="355"/>
      <c r="P999" s="355"/>
      <c r="Q999" s="355"/>
      <c r="R999" s="355"/>
      <c r="S999" s="355"/>
      <c r="T999" s="355"/>
      <c r="U999" s="355"/>
      <c r="V999" s="355"/>
      <c r="W999" s="355"/>
      <c r="X999" s="355"/>
      <c r="Y999" s="355"/>
      <c r="Z999" s="355"/>
    </row>
    <row r="1000" spans="1:26" ht="13.5" customHeight="1" x14ac:dyDescent="0.25">
      <c r="A1000" s="382"/>
      <c r="B1000" s="355"/>
      <c r="C1000" s="450"/>
      <c r="D1000" s="450"/>
      <c r="E1000" s="355"/>
      <c r="F1000" s="355"/>
      <c r="G1000" s="355"/>
      <c r="H1000" s="355"/>
      <c r="I1000" s="355"/>
      <c r="J1000" s="355"/>
      <c r="K1000" s="355"/>
      <c r="L1000" s="355"/>
      <c r="M1000" s="355"/>
      <c r="N1000" s="355"/>
      <c r="O1000" s="355"/>
      <c r="P1000" s="355"/>
      <c r="Q1000" s="355"/>
      <c r="R1000" s="355"/>
      <c r="S1000" s="355"/>
      <c r="T1000" s="355"/>
      <c r="U1000" s="355"/>
      <c r="V1000" s="355"/>
      <c r="W1000" s="355"/>
      <c r="X1000" s="355"/>
      <c r="Y1000" s="355"/>
      <c r="Z1000" s="355"/>
    </row>
  </sheetData>
  <sheetProtection algorithmName="SHA-512" hashValue="U4oIw+3pVcKD821o/nr9FxTD64E6Imyptt+e/PaRxu+E6Qq/M7yLE1o5pQ1FRxmpIiXtS1vKXEjHtQ9Tuitp8Q==" saltValue="DL/60hL0hXKmph/v2i9InA==" spinCount="100000" sheet="1" objects="1" scenarios="1"/>
  <mergeCells count="2">
    <mergeCell ref="A2:D2"/>
    <mergeCell ref="A3:D3"/>
  </mergeCells>
  <pageMargins left="0.6" right="0.24" top="0.26" bottom="0.42" header="0" footer="0"/>
  <pageSetup paperSize="9" scale="89" orientation="portrait" r:id="rId1"/>
  <ignoredErrors>
    <ignoredError sqref="D5 D7 C17 C27 C29 C43:C45 C37 C61 C64 C54 C56 C58 D57:D58 D28 D44"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92D050"/>
    <pageSetUpPr fitToPage="1"/>
  </sheetPr>
  <dimension ref="A1:N548"/>
  <sheetViews>
    <sheetView view="pageBreakPreview" topLeftCell="A90" zoomScaleNormal="100" zoomScaleSheetLayoutView="100" workbookViewId="0">
      <selection activeCell="H42" sqref="H42:I42"/>
    </sheetView>
  </sheetViews>
  <sheetFormatPr defaultColWidth="12.6640625" defaultRowHeight="15" customHeight="1" x14ac:dyDescent="0.25"/>
  <cols>
    <col min="1" max="1" width="4.44140625" customWidth="1"/>
    <col min="2" max="2" width="19.33203125" customWidth="1"/>
    <col min="3" max="3" width="9.6640625" customWidth="1"/>
    <col min="4" max="4" width="10.88671875" customWidth="1"/>
    <col min="5" max="5" width="11.33203125" customWidth="1"/>
    <col min="6" max="6" width="12.44140625" customWidth="1"/>
    <col min="7" max="7" width="11.44140625" customWidth="1"/>
    <col min="8" max="8" width="17.33203125" customWidth="1"/>
    <col min="9" max="9" width="12.33203125" customWidth="1"/>
    <col min="10" max="10" width="10.109375" customWidth="1"/>
    <col min="11" max="11" width="8.6640625" customWidth="1"/>
    <col min="12" max="12" width="9.109375" customWidth="1"/>
    <col min="13" max="13" width="8.44140625" customWidth="1"/>
    <col min="14" max="14" width="9.109375" customWidth="1"/>
  </cols>
  <sheetData>
    <row r="1" spans="1:9" ht="12.75" customHeight="1" x14ac:dyDescent="0.25">
      <c r="A1" s="772" t="s">
        <v>376</v>
      </c>
      <c r="B1" s="693"/>
      <c r="C1" s="693"/>
      <c r="D1" s="693"/>
      <c r="E1" s="693"/>
      <c r="F1" s="693"/>
      <c r="G1" s="693"/>
      <c r="H1" s="693"/>
      <c r="I1" s="693"/>
    </row>
    <row r="2" spans="1:9" ht="12.75" customHeight="1" x14ac:dyDescent="0.25">
      <c r="A2" s="693"/>
      <c r="B2" s="693"/>
      <c r="C2" s="693"/>
      <c r="D2" s="693"/>
      <c r="E2" s="693"/>
      <c r="F2" s="693"/>
      <c r="G2" s="693"/>
      <c r="H2" s="693"/>
      <c r="I2" s="693"/>
    </row>
    <row r="3" spans="1:9" ht="12.75" customHeight="1" x14ac:dyDescent="0.25">
      <c r="A3" s="206"/>
      <c r="B3" s="207" t="str">
        <f>TB!C1</f>
        <v>"АЗЕЙ" ХХК-ийн ажлын хүснэгт</v>
      </c>
      <c r="C3" s="207"/>
      <c r="D3" s="207"/>
      <c r="E3" s="205"/>
      <c r="F3" s="205"/>
      <c r="G3" s="208"/>
      <c r="H3" s="205"/>
      <c r="I3" s="205"/>
    </row>
    <row r="4" spans="1:9" ht="12.75" customHeight="1" x14ac:dyDescent="0.25">
      <c r="A4" s="773" t="s">
        <v>377</v>
      </c>
      <c r="B4" s="762"/>
      <c r="C4" s="762"/>
      <c r="D4" s="762"/>
      <c r="E4" s="209"/>
      <c r="F4" s="209"/>
      <c r="G4" s="210"/>
      <c r="H4" s="211">
        <f>BS!$D$4</f>
        <v>44926</v>
      </c>
      <c r="I4" s="209"/>
    </row>
    <row r="5" spans="1:9" ht="12.75" customHeight="1" x14ac:dyDescent="0.25">
      <c r="A5" s="212"/>
      <c r="B5" s="213"/>
      <c r="C5" s="213"/>
      <c r="D5" s="213"/>
      <c r="E5" s="209"/>
      <c r="F5" s="209"/>
      <c r="G5" s="210"/>
      <c r="H5" s="210"/>
      <c r="I5" s="209"/>
    </row>
    <row r="6" spans="1:9" ht="12.75" customHeight="1" x14ac:dyDescent="0.25">
      <c r="A6" s="214"/>
      <c r="B6" s="205" t="s">
        <v>378</v>
      </c>
      <c r="C6" s="205"/>
      <c r="D6" s="205"/>
      <c r="E6" s="205"/>
      <c r="F6" s="205"/>
      <c r="G6" s="205"/>
      <c r="H6" s="205"/>
      <c r="I6" s="205"/>
    </row>
    <row r="7" spans="1:9" ht="12.75" customHeight="1" x14ac:dyDescent="0.25">
      <c r="A7" s="215"/>
      <c r="B7" s="205"/>
      <c r="C7" s="205"/>
      <c r="D7" s="205"/>
      <c r="E7" s="205"/>
      <c r="F7" s="205"/>
      <c r="G7" s="205"/>
      <c r="H7" s="205"/>
      <c r="I7" s="205"/>
    </row>
    <row r="8" spans="1:9" ht="12.75" customHeight="1" x14ac:dyDescent="0.25">
      <c r="A8" s="215"/>
      <c r="B8" s="216" t="s">
        <v>379</v>
      </c>
      <c r="C8" s="217"/>
      <c r="D8" s="217" t="str">
        <f>Info!F18</f>
        <v>Гадаад худалдаа</v>
      </c>
      <c r="E8" s="217"/>
      <c r="F8" s="217"/>
      <c r="G8" s="217"/>
      <c r="H8" s="205"/>
      <c r="I8" s="205"/>
    </row>
    <row r="9" spans="1:9" ht="12.75" customHeight="1" x14ac:dyDescent="0.25">
      <c r="A9" s="215"/>
      <c r="B9" s="216" t="s">
        <v>380</v>
      </c>
      <c r="C9" s="217"/>
      <c r="D9" s="217" t="str">
        <f>Info!F19</f>
        <v>Хуурай замын тээвэр</v>
      </c>
      <c r="E9" s="217"/>
      <c r="F9" s="217"/>
      <c r="G9" s="217"/>
      <c r="H9" s="218"/>
      <c r="I9" s="218"/>
    </row>
    <row r="10" spans="1:9" ht="12.75" customHeight="1" x14ac:dyDescent="0.25">
      <c r="A10" s="215"/>
      <c r="B10" s="216" t="s">
        <v>381</v>
      </c>
      <c r="C10" s="217"/>
      <c r="D10" s="217">
        <f>Info!F20</f>
        <v>0</v>
      </c>
      <c r="E10" s="217"/>
      <c r="F10" s="217"/>
      <c r="G10" s="217"/>
      <c r="H10" s="218"/>
      <c r="I10" s="218"/>
    </row>
    <row r="11" spans="1:9" ht="12.75" customHeight="1" x14ac:dyDescent="0.25">
      <c r="A11" s="215"/>
      <c r="B11" s="205"/>
      <c r="C11" s="205"/>
      <c r="D11" s="205"/>
      <c r="E11" s="205"/>
      <c r="F11" s="205"/>
      <c r="G11" s="205"/>
      <c r="H11" s="205"/>
      <c r="I11" s="205"/>
    </row>
    <row r="12" spans="1:9" ht="12.75" customHeight="1" x14ac:dyDescent="0.25">
      <c r="A12" s="215"/>
      <c r="B12" s="205" t="s">
        <v>382</v>
      </c>
      <c r="C12" s="205"/>
      <c r="D12" s="205"/>
      <c r="E12" s="205"/>
      <c r="F12" s="205"/>
      <c r="G12" s="205"/>
      <c r="H12" s="205"/>
      <c r="I12" s="205"/>
    </row>
    <row r="13" spans="1:9" ht="12.75" customHeight="1" x14ac:dyDescent="0.25">
      <c r="A13" s="215"/>
      <c r="B13" s="205"/>
      <c r="C13" s="205"/>
      <c r="D13" s="205"/>
      <c r="E13" s="205"/>
      <c r="F13" s="205"/>
      <c r="G13" s="205"/>
      <c r="H13" s="205"/>
      <c r="I13" s="205"/>
    </row>
    <row r="14" spans="1:9" ht="12.75" customHeight="1" x14ac:dyDescent="0.25">
      <c r="A14" s="215"/>
      <c r="B14" s="216" t="s">
        <v>379</v>
      </c>
      <c r="C14" s="217"/>
      <c r="D14" s="217"/>
      <c r="E14" s="217"/>
      <c r="F14" s="217"/>
      <c r="G14" s="217"/>
      <c r="H14" s="205"/>
      <c r="I14" s="205"/>
    </row>
    <row r="15" spans="1:9" ht="12.75" customHeight="1" x14ac:dyDescent="0.25">
      <c r="A15" s="215"/>
      <c r="B15" s="216" t="s">
        <v>380</v>
      </c>
      <c r="C15" s="217"/>
      <c r="D15" s="217"/>
      <c r="E15" s="217"/>
      <c r="F15" s="217"/>
      <c r="G15" s="217"/>
      <c r="H15" s="205"/>
      <c r="I15" s="205"/>
    </row>
    <row r="16" spans="1:9" ht="12.75" customHeight="1" x14ac:dyDescent="0.25">
      <c r="A16" s="215"/>
      <c r="B16" s="216" t="s">
        <v>381</v>
      </c>
      <c r="C16" s="217"/>
      <c r="D16" s="217"/>
      <c r="E16" s="217"/>
      <c r="F16" s="217"/>
      <c r="G16" s="217"/>
      <c r="H16" s="205"/>
      <c r="I16" s="205"/>
    </row>
    <row r="18" spans="1:2" ht="12.75" customHeight="1" x14ac:dyDescent="0.25">
      <c r="A18" s="215"/>
      <c r="B18" s="205" t="s">
        <v>383</v>
      </c>
    </row>
    <row r="19" spans="1:2" ht="12.75" customHeight="1" x14ac:dyDescent="0.25">
      <c r="A19" s="215"/>
      <c r="B19" s="205"/>
    </row>
    <row r="20" spans="1:2" ht="12.75" customHeight="1" x14ac:dyDescent="0.25">
      <c r="A20" s="215"/>
      <c r="B20" s="216" t="s">
        <v>379</v>
      </c>
    </row>
    <row r="21" spans="1:2" ht="12.75" customHeight="1" x14ac:dyDescent="0.25">
      <c r="A21" s="215"/>
      <c r="B21" s="216" t="s">
        <v>380</v>
      </c>
    </row>
    <row r="22" spans="1:2" ht="12.75" customHeight="1" x14ac:dyDescent="0.25">
      <c r="A22" s="215"/>
      <c r="B22" s="216" t="s">
        <v>381</v>
      </c>
    </row>
    <row r="23" spans="1:2" ht="12.75" customHeight="1" x14ac:dyDescent="0.25">
      <c r="A23" s="215"/>
      <c r="B23" s="205"/>
    </row>
    <row r="24" spans="1:2" ht="12.75" customHeight="1" x14ac:dyDescent="0.25">
      <c r="A24" s="219" t="s">
        <v>384</v>
      </c>
      <c r="B24" s="220"/>
    </row>
    <row r="25" spans="1:2" ht="12.75" customHeight="1" x14ac:dyDescent="0.25">
      <c r="A25" s="221"/>
      <c r="B25" s="221"/>
    </row>
    <row r="26" spans="1:2" ht="12.75" customHeight="1" x14ac:dyDescent="0.25">
      <c r="A26" s="221"/>
      <c r="B26" s="221"/>
    </row>
    <row r="27" spans="1:2" ht="12.75" customHeight="1" x14ac:dyDescent="0.25">
      <c r="A27" s="221"/>
      <c r="B27" s="221"/>
    </row>
    <row r="28" spans="1:2" ht="12.75" customHeight="1" x14ac:dyDescent="0.25">
      <c r="A28" s="221"/>
      <c r="B28" s="221"/>
    </row>
    <row r="29" spans="1:2" ht="12.75" customHeight="1" x14ac:dyDescent="0.25">
      <c r="A29" s="219" t="s">
        <v>385</v>
      </c>
      <c r="B29" s="220"/>
    </row>
    <row r="38" spans="1:9" ht="12.75" customHeight="1" x14ac:dyDescent="0.25">
      <c r="A38" s="219" t="s">
        <v>386</v>
      </c>
      <c r="B38" s="220"/>
      <c r="C38" s="220"/>
      <c r="D38" s="220"/>
      <c r="E38" s="220"/>
      <c r="F38" s="220"/>
      <c r="G38" s="220"/>
      <c r="H38" s="220"/>
      <c r="I38" s="220"/>
    </row>
    <row r="39" spans="1:9" ht="12.75" customHeight="1" x14ac:dyDescent="0.25">
      <c r="A39" s="222"/>
      <c r="B39" s="222"/>
      <c r="C39" s="222"/>
      <c r="D39" s="222"/>
      <c r="E39" s="222"/>
      <c r="F39" s="222"/>
      <c r="G39" s="222"/>
      <c r="H39" s="222"/>
      <c r="I39" s="222"/>
    </row>
    <row r="40" spans="1:9" ht="12.75" customHeight="1" x14ac:dyDescent="0.25">
      <c r="A40" s="215"/>
      <c r="B40" s="205"/>
      <c r="C40" s="205"/>
      <c r="D40" s="205"/>
      <c r="E40" s="205"/>
      <c r="F40" s="205"/>
      <c r="G40" s="205"/>
      <c r="H40" s="205"/>
      <c r="I40" s="205"/>
    </row>
    <row r="41" spans="1:9" ht="12.75" customHeight="1" x14ac:dyDescent="0.25">
      <c r="A41" s="10" t="s">
        <v>387</v>
      </c>
      <c r="B41" s="756" t="s">
        <v>388</v>
      </c>
      <c r="C41" s="690"/>
      <c r="D41" s="690"/>
      <c r="E41" s="691"/>
      <c r="F41" s="774" t="s">
        <v>389</v>
      </c>
      <c r="G41" s="691"/>
      <c r="H41" s="774" t="s">
        <v>390</v>
      </c>
      <c r="I41" s="691"/>
    </row>
    <row r="42" spans="1:9" ht="12.75" customHeight="1" x14ac:dyDescent="0.25">
      <c r="A42" s="11">
        <v>1</v>
      </c>
      <c r="B42" s="12" t="s">
        <v>391</v>
      </c>
      <c r="C42" s="224"/>
      <c r="D42" s="224"/>
      <c r="E42" s="13"/>
      <c r="F42" s="775">
        <f>TB!D6</f>
        <v>2800000</v>
      </c>
      <c r="G42" s="691"/>
      <c r="H42" s="776">
        <f>SUM(TB!N6)</f>
        <v>2800000</v>
      </c>
      <c r="I42" s="691"/>
    </row>
    <row r="43" spans="1:9" ht="12.75" customHeight="1" x14ac:dyDescent="0.25">
      <c r="A43" s="14">
        <v>2</v>
      </c>
      <c r="B43" s="12" t="s">
        <v>392</v>
      </c>
      <c r="C43" s="224"/>
      <c r="D43" s="224"/>
      <c r="E43" s="13"/>
      <c r="F43" s="775">
        <f>SUM(TB!D7)</f>
        <v>1050000</v>
      </c>
      <c r="G43" s="691"/>
      <c r="H43" s="776">
        <f>TB!N7</f>
        <v>8110000</v>
      </c>
      <c r="I43" s="691"/>
    </row>
    <row r="44" spans="1:9" ht="12.75" customHeight="1" x14ac:dyDescent="0.25">
      <c r="A44" s="11">
        <v>3</v>
      </c>
      <c r="B44" s="12" t="s">
        <v>393</v>
      </c>
      <c r="C44" s="224"/>
      <c r="D44" s="224"/>
      <c r="E44" s="13"/>
      <c r="F44" s="775"/>
      <c r="G44" s="691"/>
      <c r="H44" s="776"/>
      <c r="I44" s="691"/>
    </row>
    <row r="45" spans="1:9" ht="12.75" customHeight="1" x14ac:dyDescent="0.25">
      <c r="A45" s="11">
        <v>4</v>
      </c>
      <c r="B45" s="751" t="s">
        <v>394</v>
      </c>
      <c r="C45" s="690"/>
      <c r="D45" s="690"/>
      <c r="E45" s="691"/>
      <c r="F45" s="777">
        <f>SUM(F42:F44)</f>
        <v>3850000</v>
      </c>
      <c r="G45" s="691"/>
      <c r="H45" s="778">
        <f>SUM(H42:H44)</f>
        <v>10910000</v>
      </c>
      <c r="I45" s="691"/>
    </row>
    <row r="46" spans="1:9" ht="12.75" customHeight="1" x14ac:dyDescent="0.25">
      <c r="A46" s="3"/>
      <c r="B46" s="215" t="s">
        <v>395</v>
      </c>
      <c r="C46" s="205" t="s">
        <v>396</v>
      </c>
      <c r="D46" s="205"/>
      <c r="E46" s="205"/>
      <c r="F46" s="225"/>
      <c r="G46" s="225"/>
      <c r="H46" s="225"/>
      <c r="I46" s="225"/>
    </row>
    <row r="51" spans="1:9" ht="12.75" customHeight="1" x14ac:dyDescent="0.25">
      <c r="A51" s="219" t="s">
        <v>397</v>
      </c>
      <c r="B51" s="220"/>
      <c r="C51" s="220"/>
      <c r="D51" s="220"/>
      <c r="E51" s="220"/>
      <c r="F51" s="220"/>
      <c r="G51" s="220"/>
      <c r="H51" s="220"/>
      <c r="I51" s="220"/>
    </row>
    <row r="52" spans="1:9" ht="13.5" customHeight="1" x14ac:dyDescent="0.25">
      <c r="A52" s="215"/>
      <c r="B52" s="205"/>
      <c r="C52" s="205"/>
      <c r="D52" s="205"/>
      <c r="E52" s="205"/>
      <c r="F52" s="205"/>
      <c r="G52" s="205"/>
      <c r="H52" s="205"/>
      <c r="I52" s="205"/>
    </row>
    <row r="53" spans="1:9" ht="13.5" customHeight="1" x14ac:dyDescent="0.25">
      <c r="A53" s="3"/>
      <c r="B53" s="215" t="s">
        <v>398</v>
      </c>
      <c r="C53" s="205"/>
      <c r="D53" s="205"/>
      <c r="E53" s="205"/>
      <c r="F53" s="205"/>
      <c r="G53" s="205"/>
      <c r="H53" s="205"/>
      <c r="I53" s="205"/>
    </row>
    <row r="54" spans="1:9" ht="13.5" customHeight="1" x14ac:dyDescent="0.25">
      <c r="A54" s="215"/>
      <c r="B54" s="205"/>
      <c r="C54" s="205"/>
      <c r="D54" s="205"/>
      <c r="E54" s="205"/>
      <c r="F54" s="205"/>
      <c r="G54" s="205"/>
      <c r="H54" s="205"/>
      <c r="I54" s="205"/>
    </row>
    <row r="55" spans="1:9" ht="52.5" customHeight="1" x14ac:dyDescent="0.25">
      <c r="A55" s="15" t="s">
        <v>387</v>
      </c>
      <c r="B55" s="16" t="s">
        <v>193</v>
      </c>
      <c r="C55" s="226"/>
      <c r="D55" s="768" t="s">
        <v>82</v>
      </c>
      <c r="E55" s="691"/>
      <c r="F55" s="17" t="s">
        <v>399</v>
      </c>
      <c r="G55" s="18"/>
      <c r="H55" s="17" t="s">
        <v>400</v>
      </c>
      <c r="I55" s="18"/>
    </row>
    <row r="56" spans="1:9" ht="12.75" customHeight="1" x14ac:dyDescent="0.25">
      <c r="A56" s="11">
        <v>1</v>
      </c>
      <c r="B56" s="12" t="s">
        <v>389</v>
      </c>
      <c r="C56" s="224"/>
      <c r="D56" s="739"/>
      <c r="E56" s="691"/>
      <c r="F56" s="739"/>
      <c r="G56" s="691"/>
      <c r="H56" s="739">
        <v>0</v>
      </c>
      <c r="I56" s="691"/>
    </row>
    <row r="57" spans="1:9" ht="12.75" customHeight="1" x14ac:dyDescent="0.25">
      <c r="A57" s="11">
        <v>2</v>
      </c>
      <c r="B57" s="12" t="s">
        <v>401</v>
      </c>
      <c r="C57" s="224"/>
      <c r="D57" s="739"/>
      <c r="E57" s="691"/>
      <c r="F57" s="739"/>
      <c r="G57" s="691"/>
      <c r="H57" s="739">
        <v>0</v>
      </c>
      <c r="I57" s="691"/>
    </row>
    <row r="58" spans="1:9" ht="12.75" customHeight="1" x14ac:dyDescent="0.25">
      <c r="A58" s="11">
        <v>3</v>
      </c>
      <c r="B58" s="12" t="s">
        <v>402</v>
      </c>
      <c r="C58" s="224"/>
      <c r="D58" s="739">
        <v>0</v>
      </c>
      <c r="E58" s="691"/>
      <c r="F58" s="739">
        <v>0</v>
      </c>
      <c r="G58" s="691"/>
      <c r="H58" s="739">
        <v>0</v>
      </c>
      <c r="I58" s="691"/>
    </row>
    <row r="59" spans="1:9" ht="12.75" customHeight="1" x14ac:dyDescent="0.25">
      <c r="A59" s="19"/>
      <c r="B59" s="12" t="s">
        <v>403</v>
      </c>
      <c r="C59" s="224"/>
      <c r="D59" s="739"/>
      <c r="E59" s="691"/>
      <c r="F59" s="739"/>
      <c r="G59" s="691"/>
      <c r="H59" s="739"/>
      <c r="I59" s="691"/>
    </row>
    <row r="60" spans="1:9" ht="12.75" customHeight="1" x14ac:dyDescent="0.25">
      <c r="A60" s="20"/>
      <c r="B60" s="12" t="s">
        <v>404</v>
      </c>
      <c r="C60" s="224"/>
      <c r="D60" s="739"/>
      <c r="E60" s="691"/>
      <c r="F60" s="739"/>
      <c r="G60" s="691"/>
      <c r="H60" s="739"/>
      <c r="I60" s="691"/>
    </row>
    <row r="61" spans="1:9" ht="12.75" customHeight="1" x14ac:dyDescent="0.25">
      <c r="A61" s="11">
        <v>3</v>
      </c>
      <c r="B61" s="12" t="s">
        <v>390</v>
      </c>
      <c r="C61" s="224"/>
      <c r="D61" s="739">
        <f>TB!N14</f>
        <v>0</v>
      </c>
      <c r="E61" s="691"/>
      <c r="F61" s="739">
        <v>0</v>
      </c>
      <c r="G61" s="691"/>
      <c r="H61" s="739">
        <v>0</v>
      </c>
      <c r="I61" s="691"/>
    </row>
    <row r="62" spans="1:9" ht="12.75" customHeight="1" x14ac:dyDescent="0.25">
      <c r="A62" s="215"/>
      <c r="B62" s="205"/>
      <c r="C62" s="205"/>
      <c r="D62" s="205"/>
      <c r="E62" s="205"/>
      <c r="F62" s="205"/>
      <c r="G62" s="205"/>
      <c r="H62" s="205"/>
      <c r="I62" s="205"/>
    </row>
    <row r="63" spans="1:9" ht="12.75" customHeight="1" x14ac:dyDescent="0.25">
      <c r="A63" s="3"/>
      <c r="B63" s="222" t="s">
        <v>405</v>
      </c>
      <c r="C63" s="222"/>
      <c r="D63" s="222"/>
      <c r="E63" s="222"/>
      <c r="F63" s="222"/>
      <c r="G63" s="205"/>
      <c r="H63" s="205"/>
      <c r="I63" s="205"/>
    </row>
    <row r="65" spans="1:9" ht="12.75" customHeight="1" x14ac:dyDescent="0.25">
      <c r="A65" s="15" t="s">
        <v>387</v>
      </c>
      <c r="B65" s="21" t="s">
        <v>388</v>
      </c>
      <c r="C65" s="227"/>
      <c r="D65" s="227"/>
      <c r="E65" s="227"/>
      <c r="F65" s="751" t="s">
        <v>389</v>
      </c>
      <c r="G65" s="691"/>
      <c r="H65" s="751" t="s">
        <v>390</v>
      </c>
      <c r="I65" s="691"/>
    </row>
    <row r="66" spans="1:9" ht="12.75" customHeight="1" x14ac:dyDescent="0.25">
      <c r="A66" s="11">
        <v>1</v>
      </c>
      <c r="B66" s="742" t="s">
        <v>406</v>
      </c>
      <c r="C66" s="690"/>
      <c r="D66" s="690"/>
      <c r="E66" s="691"/>
      <c r="F66" s="739">
        <f>TB!D18</f>
        <v>0</v>
      </c>
      <c r="G66" s="691"/>
      <c r="H66" s="739">
        <f>TB!N18</f>
        <v>0</v>
      </c>
      <c r="I66" s="691"/>
    </row>
    <row r="67" spans="1:9" ht="12.75" customHeight="1" x14ac:dyDescent="0.25">
      <c r="A67" s="11">
        <v>2</v>
      </c>
      <c r="B67" s="742" t="s">
        <v>407</v>
      </c>
      <c r="C67" s="690"/>
      <c r="D67" s="690"/>
      <c r="E67" s="691"/>
      <c r="F67" s="739"/>
      <c r="G67" s="691"/>
      <c r="H67" s="739"/>
      <c r="I67" s="691"/>
    </row>
    <row r="68" spans="1:9" ht="12.75" customHeight="1" x14ac:dyDescent="0.25">
      <c r="A68" s="11">
        <v>3</v>
      </c>
      <c r="B68" s="742" t="s">
        <v>408</v>
      </c>
      <c r="C68" s="690"/>
      <c r="D68" s="690"/>
      <c r="E68" s="691"/>
      <c r="F68" s="739"/>
      <c r="G68" s="691"/>
      <c r="H68" s="739"/>
      <c r="I68" s="691"/>
    </row>
    <row r="69" spans="1:9" ht="12.75" customHeight="1" x14ac:dyDescent="0.25">
      <c r="A69" s="11">
        <v>4</v>
      </c>
      <c r="B69" s="742" t="s">
        <v>409</v>
      </c>
      <c r="C69" s="690"/>
      <c r="D69" s="690"/>
      <c r="E69" s="691"/>
      <c r="F69" s="739"/>
      <c r="G69" s="691"/>
      <c r="H69" s="739">
        <f>TB!N17</f>
        <v>0</v>
      </c>
      <c r="I69" s="691"/>
    </row>
    <row r="70" spans="1:9" ht="12.75" customHeight="1" x14ac:dyDescent="0.25">
      <c r="A70" s="11">
        <v>5</v>
      </c>
      <c r="B70" s="740" t="s">
        <v>394</v>
      </c>
      <c r="C70" s="690"/>
      <c r="D70" s="690"/>
      <c r="E70" s="691"/>
      <c r="F70" s="739">
        <f>SUM(F66:G69)</f>
        <v>0</v>
      </c>
      <c r="G70" s="691"/>
      <c r="H70" s="739">
        <f>SUM(H66:I69)</f>
        <v>0</v>
      </c>
      <c r="I70" s="691"/>
    </row>
    <row r="71" spans="1:9" ht="12.75" customHeight="1" x14ac:dyDescent="0.25">
      <c r="A71" s="215"/>
      <c r="B71" s="205"/>
      <c r="C71" s="205"/>
      <c r="D71" s="205"/>
      <c r="E71" s="205"/>
      <c r="F71" s="205"/>
      <c r="G71" s="205"/>
      <c r="H71" s="205"/>
      <c r="I71" s="205"/>
    </row>
    <row r="72" spans="1:9" ht="12.75" customHeight="1" x14ac:dyDescent="0.25">
      <c r="A72" s="3"/>
      <c r="B72" s="222" t="s">
        <v>410</v>
      </c>
      <c r="C72" s="222"/>
      <c r="D72" s="222"/>
      <c r="E72" s="222"/>
      <c r="F72" s="222"/>
      <c r="G72" s="205"/>
      <c r="H72" s="205"/>
      <c r="I72" s="205"/>
    </row>
    <row r="73" spans="1:9" ht="12.75" customHeight="1" x14ac:dyDescent="0.25">
      <c r="A73" s="215"/>
      <c r="B73" s="205"/>
      <c r="C73" s="205"/>
      <c r="D73" s="205"/>
      <c r="E73" s="205"/>
      <c r="F73" s="205"/>
      <c r="G73" s="205"/>
      <c r="H73" s="205"/>
      <c r="I73" s="205"/>
    </row>
    <row r="74" spans="1:9" ht="12.75" customHeight="1" x14ac:dyDescent="0.25">
      <c r="A74" s="15" t="s">
        <v>387</v>
      </c>
      <c r="B74" s="21" t="s">
        <v>411</v>
      </c>
      <c r="C74" s="227"/>
      <c r="D74" s="227"/>
      <c r="E74" s="22"/>
      <c r="F74" s="751" t="s">
        <v>389</v>
      </c>
      <c r="G74" s="691"/>
      <c r="H74" s="751" t="s">
        <v>390</v>
      </c>
      <c r="I74" s="691"/>
    </row>
    <row r="75" spans="1:9" ht="12.75" customHeight="1" x14ac:dyDescent="0.25">
      <c r="A75" s="11">
        <v>1</v>
      </c>
      <c r="B75" s="741" t="s">
        <v>412</v>
      </c>
      <c r="C75" s="690"/>
      <c r="D75" s="690"/>
      <c r="E75" s="691"/>
      <c r="F75" s="739"/>
      <c r="G75" s="691"/>
      <c r="H75" s="739"/>
      <c r="I75" s="691"/>
    </row>
    <row r="76" spans="1:9" ht="12.75" customHeight="1" x14ac:dyDescent="0.25">
      <c r="A76" s="11">
        <v>2</v>
      </c>
      <c r="B76" s="23" t="s">
        <v>413</v>
      </c>
      <c r="C76" s="228"/>
      <c r="D76" s="228"/>
      <c r="E76" s="24"/>
      <c r="F76" s="739"/>
      <c r="G76" s="691"/>
      <c r="H76" s="739"/>
      <c r="I76" s="691"/>
    </row>
    <row r="77" spans="1:9" ht="12.75" customHeight="1" x14ac:dyDescent="0.25">
      <c r="A77" s="11">
        <v>3</v>
      </c>
      <c r="B77" s="23" t="s">
        <v>414</v>
      </c>
      <c r="C77" s="228"/>
      <c r="D77" s="228"/>
      <c r="E77" s="24"/>
      <c r="F77" s="739"/>
      <c r="G77" s="691"/>
      <c r="H77" s="739"/>
      <c r="I77" s="691"/>
    </row>
    <row r="78" spans="1:9" ht="12.75" customHeight="1" x14ac:dyDescent="0.25">
      <c r="A78" s="11">
        <v>4</v>
      </c>
      <c r="B78" s="23" t="s">
        <v>415</v>
      </c>
      <c r="C78" s="228"/>
      <c r="D78" s="228"/>
      <c r="E78" s="24"/>
      <c r="F78" s="739"/>
      <c r="G78" s="691"/>
      <c r="H78" s="739"/>
      <c r="I78" s="691"/>
    </row>
    <row r="79" spans="1:9" ht="12.75" customHeight="1" x14ac:dyDescent="0.25">
      <c r="A79" s="11">
        <v>5</v>
      </c>
      <c r="B79" s="742" t="s">
        <v>416</v>
      </c>
      <c r="C79" s="690"/>
      <c r="D79" s="690"/>
      <c r="E79" s="691"/>
      <c r="F79" s="739"/>
      <c r="G79" s="691"/>
      <c r="H79" s="739"/>
      <c r="I79" s="691"/>
    </row>
    <row r="80" spans="1:9" ht="12.75" customHeight="1" x14ac:dyDescent="0.25">
      <c r="A80" s="11">
        <v>6</v>
      </c>
      <c r="B80" s="742" t="s">
        <v>417</v>
      </c>
      <c r="C80" s="690"/>
      <c r="D80" s="690"/>
      <c r="E80" s="691"/>
      <c r="F80" s="739"/>
      <c r="G80" s="691"/>
      <c r="H80" s="739"/>
      <c r="I80" s="691"/>
    </row>
    <row r="81" spans="1:10" ht="12.75" customHeight="1" x14ac:dyDescent="0.25">
      <c r="A81" s="11">
        <v>7</v>
      </c>
      <c r="B81" s="742" t="s">
        <v>418</v>
      </c>
      <c r="C81" s="690"/>
      <c r="D81" s="690"/>
      <c r="E81" s="691"/>
      <c r="F81" s="739"/>
      <c r="G81" s="691"/>
      <c r="H81" s="739">
        <f>TB!N19</f>
        <v>0</v>
      </c>
      <c r="I81" s="691"/>
      <c r="J81" s="205"/>
    </row>
    <row r="82" spans="1:10" ht="12.75" customHeight="1" x14ac:dyDescent="0.25">
      <c r="A82" s="11">
        <v>8</v>
      </c>
      <c r="B82" s="751" t="s">
        <v>419</v>
      </c>
      <c r="C82" s="690"/>
      <c r="D82" s="690"/>
      <c r="E82" s="691"/>
      <c r="F82" s="739">
        <v>0</v>
      </c>
      <c r="G82" s="691"/>
      <c r="H82" s="739">
        <f>SUM(H81)</f>
        <v>0</v>
      </c>
      <c r="I82" s="691"/>
      <c r="J82" s="205"/>
    </row>
    <row r="83" spans="1:10" ht="12.75" customHeight="1" x14ac:dyDescent="0.25">
      <c r="A83" s="215"/>
      <c r="B83" s="229"/>
      <c r="C83" s="229"/>
      <c r="D83" s="229"/>
      <c r="E83" s="229"/>
      <c r="F83" s="771"/>
      <c r="G83" s="693"/>
      <c r="H83" s="771"/>
      <c r="I83" s="693"/>
      <c r="J83" s="205"/>
    </row>
    <row r="84" spans="1:10" ht="12.75" customHeight="1" x14ac:dyDescent="0.25">
      <c r="A84" s="767" t="s">
        <v>420</v>
      </c>
      <c r="B84" s="693"/>
      <c r="C84" s="693"/>
      <c r="D84" s="693"/>
      <c r="E84" s="693"/>
      <c r="F84" s="693"/>
      <c r="G84" s="693"/>
      <c r="H84" s="693"/>
      <c r="I84" s="693"/>
      <c r="J84" s="693"/>
    </row>
    <row r="85" spans="1:10" ht="12.75" customHeight="1" x14ac:dyDescent="0.25">
      <c r="A85" s="693"/>
      <c r="B85" s="697"/>
      <c r="C85" s="697"/>
      <c r="D85" s="697"/>
      <c r="E85" s="697"/>
      <c r="F85" s="697"/>
      <c r="G85" s="697"/>
      <c r="H85" s="697"/>
      <c r="I85" s="697"/>
      <c r="J85" s="693"/>
    </row>
    <row r="86" spans="1:10" ht="12.75" customHeight="1" x14ac:dyDescent="0.25">
      <c r="A86" s="693"/>
      <c r="B86" s="693"/>
      <c r="C86" s="693"/>
      <c r="D86" s="693"/>
      <c r="E86" s="693"/>
      <c r="F86" s="693"/>
      <c r="G86" s="693"/>
      <c r="H86" s="693"/>
      <c r="I86" s="693"/>
      <c r="J86" s="693"/>
    </row>
    <row r="87" spans="1:10" ht="12.75" customHeight="1" x14ac:dyDescent="0.25">
      <c r="A87" s="25"/>
      <c r="B87" s="25"/>
      <c r="C87" s="25"/>
      <c r="D87" s="25"/>
      <c r="E87" s="25"/>
      <c r="F87" s="25"/>
      <c r="G87" s="25"/>
      <c r="H87" s="25"/>
      <c r="I87" s="25"/>
      <c r="J87" s="25"/>
    </row>
    <row r="88" spans="1:10" ht="12.75" customHeight="1" x14ac:dyDescent="0.25">
      <c r="A88" s="25"/>
      <c r="B88" s="25"/>
      <c r="C88" s="25"/>
      <c r="D88" s="25"/>
      <c r="E88" s="25"/>
      <c r="F88" s="25"/>
      <c r="G88" s="25"/>
      <c r="H88" s="25"/>
      <c r="I88" s="25"/>
      <c r="J88" s="25"/>
    </row>
    <row r="89" spans="1:10" ht="12.75" customHeight="1" x14ac:dyDescent="0.25">
      <c r="A89" s="25"/>
      <c r="B89" s="25"/>
      <c r="C89" s="25"/>
      <c r="D89" s="25"/>
      <c r="E89" s="25"/>
      <c r="F89" s="25"/>
      <c r="G89" s="25"/>
      <c r="H89" s="25"/>
      <c r="I89" s="25"/>
      <c r="J89" s="25"/>
    </row>
    <row r="90" spans="1:10" ht="12.75" customHeight="1" x14ac:dyDescent="0.25">
      <c r="A90" s="230"/>
      <c r="B90" s="230"/>
      <c r="C90" s="230"/>
      <c r="D90" s="230"/>
      <c r="E90" s="230"/>
      <c r="F90" s="230"/>
      <c r="G90" s="230"/>
      <c r="H90" s="230"/>
      <c r="I90" s="230"/>
      <c r="J90" s="230"/>
    </row>
    <row r="91" spans="1:10" ht="12.75" customHeight="1" x14ac:dyDescent="0.25">
      <c r="A91" s="219" t="s">
        <v>421</v>
      </c>
      <c r="B91" s="220"/>
      <c r="C91" s="220"/>
      <c r="D91" s="220"/>
      <c r="E91" s="220"/>
      <c r="F91" s="220"/>
      <c r="G91" s="220"/>
      <c r="H91" s="220"/>
      <c r="I91" s="220"/>
      <c r="J91" s="220"/>
    </row>
    <row r="92" spans="1:10" ht="12.75" customHeight="1" x14ac:dyDescent="0.25">
      <c r="A92" s="231"/>
      <c r="B92" s="232"/>
      <c r="C92" s="232"/>
      <c r="D92" s="232"/>
      <c r="E92" s="232"/>
      <c r="F92" s="232"/>
      <c r="G92" s="232"/>
      <c r="H92" s="232"/>
      <c r="I92" s="232"/>
      <c r="J92" s="233"/>
    </row>
    <row r="93" spans="1:10" ht="12.75" customHeight="1" x14ac:dyDescent="0.25">
      <c r="A93" s="16" t="s">
        <v>42</v>
      </c>
      <c r="B93" s="26" t="s">
        <v>388</v>
      </c>
      <c r="C93" s="26"/>
      <c r="D93" s="26"/>
      <c r="E93" s="26"/>
      <c r="F93" s="26" t="s">
        <v>389</v>
      </c>
      <c r="G93" s="26"/>
      <c r="H93" s="26" t="s">
        <v>390</v>
      </c>
      <c r="I93" s="26"/>
      <c r="J93" s="205"/>
    </row>
    <row r="94" spans="1:10" ht="12.75" customHeight="1" x14ac:dyDescent="0.25">
      <c r="A94" s="27">
        <v>1</v>
      </c>
      <c r="B94" s="26"/>
      <c r="C94" s="26"/>
      <c r="D94" s="26"/>
      <c r="E94" s="26"/>
      <c r="F94" s="28"/>
      <c r="G94" s="29"/>
      <c r="H94" s="28"/>
      <c r="I94" s="29"/>
      <c r="J94" s="205"/>
    </row>
    <row r="95" spans="1:10" ht="12.75" customHeight="1" x14ac:dyDescent="0.25">
      <c r="A95" s="27">
        <v>2</v>
      </c>
      <c r="B95" s="26"/>
      <c r="C95" s="26"/>
      <c r="D95" s="26"/>
      <c r="E95" s="26"/>
      <c r="F95" s="28"/>
      <c r="G95" s="29"/>
      <c r="H95" s="28"/>
      <c r="I95" s="29"/>
      <c r="J95" s="205"/>
    </row>
    <row r="96" spans="1:10" ht="12.75" customHeight="1" x14ac:dyDescent="0.25">
      <c r="A96" s="27">
        <v>3</v>
      </c>
      <c r="B96" s="26" t="s">
        <v>304</v>
      </c>
      <c r="C96" s="26"/>
      <c r="D96" s="26"/>
      <c r="E96" s="26"/>
      <c r="F96" s="28"/>
      <c r="G96" s="29"/>
      <c r="H96" s="28"/>
      <c r="I96" s="29"/>
      <c r="J96" s="205"/>
    </row>
    <row r="98" spans="1:10" ht="12.75" customHeight="1" x14ac:dyDescent="0.25">
      <c r="A98" s="219" t="s">
        <v>422</v>
      </c>
      <c r="B98" s="220"/>
      <c r="C98" s="220"/>
      <c r="D98" s="220"/>
      <c r="E98" s="220"/>
      <c r="F98" s="220"/>
      <c r="G98" s="220"/>
      <c r="H98" s="220"/>
      <c r="I98" s="220"/>
      <c r="J98" s="220"/>
    </row>
    <row r="99" spans="1:10" ht="12.75" customHeight="1" x14ac:dyDescent="0.25">
      <c r="A99" s="231"/>
      <c r="B99" s="232"/>
      <c r="C99" s="232"/>
      <c r="D99" s="232"/>
      <c r="E99" s="232"/>
      <c r="F99" s="232"/>
      <c r="G99" s="232"/>
      <c r="H99" s="232"/>
      <c r="I99" s="232"/>
      <c r="J99" s="233"/>
    </row>
    <row r="100" spans="1:10" ht="12.75" customHeight="1" x14ac:dyDescent="0.25">
      <c r="A100" s="30" t="s">
        <v>42</v>
      </c>
      <c r="B100" s="30" t="s">
        <v>193</v>
      </c>
      <c r="C100" s="768" t="s">
        <v>423</v>
      </c>
      <c r="D100" s="690"/>
      <c r="E100" s="690"/>
      <c r="F100" s="690"/>
      <c r="G100" s="690"/>
      <c r="H100" s="691"/>
      <c r="I100" s="769" t="s">
        <v>304</v>
      </c>
      <c r="J100" s="205"/>
    </row>
    <row r="101" spans="1:10" ht="24" customHeight="1" x14ac:dyDescent="0.25">
      <c r="A101" s="31"/>
      <c r="B101" s="31"/>
      <c r="C101" s="32" t="s">
        <v>100</v>
      </c>
      <c r="D101" s="32" t="s">
        <v>101</v>
      </c>
      <c r="E101" s="32" t="s">
        <v>98</v>
      </c>
      <c r="F101" s="33" t="s">
        <v>424</v>
      </c>
      <c r="G101" s="32" t="s">
        <v>97</v>
      </c>
      <c r="H101" s="34"/>
      <c r="I101" s="758"/>
      <c r="J101" s="205"/>
    </row>
    <row r="102" spans="1:10" ht="24.75" customHeight="1" x14ac:dyDescent="0.25">
      <c r="A102" s="11">
        <v>1</v>
      </c>
      <c r="B102" s="35" t="s">
        <v>425</v>
      </c>
      <c r="C102" s="36"/>
      <c r="D102" s="36"/>
      <c r="E102" s="36">
        <f>TB!D24</f>
        <v>0</v>
      </c>
      <c r="F102" s="37"/>
      <c r="G102" s="37"/>
      <c r="H102" s="38"/>
      <c r="I102" s="36">
        <f>+G102</f>
        <v>0</v>
      </c>
      <c r="J102" s="205"/>
    </row>
    <row r="103" spans="1:10" ht="12.75" customHeight="1" x14ac:dyDescent="0.25">
      <c r="A103" s="11">
        <v>2</v>
      </c>
      <c r="B103" s="39" t="s">
        <v>426</v>
      </c>
      <c r="C103" s="36"/>
      <c r="D103" s="36"/>
      <c r="E103" s="36">
        <f>TB!F24</f>
        <v>0</v>
      </c>
      <c r="F103" s="37"/>
      <c r="G103" s="37"/>
      <c r="H103" s="38"/>
      <c r="I103" s="36">
        <v>0</v>
      </c>
      <c r="J103" s="205"/>
    </row>
    <row r="104" spans="1:10" ht="12.75" customHeight="1" x14ac:dyDescent="0.25">
      <c r="A104" s="11">
        <v>3</v>
      </c>
      <c r="B104" s="39" t="s">
        <v>427</v>
      </c>
      <c r="C104" s="36"/>
      <c r="D104" s="36"/>
      <c r="E104" s="36">
        <f>TB!G24</f>
        <v>0</v>
      </c>
      <c r="F104" s="37"/>
      <c r="G104" s="37"/>
      <c r="H104" s="38"/>
      <c r="I104" s="36">
        <v>0</v>
      </c>
      <c r="J104" s="205"/>
    </row>
    <row r="105" spans="1:10" ht="12.75" customHeight="1" x14ac:dyDescent="0.25">
      <c r="A105" s="11">
        <v>4</v>
      </c>
      <c r="B105" s="35" t="s">
        <v>428</v>
      </c>
      <c r="C105" s="36">
        <v>0</v>
      </c>
      <c r="D105" s="36">
        <v>0</v>
      </c>
      <c r="E105" s="36">
        <v>0</v>
      </c>
      <c r="F105" s="36">
        <v>0</v>
      </c>
      <c r="G105" s="36">
        <f>+G102</f>
        <v>0</v>
      </c>
      <c r="H105" s="36">
        <v>0</v>
      </c>
      <c r="I105" s="36">
        <f>+I102</f>
        <v>0</v>
      </c>
      <c r="J105" s="205"/>
    </row>
    <row r="106" spans="1:10" ht="12.75" customHeight="1" x14ac:dyDescent="0.25">
      <c r="A106" s="11">
        <v>5</v>
      </c>
      <c r="B106" s="35" t="s">
        <v>429</v>
      </c>
      <c r="C106" s="36"/>
      <c r="D106" s="36"/>
      <c r="E106" s="36"/>
      <c r="F106" s="36"/>
      <c r="G106" s="36"/>
      <c r="H106" s="38"/>
      <c r="I106" s="36">
        <v>0</v>
      </c>
      <c r="J106" s="205"/>
    </row>
    <row r="107" spans="1:10" ht="12.75" customHeight="1" x14ac:dyDescent="0.25">
      <c r="A107" s="11">
        <v>6</v>
      </c>
      <c r="B107" s="35" t="s">
        <v>430</v>
      </c>
      <c r="C107" s="36"/>
      <c r="D107" s="36"/>
      <c r="E107" s="36"/>
      <c r="F107" s="36"/>
      <c r="G107" s="36"/>
      <c r="H107" s="38"/>
      <c r="I107" s="36">
        <v>0</v>
      </c>
      <c r="J107" s="205"/>
    </row>
    <row r="108" spans="1:10" ht="12.75" customHeight="1" x14ac:dyDescent="0.25">
      <c r="A108" s="11">
        <v>7</v>
      </c>
      <c r="B108" s="39" t="s">
        <v>431</v>
      </c>
      <c r="C108" s="36">
        <v>0</v>
      </c>
      <c r="D108" s="36">
        <v>0</v>
      </c>
      <c r="E108" s="36">
        <v>0</v>
      </c>
      <c r="F108" s="36">
        <v>0</v>
      </c>
      <c r="G108" s="36"/>
      <c r="H108" s="36"/>
      <c r="I108" s="36"/>
      <c r="J108" s="205"/>
    </row>
    <row r="109" spans="1:10" ht="12.75" customHeight="1" x14ac:dyDescent="0.25">
      <c r="A109" s="11">
        <v>7.1</v>
      </c>
      <c r="B109" s="39" t="s">
        <v>389</v>
      </c>
      <c r="C109" s="36"/>
      <c r="D109" s="36"/>
      <c r="E109" s="36"/>
      <c r="F109" s="36"/>
      <c r="G109" s="36"/>
      <c r="H109" s="36"/>
      <c r="I109" s="36"/>
      <c r="J109" s="205"/>
    </row>
    <row r="110" spans="1:10" ht="12.75" customHeight="1" x14ac:dyDescent="0.25">
      <c r="A110" s="11">
        <v>7.2</v>
      </c>
      <c r="B110" s="39" t="s">
        <v>390</v>
      </c>
      <c r="C110" s="36"/>
      <c r="D110" s="36"/>
      <c r="E110" s="36"/>
      <c r="F110" s="36"/>
      <c r="G110" s="36"/>
      <c r="H110" s="36"/>
      <c r="I110" s="36"/>
      <c r="J110" s="205"/>
    </row>
    <row r="111" spans="1:10" ht="12.75" customHeight="1" x14ac:dyDescent="0.25">
      <c r="A111" s="215"/>
      <c r="B111" s="205"/>
      <c r="C111" s="205"/>
      <c r="D111" s="205"/>
      <c r="E111" s="205"/>
      <c r="F111" s="205"/>
      <c r="G111" s="205"/>
      <c r="H111" s="205"/>
      <c r="I111" s="205"/>
      <c r="J111" s="205"/>
    </row>
    <row r="112" spans="1:10" ht="12.75" customHeight="1" x14ac:dyDescent="0.25">
      <c r="A112" s="770" t="s">
        <v>432</v>
      </c>
      <c r="B112" s="693"/>
      <c r="C112" s="693"/>
      <c r="D112" s="693"/>
      <c r="E112" s="693"/>
      <c r="F112" s="693"/>
      <c r="G112" s="693"/>
      <c r="H112" s="693"/>
      <c r="I112" s="693"/>
      <c r="J112" s="693"/>
    </row>
    <row r="113" spans="1:10" ht="12.75" customHeight="1" x14ac:dyDescent="0.25">
      <c r="A113" s="693"/>
      <c r="B113" s="693"/>
      <c r="C113" s="693"/>
      <c r="D113" s="693"/>
      <c r="E113" s="693"/>
      <c r="F113" s="693"/>
      <c r="G113" s="693"/>
      <c r="H113" s="693"/>
      <c r="I113" s="693"/>
      <c r="J113" s="693"/>
    </row>
    <row r="114" spans="1:10" ht="12.75" customHeight="1" x14ac:dyDescent="0.25">
      <c r="A114" s="215"/>
      <c r="B114" s="205"/>
      <c r="C114" s="205"/>
      <c r="D114" s="205"/>
      <c r="E114" s="205"/>
      <c r="F114" s="205"/>
      <c r="G114" s="205"/>
      <c r="H114" s="205"/>
      <c r="I114" s="205"/>
      <c r="J114" s="205"/>
    </row>
    <row r="115" spans="1:10" ht="12.75" customHeight="1" x14ac:dyDescent="0.25">
      <c r="A115" s="767" t="s">
        <v>433</v>
      </c>
      <c r="B115" s="693"/>
      <c r="C115" s="693"/>
      <c r="D115" s="693"/>
      <c r="E115" s="693"/>
      <c r="F115" s="693"/>
      <c r="G115" s="693"/>
      <c r="H115" s="693"/>
      <c r="I115" s="693"/>
      <c r="J115" s="693"/>
    </row>
    <row r="116" spans="1:10" ht="12.75" customHeight="1" x14ac:dyDescent="0.25">
      <c r="A116" s="693"/>
      <c r="B116" s="693"/>
      <c r="C116" s="693"/>
      <c r="D116" s="693"/>
      <c r="E116" s="693"/>
      <c r="F116" s="693"/>
      <c r="G116" s="693"/>
      <c r="H116" s="693"/>
      <c r="I116" s="693"/>
      <c r="J116" s="693"/>
    </row>
    <row r="117" spans="1:10" ht="12.75" customHeight="1" x14ac:dyDescent="0.25">
      <c r="A117" s="221"/>
      <c r="B117" s="221"/>
      <c r="C117" s="221"/>
      <c r="D117" s="221"/>
      <c r="E117" s="221"/>
      <c r="F117" s="221"/>
      <c r="G117" s="221"/>
      <c r="H117" s="221"/>
      <c r="I117" s="221"/>
      <c r="J117" s="221"/>
    </row>
    <row r="118" spans="1:10" ht="12.75" customHeight="1" x14ac:dyDescent="0.25">
      <c r="A118" s="221"/>
      <c r="B118" s="221"/>
      <c r="C118" s="221"/>
      <c r="D118" s="221"/>
      <c r="E118" s="221"/>
      <c r="F118" s="221"/>
      <c r="G118" s="221"/>
      <c r="H118" s="221"/>
      <c r="I118" s="221"/>
      <c r="J118" s="221"/>
    </row>
    <row r="119" spans="1:10" ht="12.75" customHeight="1" x14ac:dyDescent="0.25">
      <c r="A119" s="221"/>
      <c r="B119" s="221"/>
      <c r="C119" s="221"/>
      <c r="D119" s="221"/>
      <c r="E119" s="221"/>
      <c r="F119" s="221"/>
      <c r="G119" s="221"/>
      <c r="H119" s="221"/>
      <c r="I119" s="221"/>
      <c r="J119" s="221"/>
    </row>
    <row r="120" spans="1:10" ht="12.75" customHeight="1" x14ac:dyDescent="0.25">
      <c r="A120" s="221"/>
      <c r="B120" s="221"/>
      <c r="C120" s="221"/>
      <c r="D120" s="221"/>
      <c r="E120" s="221"/>
      <c r="F120" s="221"/>
      <c r="G120" s="221"/>
      <c r="H120" s="221"/>
      <c r="I120" s="221"/>
      <c r="J120" s="221"/>
    </row>
    <row r="121" spans="1:10" ht="12.75" customHeight="1" x14ac:dyDescent="0.25">
      <c r="A121" s="215"/>
      <c r="B121" s="205"/>
      <c r="C121" s="205"/>
      <c r="D121" s="205"/>
      <c r="E121" s="205"/>
      <c r="F121" s="205"/>
      <c r="G121" s="205"/>
      <c r="H121" s="205"/>
      <c r="I121" s="205"/>
      <c r="J121" s="205"/>
    </row>
    <row r="122" spans="1:10" ht="25.5" customHeight="1" x14ac:dyDescent="0.25">
      <c r="A122" s="219" t="s">
        <v>434</v>
      </c>
      <c r="B122" s="220"/>
      <c r="C122" s="220"/>
      <c r="D122" s="220"/>
      <c r="E122" s="220"/>
      <c r="F122" s="220"/>
      <c r="G122" s="220"/>
      <c r="H122" s="220"/>
      <c r="I122" s="220"/>
      <c r="J122" s="220"/>
    </row>
    <row r="123" spans="1:10" ht="13.5" customHeight="1" x14ac:dyDescent="0.25">
      <c r="A123" s="234"/>
      <c r="B123" s="235"/>
      <c r="C123" s="235"/>
      <c r="D123" s="235"/>
      <c r="E123" s="235"/>
      <c r="F123" s="235"/>
      <c r="G123" s="235"/>
      <c r="H123" s="235"/>
      <c r="I123" s="235"/>
      <c r="J123" s="235"/>
    </row>
    <row r="124" spans="1:10" ht="12.75" customHeight="1" x14ac:dyDescent="0.25">
      <c r="A124" s="767" t="s">
        <v>435</v>
      </c>
      <c r="B124" s="693"/>
      <c r="C124" s="693"/>
      <c r="D124" s="693"/>
      <c r="E124" s="693"/>
      <c r="F124" s="693"/>
      <c r="G124" s="693"/>
      <c r="H124" s="693"/>
      <c r="I124" s="693"/>
      <c r="J124" s="693"/>
    </row>
    <row r="125" spans="1:10" ht="30" customHeight="1" x14ac:dyDescent="0.25">
      <c r="A125" s="693"/>
      <c r="B125" s="693"/>
      <c r="C125" s="693"/>
      <c r="D125" s="693"/>
      <c r="E125" s="693"/>
      <c r="F125" s="693"/>
      <c r="G125" s="693"/>
      <c r="H125" s="693"/>
      <c r="I125" s="693"/>
      <c r="J125" s="693"/>
    </row>
    <row r="131" spans="1:10" ht="12.75" customHeight="1" x14ac:dyDescent="0.25">
      <c r="A131" s="219" t="s">
        <v>436</v>
      </c>
      <c r="B131" s="220"/>
      <c r="C131" s="220"/>
      <c r="D131" s="220"/>
      <c r="E131" s="220"/>
      <c r="F131" s="220"/>
      <c r="G131" s="220"/>
      <c r="H131" s="220"/>
      <c r="I131" s="220"/>
      <c r="J131" s="220"/>
    </row>
    <row r="132" spans="1:10" ht="12.75" customHeight="1" x14ac:dyDescent="0.25">
      <c r="A132" s="215"/>
      <c r="B132" s="205"/>
      <c r="C132" s="205"/>
      <c r="D132" s="205"/>
      <c r="E132" s="205"/>
      <c r="F132" s="205"/>
      <c r="G132" s="205"/>
      <c r="H132" s="205"/>
      <c r="I132" s="205"/>
      <c r="J132" s="205"/>
    </row>
    <row r="133" spans="1:10" ht="12.75" customHeight="1" x14ac:dyDescent="0.25">
      <c r="A133" s="40" t="s">
        <v>387</v>
      </c>
      <c r="B133" s="236" t="s">
        <v>388</v>
      </c>
      <c r="C133" s="237"/>
      <c r="D133" s="766" t="s">
        <v>389</v>
      </c>
      <c r="E133" s="690"/>
      <c r="F133" s="691"/>
      <c r="G133" s="766" t="s">
        <v>390</v>
      </c>
      <c r="H133" s="690"/>
      <c r="I133" s="691"/>
      <c r="J133" s="223"/>
    </row>
    <row r="134" spans="1:10" ht="12.75" customHeight="1" x14ac:dyDescent="0.25">
      <c r="A134" s="11">
        <v>1</v>
      </c>
      <c r="B134" s="41" t="s">
        <v>90</v>
      </c>
      <c r="C134" s="41"/>
      <c r="D134" s="748"/>
      <c r="E134" s="690"/>
      <c r="F134" s="691"/>
      <c r="G134" s="748">
        <v>0</v>
      </c>
      <c r="H134" s="690"/>
      <c r="I134" s="691"/>
      <c r="J134" s="205"/>
    </row>
    <row r="135" spans="1:10" ht="12.75" customHeight="1" x14ac:dyDescent="0.25">
      <c r="A135" s="11">
        <v>2</v>
      </c>
      <c r="B135" s="41" t="s">
        <v>437</v>
      </c>
      <c r="C135" s="41"/>
      <c r="D135" s="748"/>
      <c r="E135" s="690"/>
      <c r="F135" s="691"/>
      <c r="G135" s="748"/>
      <c r="H135" s="690"/>
      <c r="I135" s="691"/>
      <c r="J135" s="205"/>
    </row>
    <row r="136" spans="1:10" ht="27.75" customHeight="1" x14ac:dyDescent="0.25">
      <c r="A136" s="11">
        <v>3</v>
      </c>
      <c r="B136" s="42" t="s">
        <v>438</v>
      </c>
      <c r="C136" s="42"/>
      <c r="D136" s="748"/>
      <c r="E136" s="690"/>
      <c r="F136" s="691"/>
      <c r="G136" s="748"/>
      <c r="H136" s="690"/>
      <c r="I136" s="691"/>
      <c r="J136" s="205"/>
    </row>
    <row r="137" spans="1:10" ht="12.75" customHeight="1" x14ac:dyDescent="0.25">
      <c r="A137" s="11">
        <v>4</v>
      </c>
      <c r="B137" s="43"/>
      <c r="C137" s="43"/>
      <c r="D137" s="748"/>
      <c r="E137" s="690"/>
      <c r="F137" s="691"/>
      <c r="G137" s="748"/>
      <c r="H137" s="690"/>
      <c r="I137" s="691"/>
      <c r="J137" s="205"/>
    </row>
    <row r="138" spans="1:10" ht="12.75" customHeight="1" x14ac:dyDescent="0.25">
      <c r="A138" s="15">
        <v>5</v>
      </c>
      <c r="B138" s="751" t="s">
        <v>304</v>
      </c>
      <c r="C138" s="691"/>
      <c r="D138" s="748">
        <v>0</v>
      </c>
      <c r="E138" s="690"/>
      <c r="F138" s="691"/>
      <c r="G138" s="748">
        <v>0</v>
      </c>
      <c r="H138" s="690"/>
      <c r="I138" s="691"/>
      <c r="J138" s="238"/>
    </row>
    <row r="139" spans="1:10" ht="12.75" customHeight="1" x14ac:dyDescent="0.25">
      <c r="A139" s="215"/>
      <c r="B139" s="205"/>
      <c r="C139" s="205"/>
      <c r="D139" s="205"/>
      <c r="E139" s="205"/>
      <c r="F139" s="205"/>
      <c r="G139" s="205"/>
      <c r="H139" s="205"/>
      <c r="I139" s="205"/>
      <c r="J139" s="205"/>
    </row>
    <row r="140" spans="1:10" ht="12.75" customHeight="1" x14ac:dyDescent="0.25">
      <c r="A140" s="219" t="s">
        <v>439</v>
      </c>
      <c r="B140" s="220"/>
      <c r="C140" s="220"/>
      <c r="D140" s="220"/>
      <c r="E140" s="220"/>
      <c r="F140" s="220"/>
      <c r="G140" s="220"/>
      <c r="H140" s="220"/>
      <c r="I140" s="220"/>
      <c r="J140" s="220"/>
    </row>
    <row r="141" spans="1:10" ht="12.75" customHeight="1" x14ac:dyDescent="0.25">
      <c r="A141" s="215"/>
      <c r="B141" s="205"/>
      <c r="C141" s="205"/>
      <c r="D141" s="205"/>
      <c r="E141" s="205"/>
      <c r="F141" s="205"/>
      <c r="G141" s="205"/>
      <c r="H141" s="205"/>
      <c r="I141" s="205"/>
      <c r="J141" s="205"/>
    </row>
    <row r="142" spans="1:10" ht="23.4" customHeight="1" x14ac:dyDescent="0.25">
      <c r="A142" s="44" t="s">
        <v>42</v>
      </c>
      <c r="B142" s="45" t="s">
        <v>193</v>
      </c>
      <c r="C142" s="46" t="s">
        <v>440</v>
      </c>
      <c r="D142" s="46" t="s">
        <v>441</v>
      </c>
      <c r="E142" s="46" t="s">
        <v>442</v>
      </c>
      <c r="F142" s="46" t="s">
        <v>119</v>
      </c>
      <c r="G142" s="46" t="s">
        <v>115</v>
      </c>
      <c r="H142" s="46" t="s">
        <v>443</v>
      </c>
      <c r="I142" s="46" t="s">
        <v>444</v>
      </c>
      <c r="J142" s="46" t="s">
        <v>304</v>
      </c>
    </row>
    <row r="143" spans="1:10" ht="12.75" customHeight="1" x14ac:dyDescent="0.25">
      <c r="A143" s="16">
        <v>1</v>
      </c>
      <c r="B143" s="47" t="s">
        <v>445</v>
      </c>
      <c r="C143" s="48"/>
      <c r="D143" s="48"/>
      <c r="E143" s="48"/>
      <c r="F143" s="48"/>
      <c r="G143" s="4"/>
      <c r="H143" s="48"/>
      <c r="I143" s="48"/>
      <c r="J143" s="48"/>
    </row>
    <row r="144" spans="1:10" ht="12.75" customHeight="1" x14ac:dyDescent="0.25">
      <c r="A144" s="27">
        <v>1.1000000000000001</v>
      </c>
      <c r="B144" s="12" t="s">
        <v>389</v>
      </c>
      <c r="C144" s="48"/>
      <c r="D144" s="48"/>
      <c r="E144" s="48"/>
      <c r="F144" s="49"/>
      <c r="G144" s="49"/>
      <c r="H144" s="50"/>
      <c r="I144" s="48"/>
      <c r="J144" s="48"/>
    </row>
    <row r="145" spans="1:10" ht="12.75" customHeight="1" x14ac:dyDescent="0.25">
      <c r="A145" s="27">
        <v>1.2</v>
      </c>
      <c r="B145" s="51" t="s">
        <v>446</v>
      </c>
      <c r="C145" s="48">
        <v>0</v>
      </c>
      <c r="D145" s="48">
        <v>0</v>
      </c>
      <c r="E145" s="48">
        <v>0</v>
      </c>
      <c r="F145" s="50">
        <v>0</v>
      </c>
      <c r="G145" s="50">
        <v>0</v>
      </c>
      <c r="H145" s="50">
        <v>0</v>
      </c>
      <c r="I145" s="48">
        <v>0</v>
      </c>
      <c r="J145" s="48">
        <f t="shared" ref="J145:J157" si="0">F145+G145</f>
        <v>0</v>
      </c>
    </row>
    <row r="146" spans="1:10" ht="12.75" customHeight="1" x14ac:dyDescent="0.25">
      <c r="A146" s="19"/>
      <c r="B146" s="12" t="s">
        <v>447</v>
      </c>
      <c r="C146" s="48"/>
      <c r="D146" s="48"/>
      <c r="E146" s="48"/>
      <c r="F146" s="48"/>
      <c r="G146" s="48"/>
      <c r="H146" s="48"/>
      <c r="I146" s="48"/>
      <c r="J146" s="48">
        <f t="shared" si="0"/>
        <v>0</v>
      </c>
    </row>
    <row r="147" spans="1:10" ht="12.75" customHeight="1" x14ac:dyDescent="0.25">
      <c r="A147" s="239"/>
      <c r="B147" s="12" t="s">
        <v>448</v>
      </c>
      <c r="C147" s="48"/>
      <c r="D147" s="48"/>
      <c r="E147" s="48"/>
      <c r="F147" s="48">
        <f>TB!$F$40</f>
        <v>0</v>
      </c>
      <c r="G147" s="48"/>
      <c r="H147" s="48"/>
      <c r="I147" s="48"/>
      <c r="J147" s="48">
        <f t="shared" si="0"/>
        <v>0</v>
      </c>
    </row>
    <row r="148" spans="1:10" ht="12.75" customHeight="1" x14ac:dyDescent="0.25">
      <c r="A148" s="239"/>
      <c r="B148" s="12" t="s">
        <v>449</v>
      </c>
      <c r="C148" s="48"/>
      <c r="D148" s="48"/>
      <c r="E148" s="48"/>
      <c r="F148" s="48"/>
      <c r="G148" s="48"/>
      <c r="H148" s="48"/>
      <c r="I148" s="48"/>
      <c r="J148" s="48">
        <f t="shared" si="0"/>
        <v>0</v>
      </c>
    </row>
    <row r="149" spans="1:10" ht="12.75" customHeight="1" x14ac:dyDescent="0.25">
      <c r="A149" s="20"/>
      <c r="B149" s="52" t="s">
        <v>450</v>
      </c>
      <c r="C149" s="48"/>
      <c r="D149" s="48"/>
      <c r="E149" s="48"/>
      <c r="F149" s="48"/>
      <c r="G149" s="48"/>
      <c r="H149" s="48"/>
      <c r="I149" s="48"/>
      <c r="J149" s="48">
        <f t="shared" si="0"/>
        <v>0</v>
      </c>
    </row>
    <row r="150" spans="1:10" ht="12.75" customHeight="1" x14ac:dyDescent="0.25">
      <c r="A150" s="27">
        <v>1.3</v>
      </c>
      <c r="B150" s="51" t="s">
        <v>427</v>
      </c>
      <c r="C150" s="48">
        <v>0</v>
      </c>
      <c r="D150" s="48">
        <v>0</v>
      </c>
      <c r="E150" s="48">
        <v>0</v>
      </c>
      <c r="F150" s="48">
        <v>0</v>
      </c>
      <c r="G150" s="48">
        <v>0</v>
      </c>
      <c r="H150" s="48">
        <v>0</v>
      </c>
      <c r="I150" s="48">
        <v>0</v>
      </c>
      <c r="J150" s="48">
        <f t="shared" si="0"/>
        <v>0</v>
      </c>
    </row>
    <row r="151" spans="1:10" ht="12.75" customHeight="1" x14ac:dyDescent="0.25">
      <c r="A151" s="19"/>
      <c r="B151" s="12" t="s">
        <v>451</v>
      </c>
      <c r="C151" s="48"/>
      <c r="D151" s="48"/>
      <c r="E151" s="48"/>
      <c r="F151" s="48"/>
      <c r="G151" s="48"/>
      <c r="H151" s="48"/>
      <c r="I151" s="48"/>
      <c r="J151" s="48">
        <f t="shared" si="0"/>
        <v>0</v>
      </c>
    </row>
    <row r="152" spans="1:10" ht="12.75" customHeight="1" x14ac:dyDescent="0.25">
      <c r="A152" s="239"/>
      <c r="B152" s="12" t="s">
        <v>452</v>
      </c>
      <c r="C152" s="48"/>
      <c r="D152" s="48"/>
      <c r="E152" s="48"/>
      <c r="F152" s="48"/>
      <c r="G152" s="48"/>
      <c r="H152" s="48"/>
      <c r="I152" s="48"/>
      <c r="J152" s="48">
        <f t="shared" si="0"/>
        <v>0</v>
      </c>
    </row>
    <row r="153" spans="1:10" ht="12.75" customHeight="1" x14ac:dyDescent="0.25">
      <c r="A153" s="239"/>
      <c r="B153" s="12" t="s">
        <v>453</v>
      </c>
      <c r="C153" s="48"/>
      <c r="D153" s="48"/>
      <c r="E153" s="48"/>
      <c r="F153" s="48"/>
      <c r="G153" s="48"/>
      <c r="H153" s="48"/>
      <c r="I153" s="48"/>
      <c r="J153" s="48">
        <f t="shared" si="0"/>
        <v>0</v>
      </c>
    </row>
    <row r="154" spans="1:10" ht="12.75" customHeight="1" x14ac:dyDescent="0.25">
      <c r="A154" s="20"/>
      <c r="B154" s="12"/>
      <c r="C154" s="48"/>
      <c r="D154" s="48"/>
      <c r="E154" s="48"/>
      <c r="F154" s="48"/>
      <c r="G154" s="48"/>
      <c r="H154" s="48"/>
      <c r="I154" s="48"/>
      <c r="J154" s="48">
        <f t="shared" si="0"/>
        <v>0</v>
      </c>
    </row>
    <row r="155" spans="1:10" ht="12.75" customHeight="1" x14ac:dyDescent="0.25">
      <c r="A155" s="27">
        <v>1.4</v>
      </c>
      <c r="B155" s="53" t="s">
        <v>454</v>
      </c>
      <c r="C155" s="48"/>
      <c r="D155" s="48"/>
      <c r="E155" s="48"/>
      <c r="F155" s="48"/>
      <c r="G155" s="48"/>
      <c r="H155" s="48"/>
      <c r="I155" s="48"/>
      <c r="J155" s="48">
        <f t="shared" si="0"/>
        <v>0</v>
      </c>
    </row>
    <row r="156" spans="1:10" ht="12.75" customHeight="1" x14ac:dyDescent="0.25">
      <c r="A156" s="27">
        <v>1.5</v>
      </c>
      <c r="B156" s="53" t="s">
        <v>455</v>
      </c>
      <c r="C156" s="48"/>
      <c r="D156" s="48"/>
      <c r="E156" s="48"/>
      <c r="F156" s="48"/>
      <c r="G156" s="48"/>
      <c r="H156" s="48"/>
      <c r="I156" s="48"/>
      <c r="J156" s="48">
        <f t="shared" si="0"/>
        <v>0</v>
      </c>
    </row>
    <row r="157" spans="1:10" ht="12.75" customHeight="1" x14ac:dyDescent="0.25">
      <c r="A157" s="27">
        <v>1.6</v>
      </c>
      <c r="B157" s="53" t="s">
        <v>390</v>
      </c>
      <c r="C157" s="48">
        <v>0</v>
      </c>
      <c r="D157" s="48">
        <v>0</v>
      </c>
      <c r="E157" s="48">
        <v>0</v>
      </c>
      <c r="F157" s="48">
        <f>F144+F147</f>
        <v>0</v>
      </c>
      <c r="G157" s="48">
        <f>G144</f>
        <v>0</v>
      </c>
      <c r="H157" s="48">
        <v>0</v>
      </c>
      <c r="I157" s="48">
        <v>0</v>
      </c>
      <c r="J157" s="48">
        <f t="shared" si="0"/>
        <v>0</v>
      </c>
    </row>
    <row r="158" spans="1:10" ht="12.75" customHeight="1" x14ac:dyDescent="0.25">
      <c r="A158" s="16">
        <v>2</v>
      </c>
      <c r="B158" s="240" t="s">
        <v>456</v>
      </c>
      <c r="C158" s="36"/>
      <c r="D158" s="36"/>
      <c r="E158" s="36"/>
      <c r="F158" s="36"/>
      <c r="G158" s="36"/>
      <c r="H158" s="36"/>
      <c r="I158" s="36"/>
      <c r="J158" s="48"/>
    </row>
    <row r="159" spans="1:10" ht="12.75" customHeight="1" x14ac:dyDescent="0.25">
      <c r="A159" s="27">
        <v>2.1</v>
      </c>
      <c r="B159" s="12" t="s">
        <v>389</v>
      </c>
      <c r="C159" s="48"/>
      <c r="D159" s="48"/>
      <c r="E159" s="48"/>
      <c r="F159" s="49"/>
      <c r="G159" s="49"/>
      <c r="H159" s="48"/>
      <c r="I159" s="48"/>
      <c r="J159" s="48">
        <f t="shared" ref="J159:J170" si="1">+G159+F159</f>
        <v>0</v>
      </c>
    </row>
    <row r="160" spans="1:10" ht="12.75" customHeight="1" x14ac:dyDescent="0.25">
      <c r="A160" s="19">
        <v>2.2000000000000002</v>
      </c>
      <c r="B160" s="12" t="s">
        <v>426</v>
      </c>
      <c r="C160" s="48">
        <v>0</v>
      </c>
      <c r="D160" s="48">
        <v>0</v>
      </c>
      <c r="E160" s="48">
        <v>0</v>
      </c>
      <c r="F160" s="48">
        <v>0</v>
      </c>
      <c r="G160" s="48"/>
      <c r="H160" s="48">
        <v>0</v>
      </c>
      <c r="I160" s="48">
        <v>0</v>
      </c>
      <c r="J160" s="48">
        <f t="shared" si="1"/>
        <v>0</v>
      </c>
    </row>
    <row r="161" spans="1:10" ht="12.75" customHeight="1" x14ac:dyDescent="0.25">
      <c r="A161" s="239"/>
      <c r="B161" s="12" t="s">
        <v>457</v>
      </c>
      <c r="C161" s="48"/>
      <c r="D161" s="48"/>
      <c r="E161" s="48"/>
      <c r="F161" s="54">
        <f>TB!$G$41</f>
        <v>0</v>
      </c>
      <c r="G161" s="54">
        <f>TB!$G$37</f>
        <v>0</v>
      </c>
      <c r="H161" s="48"/>
      <c r="I161" s="48"/>
      <c r="J161" s="48">
        <f t="shared" si="1"/>
        <v>0</v>
      </c>
    </row>
    <row r="162" spans="1:10" ht="12.75" customHeight="1" x14ac:dyDescent="0.25">
      <c r="A162" s="239"/>
      <c r="B162" s="52" t="s">
        <v>458</v>
      </c>
      <c r="C162" s="48"/>
      <c r="D162" s="48"/>
      <c r="E162" s="48"/>
      <c r="F162" s="48"/>
      <c r="G162" s="48"/>
      <c r="H162" s="48"/>
      <c r="I162" s="48"/>
      <c r="J162" s="48">
        <f t="shared" si="1"/>
        <v>0</v>
      </c>
    </row>
    <row r="163" spans="1:10" ht="12.75" customHeight="1" x14ac:dyDescent="0.25">
      <c r="A163" s="20"/>
      <c r="B163" s="52" t="s">
        <v>459</v>
      </c>
      <c r="C163" s="48"/>
      <c r="D163" s="48"/>
      <c r="E163" s="48"/>
      <c r="F163" s="48"/>
      <c r="G163" s="48"/>
      <c r="H163" s="48"/>
      <c r="I163" s="48"/>
      <c r="J163" s="48">
        <f t="shared" si="1"/>
        <v>0</v>
      </c>
    </row>
    <row r="164" spans="1:10" ht="12.75" customHeight="1" x14ac:dyDescent="0.25">
      <c r="A164" s="27">
        <v>2.2000000000000002</v>
      </c>
      <c r="B164" s="12" t="s">
        <v>460</v>
      </c>
      <c r="C164" s="48">
        <v>0</v>
      </c>
      <c r="D164" s="48">
        <v>0</v>
      </c>
      <c r="E164" s="48">
        <v>0</v>
      </c>
      <c r="F164" s="48">
        <v>0</v>
      </c>
      <c r="G164" s="48">
        <v>0</v>
      </c>
      <c r="H164" s="48">
        <v>0</v>
      </c>
      <c r="I164" s="48">
        <v>0</v>
      </c>
      <c r="J164" s="48">
        <f t="shared" si="1"/>
        <v>0</v>
      </c>
    </row>
    <row r="165" spans="1:10" ht="12.75" customHeight="1" x14ac:dyDescent="0.25">
      <c r="A165" s="19"/>
      <c r="B165" s="52" t="s">
        <v>461</v>
      </c>
      <c r="C165" s="48"/>
      <c r="D165" s="48"/>
      <c r="E165" s="48"/>
      <c r="F165" s="48"/>
      <c r="G165" s="48"/>
      <c r="H165" s="48"/>
      <c r="I165" s="48"/>
      <c r="J165" s="48">
        <f t="shared" si="1"/>
        <v>0</v>
      </c>
    </row>
    <row r="166" spans="1:10" ht="12.75" customHeight="1" x14ac:dyDescent="0.25">
      <c r="A166" s="239"/>
      <c r="B166" s="52" t="s">
        <v>462</v>
      </c>
      <c r="C166" s="48"/>
      <c r="D166" s="48"/>
      <c r="E166" s="48"/>
      <c r="F166" s="48"/>
      <c r="G166" s="48"/>
      <c r="H166" s="48"/>
      <c r="I166" s="48"/>
      <c r="J166" s="48">
        <f t="shared" si="1"/>
        <v>0</v>
      </c>
    </row>
    <row r="167" spans="1:10" ht="12.75" customHeight="1" x14ac:dyDescent="0.25">
      <c r="A167" s="20"/>
      <c r="B167" s="12" t="s">
        <v>463</v>
      </c>
      <c r="C167" s="48"/>
      <c r="D167" s="48"/>
      <c r="E167" s="48"/>
      <c r="F167" s="48"/>
      <c r="G167" s="48"/>
      <c r="H167" s="48"/>
      <c r="I167" s="48"/>
      <c r="J167" s="48">
        <f t="shared" si="1"/>
        <v>0</v>
      </c>
    </row>
    <row r="168" spans="1:10" ht="12.75" customHeight="1" x14ac:dyDescent="0.25">
      <c r="A168" s="241">
        <v>2.4</v>
      </c>
      <c r="B168" s="242" t="s">
        <v>390</v>
      </c>
      <c r="C168" s="48">
        <v>0</v>
      </c>
      <c r="D168" s="48"/>
      <c r="E168" s="48"/>
      <c r="F168" s="48">
        <f t="shared" ref="F168:G168" si="2">F159+F161</f>
        <v>0</v>
      </c>
      <c r="G168" s="48">
        <f t="shared" si="2"/>
        <v>0</v>
      </c>
      <c r="H168" s="48"/>
      <c r="I168" s="48"/>
      <c r="J168" s="48">
        <f t="shared" si="1"/>
        <v>0</v>
      </c>
    </row>
    <row r="169" spans="1:10" ht="12.75" customHeight="1" x14ac:dyDescent="0.25">
      <c r="A169" s="11">
        <v>3</v>
      </c>
      <c r="B169" s="12" t="s">
        <v>464</v>
      </c>
      <c r="C169" s="48">
        <v>0</v>
      </c>
      <c r="D169" s="48">
        <v>0</v>
      </c>
      <c r="E169" s="48">
        <v>0</v>
      </c>
      <c r="F169" s="48">
        <v>0</v>
      </c>
      <c r="G169" s="48">
        <v>0</v>
      </c>
      <c r="H169" s="48">
        <v>0</v>
      </c>
      <c r="I169" s="48">
        <v>0</v>
      </c>
      <c r="J169" s="48">
        <f t="shared" si="1"/>
        <v>0</v>
      </c>
    </row>
    <row r="170" spans="1:10" ht="12.75" customHeight="1" x14ac:dyDescent="0.25">
      <c r="A170" s="11">
        <v>3.1</v>
      </c>
      <c r="B170" s="12" t="s">
        <v>389</v>
      </c>
      <c r="C170" s="48">
        <v>0</v>
      </c>
      <c r="D170" s="48">
        <v>0</v>
      </c>
      <c r="E170" s="48">
        <v>0</v>
      </c>
      <c r="F170" s="48">
        <v>0</v>
      </c>
      <c r="G170" s="48">
        <v>0</v>
      </c>
      <c r="H170" s="48">
        <v>0</v>
      </c>
      <c r="I170" s="48">
        <v>0</v>
      </c>
      <c r="J170" s="48">
        <f t="shared" si="1"/>
        <v>0</v>
      </c>
    </row>
    <row r="171" spans="1:10" ht="12.75" customHeight="1" x14ac:dyDescent="0.25">
      <c r="A171" s="11">
        <v>3.2</v>
      </c>
      <c r="B171" s="12" t="s">
        <v>390</v>
      </c>
      <c r="C171" s="48">
        <v>0</v>
      </c>
      <c r="D171" s="48">
        <v>0</v>
      </c>
      <c r="E171" s="48">
        <v>0</v>
      </c>
      <c r="F171" s="48">
        <f>F144-F168+F147</f>
        <v>0</v>
      </c>
      <c r="G171" s="48">
        <f>G144-G168</f>
        <v>0</v>
      </c>
      <c r="H171" s="48">
        <f t="shared" ref="H171:I171" si="3">+H143-H159</f>
        <v>0</v>
      </c>
      <c r="I171" s="48">
        <f t="shared" si="3"/>
        <v>0</v>
      </c>
      <c r="J171" s="48">
        <f>F171+G171</f>
        <v>0</v>
      </c>
    </row>
    <row r="172" spans="1:10" ht="12.75" customHeight="1" x14ac:dyDescent="0.25">
      <c r="A172" s="215"/>
      <c r="B172" s="205"/>
      <c r="C172" s="205"/>
      <c r="D172" s="205"/>
      <c r="E172" s="205"/>
      <c r="F172" s="205"/>
      <c r="G172" s="205"/>
      <c r="H172" s="205"/>
      <c r="I172" s="205"/>
      <c r="J172" s="205"/>
    </row>
    <row r="173" spans="1:10" ht="12.75" customHeight="1" x14ac:dyDescent="0.25">
      <c r="A173" s="219" t="s">
        <v>465</v>
      </c>
      <c r="B173" s="220"/>
      <c r="C173" s="220"/>
      <c r="D173" s="220"/>
      <c r="E173" s="220"/>
      <c r="F173" s="220"/>
      <c r="G173" s="220"/>
      <c r="H173" s="220"/>
      <c r="I173" s="220"/>
      <c r="J173" s="220"/>
    </row>
    <row r="174" spans="1:10" ht="12.75" customHeight="1" x14ac:dyDescent="0.25">
      <c r="A174" s="215"/>
      <c r="B174" s="205"/>
      <c r="C174" s="205"/>
      <c r="D174" s="205"/>
      <c r="E174" s="205"/>
      <c r="F174" s="205"/>
      <c r="G174" s="205"/>
      <c r="H174" s="205"/>
      <c r="I174" s="205"/>
      <c r="J174" s="205"/>
    </row>
    <row r="175" spans="1:10" ht="28.2" customHeight="1" x14ac:dyDescent="0.25">
      <c r="A175" s="46" t="s">
        <v>42</v>
      </c>
      <c r="B175" s="46" t="s">
        <v>193</v>
      </c>
      <c r="C175" s="46" t="s">
        <v>466</v>
      </c>
      <c r="D175" s="46" t="s">
        <v>467</v>
      </c>
      <c r="E175" s="46" t="s">
        <v>468</v>
      </c>
      <c r="F175" s="46" t="s">
        <v>469</v>
      </c>
      <c r="G175" s="46" t="s">
        <v>470</v>
      </c>
      <c r="H175" s="46" t="s">
        <v>471</v>
      </c>
      <c r="I175" s="46" t="s">
        <v>472</v>
      </c>
      <c r="J175" s="46" t="s">
        <v>473</v>
      </c>
    </row>
    <row r="176" spans="1:10" ht="12.75" customHeight="1" x14ac:dyDescent="0.25">
      <c r="A176" s="8">
        <v>1</v>
      </c>
      <c r="B176" s="55" t="s">
        <v>474</v>
      </c>
      <c r="C176" s="56"/>
      <c r="D176" s="56"/>
      <c r="E176" s="56"/>
      <c r="F176" s="56"/>
      <c r="G176" s="56"/>
      <c r="H176" s="56"/>
      <c r="I176" s="56"/>
      <c r="J176" s="56"/>
    </row>
    <row r="177" spans="1:10" ht="12.75" customHeight="1" x14ac:dyDescent="0.25">
      <c r="A177" s="243">
        <v>1.1000000000000001</v>
      </c>
      <c r="B177" s="244" t="s">
        <v>389</v>
      </c>
      <c r="C177" s="48"/>
      <c r="D177" s="48"/>
      <c r="E177" s="48"/>
      <c r="F177" s="48"/>
      <c r="G177" s="48"/>
      <c r="H177" s="48"/>
      <c r="I177" s="48"/>
      <c r="J177" s="48">
        <f>H177</f>
        <v>0</v>
      </c>
    </row>
    <row r="178" spans="1:10" ht="12.75" customHeight="1" x14ac:dyDescent="0.25">
      <c r="A178" s="57">
        <v>1.2</v>
      </c>
      <c r="B178" s="58" t="s">
        <v>426</v>
      </c>
      <c r="C178" s="48">
        <v>0</v>
      </c>
      <c r="D178" s="48">
        <f>+D180</f>
        <v>0</v>
      </c>
      <c r="E178" s="48">
        <v>0</v>
      </c>
      <c r="F178" s="48">
        <v>0</v>
      </c>
      <c r="G178" s="48">
        <v>0</v>
      </c>
      <c r="H178" s="48">
        <v>0</v>
      </c>
      <c r="I178" s="48">
        <v>0</v>
      </c>
      <c r="J178" s="48">
        <f t="shared" ref="J178:J201" si="4">+D178</f>
        <v>0</v>
      </c>
    </row>
    <row r="179" spans="1:10" ht="12.75" customHeight="1" x14ac:dyDescent="0.25">
      <c r="A179" s="245"/>
      <c r="B179" s="12" t="s">
        <v>447</v>
      </c>
      <c r="C179" s="48"/>
      <c r="D179" s="48"/>
      <c r="E179" s="48"/>
      <c r="F179" s="48"/>
      <c r="G179" s="48"/>
      <c r="H179" s="48"/>
      <c r="I179" s="48"/>
      <c r="J179" s="48">
        <f t="shared" si="4"/>
        <v>0</v>
      </c>
    </row>
    <row r="180" spans="1:10" ht="12.75" customHeight="1" x14ac:dyDescent="0.25">
      <c r="A180" s="59"/>
      <c r="B180" s="12" t="s">
        <v>448</v>
      </c>
      <c r="C180" s="48"/>
      <c r="D180" s="48"/>
      <c r="E180" s="48"/>
      <c r="F180" s="48"/>
      <c r="G180" s="48"/>
      <c r="H180" s="48"/>
      <c r="I180" s="48"/>
      <c r="J180" s="48">
        <f t="shared" si="4"/>
        <v>0</v>
      </c>
    </row>
    <row r="181" spans="1:10" ht="12.75" customHeight="1" x14ac:dyDescent="0.25">
      <c r="A181" s="59"/>
      <c r="B181" s="12" t="s">
        <v>449</v>
      </c>
      <c r="C181" s="48"/>
      <c r="D181" s="48"/>
      <c r="E181" s="48"/>
      <c r="F181" s="48"/>
      <c r="G181" s="48"/>
      <c r="H181" s="48"/>
      <c r="I181" s="48"/>
      <c r="J181" s="48">
        <f t="shared" si="4"/>
        <v>0</v>
      </c>
    </row>
    <row r="182" spans="1:10" ht="12.75" customHeight="1" x14ac:dyDescent="0.25">
      <c r="A182" s="243"/>
      <c r="B182" s="52" t="s">
        <v>450</v>
      </c>
      <c r="C182" s="48"/>
      <c r="D182" s="48"/>
      <c r="E182" s="48"/>
      <c r="F182" s="48"/>
      <c r="G182" s="48"/>
      <c r="H182" s="48"/>
      <c r="I182" s="48"/>
      <c r="J182" s="48">
        <f t="shared" si="4"/>
        <v>0</v>
      </c>
    </row>
    <row r="183" spans="1:10" ht="12.75" customHeight="1" x14ac:dyDescent="0.25">
      <c r="A183" s="57">
        <v>1.3</v>
      </c>
      <c r="B183" s="58" t="s">
        <v>460</v>
      </c>
      <c r="C183" s="48">
        <v>0</v>
      </c>
      <c r="D183" s="48">
        <v>0</v>
      </c>
      <c r="E183" s="48">
        <v>0</v>
      </c>
      <c r="F183" s="48">
        <v>0</v>
      </c>
      <c r="G183" s="48">
        <v>0</v>
      </c>
      <c r="H183" s="48">
        <v>0</v>
      </c>
      <c r="I183" s="48">
        <v>0</v>
      </c>
      <c r="J183" s="48">
        <f t="shared" si="4"/>
        <v>0</v>
      </c>
    </row>
    <row r="184" spans="1:10" ht="12.75" customHeight="1" x14ac:dyDescent="0.25">
      <c r="A184" s="245"/>
      <c r="B184" s="12" t="s">
        <v>451</v>
      </c>
      <c r="C184" s="48"/>
      <c r="D184" s="48"/>
      <c r="E184" s="48"/>
      <c r="F184" s="48"/>
      <c r="G184" s="48"/>
      <c r="H184" s="48"/>
      <c r="I184" s="48"/>
      <c r="J184" s="48">
        <f t="shared" si="4"/>
        <v>0</v>
      </c>
    </row>
    <row r="185" spans="1:10" ht="12.75" customHeight="1" x14ac:dyDescent="0.25">
      <c r="A185" s="59"/>
      <c r="B185" s="12" t="s">
        <v>452</v>
      </c>
      <c r="C185" s="48"/>
      <c r="D185" s="48"/>
      <c r="E185" s="48"/>
      <c r="F185" s="48"/>
      <c r="G185" s="48"/>
      <c r="H185" s="48"/>
      <c r="I185" s="48"/>
      <c r="J185" s="48">
        <f t="shared" si="4"/>
        <v>0</v>
      </c>
    </row>
    <row r="186" spans="1:10" ht="12.75" customHeight="1" x14ac:dyDescent="0.25">
      <c r="A186" s="59"/>
      <c r="B186" s="12" t="s">
        <v>475</v>
      </c>
      <c r="C186" s="48"/>
      <c r="D186" s="48"/>
      <c r="E186" s="48"/>
      <c r="F186" s="48"/>
      <c r="G186" s="48"/>
      <c r="H186" s="48"/>
      <c r="I186" s="48"/>
      <c r="J186" s="48">
        <f t="shared" si="4"/>
        <v>0</v>
      </c>
    </row>
    <row r="187" spans="1:10" ht="12.75" customHeight="1" x14ac:dyDescent="0.25">
      <c r="A187" s="243"/>
      <c r="B187" s="12"/>
      <c r="C187" s="48"/>
      <c r="D187" s="48"/>
      <c r="E187" s="48"/>
      <c r="F187" s="48"/>
      <c r="G187" s="48"/>
      <c r="H187" s="48"/>
      <c r="I187" s="48"/>
      <c r="J187" s="48">
        <f t="shared" si="4"/>
        <v>0</v>
      </c>
    </row>
    <row r="188" spans="1:10" ht="12.75" customHeight="1" x14ac:dyDescent="0.25">
      <c r="A188" s="57">
        <v>1.4</v>
      </c>
      <c r="B188" s="12" t="s">
        <v>390</v>
      </c>
      <c r="C188" s="48">
        <v>0</v>
      </c>
      <c r="D188" s="48">
        <f>+D178</f>
        <v>0</v>
      </c>
      <c r="E188" s="48">
        <v>0</v>
      </c>
      <c r="F188" s="48">
        <v>0</v>
      </c>
      <c r="G188" s="48">
        <v>0</v>
      </c>
      <c r="H188" s="48">
        <v>0</v>
      </c>
      <c r="I188" s="48">
        <v>0</v>
      </c>
      <c r="J188" s="48">
        <f t="shared" si="4"/>
        <v>0</v>
      </c>
    </row>
    <row r="189" spans="1:10" ht="12.75" customHeight="1" x14ac:dyDescent="0.25">
      <c r="A189" s="8">
        <v>2</v>
      </c>
      <c r="B189" s="47" t="s">
        <v>476</v>
      </c>
      <c r="C189" s="48"/>
      <c r="D189" s="48"/>
      <c r="E189" s="48"/>
      <c r="F189" s="48"/>
      <c r="G189" s="48"/>
      <c r="H189" s="48"/>
      <c r="I189" s="48"/>
      <c r="J189" s="48">
        <f t="shared" si="4"/>
        <v>0</v>
      </c>
    </row>
    <row r="190" spans="1:10" ht="12.75" customHeight="1" x14ac:dyDescent="0.25">
      <c r="A190" s="57">
        <v>2.1</v>
      </c>
      <c r="B190" s="12" t="s">
        <v>389</v>
      </c>
      <c r="C190" s="48"/>
      <c r="D190" s="48"/>
      <c r="E190" s="48"/>
      <c r="F190" s="48"/>
      <c r="G190" s="48"/>
      <c r="H190" s="48"/>
      <c r="I190" s="48"/>
      <c r="J190" s="48">
        <f t="shared" si="4"/>
        <v>0</v>
      </c>
    </row>
    <row r="191" spans="1:10" ht="12.75" customHeight="1" x14ac:dyDescent="0.25">
      <c r="A191" s="57">
        <v>2.2000000000000002</v>
      </c>
      <c r="B191" s="58" t="s">
        <v>426</v>
      </c>
      <c r="C191" s="48">
        <v>0</v>
      </c>
      <c r="D191" s="48">
        <v>0</v>
      </c>
      <c r="E191" s="48">
        <v>0</v>
      </c>
      <c r="F191" s="48">
        <v>0</v>
      </c>
      <c r="G191" s="48">
        <v>0</v>
      </c>
      <c r="H191" s="48">
        <v>0</v>
      </c>
      <c r="I191" s="48">
        <v>0</v>
      </c>
      <c r="J191" s="48">
        <f t="shared" si="4"/>
        <v>0</v>
      </c>
    </row>
    <row r="192" spans="1:10" ht="12.75" customHeight="1" x14ac:dyDescent="0.25">
      <c r="A192" s="246"/>
      <c r="B192" s="12" t="s">
        <v>477</v>
      </c>
      <c r="C192" s="48"/>
      <c r="D192" s="48"/>
      <c r="E192" s="48"/>
      <c r="F192" s="48"/>
      <c r="G192" s="48"/>
      <c r="H192" s="48"/>
      <c r="I192" s="48"/>
      <c r="J192" s="48">
        <f t="shared" si="4"/>
        <v>0</v>
      </c>
    </row>
    <row r="193" spans="1:10" ht="12.75" customHeight="1" x14ac:dyDescent="0.25">
      <c r="A193" s="247"/>
      <c r="B193" s="52" t="s">
        <v>478</v>
      </c>
      <c r="C193" s="48"/>
      <c r="D193" s="48"/>
      <c r="E193" s="48"/>
      <c r="F193" s="48"/>
      <c r="G193" s="48"/>
      <c r="H193" s="48"/>
      <c r="I193" s="48"/>
      <c r="J193" s="48">
        <f t="shared" si="4"/>
        <v>0</v>
      </c>
    </row>
    <row r="194" spans="1:10" ht="12.75" customHeight="1" x14ac:dyDescent="0.25">
      <c r="A194" s="248"/>
      <c r="B194" s="52" t="s">
        <v>459</v>
      </c>
      <c r="C194" s="48"/>
      <c r="D194" s="48"/>
      <c r="E194" s="48"/>
      <c r="F194" s="48"/>
      <c r="G194" s="48"/>
      <c r="H194" s="48"/>
      <c r="I194" s="48"/>
      <c r="J194" s="48">
        <f t="shared" si="4"/>
        <v>0</v>
      </c>
    </row>
    <row r="195" spans="1:10" ht="12.75" customHeight="1" x14ac:dyDescent="0.25">
      <c r="A195" s="57">
        <v>2.2999999999999998</v>
      </c>
      <c r="B195" s="12" t="s">
        <v>460</v>
      </c>
      <c r="C195" s="48">
        <v>0</v>
      </c>
      <c r="D195" s="48">
        <v>0</v>
      </c>
      <c r="E195" s="48">
        <v>0</v>
      </c>
      <c r="F195" s="48">
        <v>0</v>
      </c>
      <c r="G195" s="48">
        <v>0</v>
      </c>
      <c r="H195" s="48">
        <v>0</v>
      </c>
      <c r="I195" s="48">
        <v>0</v>
      </c>
      <c r="J195" s="48">
        <f t="shared" si="4"/>
        <v>0</v>
      </c>
    </row>
    <row r="196" spans="1:10" ht="12.75" customHeight="1" x14ac:dyDescent="0.25">
      <c r="A196" s="245"/>
      <c r="B196" s="52" t="s">
        <v>479</v>
      </c>
      <c r="C196" s="48"/>
      <c r="D196" s="48"/>
      <c r="E196" s="48"/>
      <c r="F196" s="48"/>
      <c r="G196" s="48"/>
      <c r="H196" s="48"/>
      <c r="I196" s="48"/>
      <c r="J196" s="48">
        <f t="shared" si="4"/>
        <v>0</v>
      </c>
    </row>
    <row r="197" spans="1:10" ht="12.75" customHeight="1" x14ac:dyDescent="0.25">
      <c r="A197" s="59"/>
      <c r="B197" s="52" t="s">
        <v>462</v>
      </c>
      <c r="C197" s="48"/>
      <c r="D197" s="48"/>
      <c r="E197" s="48"/>
      <c r="F197" s="48"/>
      <c r="G197" s="48"/>
      <c r="H197" s="48"/>
      <c r="I197" s="48"/>
      <c r="J197" s="48">
        <f t="shared" si="4"/>
        <v>0</v>
      </c>
    </row>
    <row r="198" spans="1:10" ht="12.75" customHeight="1" x14ac:dyDescent="0.25">
      <c r="A198" s="243"/>
      <c r="B198" s="12" t="s">
        <v>463</v>
      </c>
      <c r="C198" s="48"/>
      <c r="D198" s="48"/>
      <c r="E198" s="48"/>
      <c r="F198" s="48"/>
      <c r="G198" s="48"/>
      <c r="H198" s="48"/>
      <c r="I198" s="48"/>
      <c r="J198" s="48">
        <f t="shared" si="4"/>
        <v>0</v>
      </c>
    </row>
    <row r="199" spans="1:10" ht="12.75" customHeight="1" x14ac:dyDescent="0.25">
      <c r="A199" s="57">
        <v>2.4</v>
      </c>
      <c r="B199" s="12" t="s">
        <v>390</v>
      </c>
      <c r="C199" s="48">
        <v>0</v>
      </c>
      <c r="D199" s="48">
        <v>0</v>
      </c>
      <c r="E199" s="48">
        <v>0</v>
      </c>
      <c r="F199" s="48">
        <v>0</v>
      </c>
      <c r="G199" s="48">
        <v>0</v>
      </c>
      <c r="H199" s="48">
        <v>0</v>
      </c>
      <c r="I199" s="48">
        <v>0</v>
      </c>
      <c r="J199" s="48">
        <f t="shared" si="4"/>
        <v>0</v>
      </c>
    </row>
    <row r="200" spans="1:10" ht="12.75" customHeight="1" x14ac:dyDescent="0.25">
      <c r="A200" s="11">
        <v>3</v>
      </c>
      <c r="B200" s="12" t="s">
        <v>464</v>
      </c>
      <c r="C200" s="48">
        <v>0</v>
      </c>
      <c r="D200" s="48">
        <v>0</v>
      </c>
      <c r="E200" s="48">
        <v>0</v>
      </c>
      <c r="F200" s="48">
        <v>0</v>
      </c>
      <c r="G200" s="48">
        <v>0</v>
      </c>
      <c r="H200" s="48">
        <v>0</v>
      </c>
      <c r="I200" s="48">
        <v>0</v>
      </c>
      <c r="J200" s="48">
        <f t="shared" si="4"/>
        <v>0</v>
      </c>
    </row>
    <row r="201" spans="1:10" ht="12.75" customHeight="1" x14ac:dyDescent="0.25">
      <c r="A201" s="11">
        <v>3.1</v>
      </c>
      <c r="B201" s="12" t="s">
        <v>480</v>
      </c>
      <c r="C201" s="48">
        <v>0</v>
      </c>
      <c r="D201" s="48">
        <v>0</v>
      </c>
      <c r="E201" s="48">
        <v>0</v>
      </c>
      <c r="F201" s="48">
        <v>0</v>
      </c>
      <c r="G201" s="48">
        <v>0</v>
      </c>
      <c r="H201" s="48">
        <v>0</v>
      </c>
      <c r="I201" s="48">
        <v>0</v>
      </c>
      <c r="J201" s="48">
        <f t="shared" si="4"/>
        <v>0</v>
      </c>
    </row>
    <row r="202" spans="1:10" ht="12.75" customHeight="1" x14ac:dyDescent="0.25">
      <c r="A202" s="11">
        <v>3.2</v>
      </c>
      <c r="B202" s="12" t="s">
        <v>481</v>
      </c>
      <c r="C202" s="48">
        <v>0</v>
      </c>
      <c r="D202" s="48">
        <v>0</v>
      </c>
      <c r="E202" s="48">
        <v>0</v>
      </c>
      <c r="F202" s="48">
        <v>0</v>
      </c>
      <c r="G202" s="48">
        <v>0</v>
      </c>
      <c r="H202" s="48"/>
      <c r="I202" s="48">
        <v>0</v>
      </c>
      <c r="J202" s="48"/>
    </row>
    <row r="203" spans="1:10" ht="12.75" customHeight="1" x14ac:dyDescent="0.25">
      <c r="A203" s="215"/>
      <c r="B203" s="205"/>
      <c r="C203" s="205"/>
      <c r="D203" s="205"/>
      <c r="E203" s="205"/>
      <c r="F203" s="205"/>
      <c r="G203" s="205"/>
      <c r="H203" s="205"/>
      <c r="I203" s="205"/>
      <c r="J203" s="205"/>
    </row>
    <row r="204" spans="1:10" ht="12.75" customHeight="1" x14ac:dyDescent="0.25">
      <c r="A204" s="219" t="s">
        <v>482</v>
      </c>
      <c r="B204" s="220"/>
      <c r="C204" s="220"/>
      <c r="D204" s="220"/>
      <c r="E204" s="220"/>
      <c r="F204" s="220"/>
      <c r="G204" s="220"/>
      <c r="H204" s="220"/>
      <c r="I204" s="220"/>
      <c r="J204" s="220"/>
    </row>
    <row r="205" spans="1:10" ht="12.75" customHeight="1" x14ac:dyDescent="0.25">
      <c r="A205" s="215"/>
      <c r="B205" s="205"/>
      <c r="C205" s="205"/>
      <c r="D205" s="205"/>
      <c r="E205" s="205"/>
      <c r="F205" s="205"/>
      <c r="G205" s="205"/>
      <c r="H205" s="205"/>
      <c r="I205" s="205"/>
      <c r="J205" s="205"/>
    </row>
    <row r="206" spans="1:10" ht="26.25" customHeight="1" x14ac:dyDescent="0.25">
      <c r="A206" s="60" t="s">
        <v>387</v>
      </c>
      <c r="B206" s="756" t="s">
        <v>483</v>
      </c>
      <c r="C206" s="691"/>
      <c r="D206" s="754" t="s">
        <v>484</v>
      </c>
      <c r="E206" s="691"/>
      <c r="F206" s="61" t="s">
        <v>485</v>
      </c>
      <c r="G206" s="754" t="s">
        <v>486</v>
      </c>
      <c r="H206" s="691"/>
      <c r="I206" s="754" t="s">
        <v>487</v>
      </c>
      <c r="J206" s="691"/>
    </row>
    <row r="207" spans="1:10" ht="12.75" customHeight="1" x14ac:dyDescent="0.25">
      <c r="A207" s="11">
        <v>1</v>
      </c>
      <c r="B207" s="750"/>
      <c r="C207" s="691"/>
      <c r="D207" s="748">
        <v>0</v>
      </c>
      <c r="E207" s="691"/>
      <c r="F207" s="62">
        <v>0</v>
      </c>
      <c r="G207" s="748"/>
      <c r="H207" s="691"/>
      <c r="I207" s="748"/>
      <c r="J207" s="691"/>
    </row>
    <row r="208" spans="1:10" ht="12.75" customHeight="1" x14ac:dyDescent="0.25">
      <c r="A208" s="11">
        <v>2</v>
      </c>
      <c r="B208" s="750"/>
      <c r="C208" s="691"/>
      <c r="D208" s="748"/>
      <c r="E208" s="691"/>
      <c r="F208" s="62">
        <v>0</v>
      </c>
      <c r="G208" s="748"/>
      <c r="H208" s="691"/>
      <c r="I208" s="748"/>
      <c r="J208" s="691"/>
    </row>
    <row r="209" spans="1:10" ht="12.75" customHeight="1" x14ac:dyDescent="0.25">
      <c r="A209" s="11">
        <v>3</v>
      </c>
      <c r="B209" s="750" t="s">
        <v>304</v>
      </c>
      <c r="C209" s="691"/>
      <c r="D209" s="748"/>
      <c r="E209" s="691"/>
      <c r="F209" s="62"/>
      <c r="G209" s="748">
        <v>0</v>
      </c>
      <c r="H209" s="691"/>
      <c r="I209" s="748"/>
      <c r="J209" s="691"/>
    </row>
    <row r="210" spans="1:10" ht="12.75" customHeight="1" x14ac:dyDescent="0.25">
      <c r="A210" s="249"/>
      <c r="B210" s="250"/>
      <c r="C210" s="250"/>
      <c r="D210" s="251"/>
      <c r="E210" s="251"/>
      <c r="F210" s="251"/>
      <c r="G210" s="251"/>
      <c r="H210" s="251"/>
      <c r="I210" s="252"/>
      <c r="J210" s="252"/>
    </row>
    <row r="211" spans="1:10" ht="12.75" customHeight="1" x14ac:dyDescent="0.25">
      <c r="A211" s="219" t="s">
        <v>488</v>
      </c>
      <c r="B211" s="220"/>
      <c r="C211" s="220"/>
      <c r="D211" s="220"/>
      <c r="E211" s="220"/>
      <c r="F211" s="220"/>
      <c r="G211" s="220"/>
      <c r="H211" s="220"/>
      <c r="I211" s="220"/>
      <c r="J211" s="220"/>
    </row>
    <row r="212" spans="1:10" ht="12.75" customHeight="1" x14ac:dyDescent="0.25">
      <c r="A212" s="215"/>
      <c r="B212" s="222"/>
      <c r="C212" s="222"/>
      <c r="D212" s="252"/>
      <c r="E212" s="252"/>
      <c r="F212" s="252"/>
      <c r="G212" s="252"/>
      <c r="H212" s="252"/>
      <c r="I212" s="252"/>
      <c r="J212" s="252"/>
    </row>
    <row r="213" spans="1:10" ht="12.75" customHeight="1" x14ac:dyDescent="0.25">
      <c r="A213" s="760" t="s">
        <v>387</v>
      </c>
      <c r="B213" s="761" t="s">
        <v>489</v>
      </c>
      <c r="C213" s="762"/>
      <c r="D213" s="762"/>
      <c r="E213" s="750" t="s">
        <v>389</v>
      </c>
      <c r="F213" s="691"/>
      <c r="G213" s="750" t="s">
        <v>390</v>
      </c>
      <c r="H213" s="691"/>
      <c r="I213" s="205"/>
      <c r="J213" s="205"/>
    </row>
    <row r="214" spans="1:10" ht="12.75" customHeight="1" x14ac:dyDescent="0.25">
      <c r="A214" s="758"/>
      <c r="B214" s="763"/>
      <c r="C214" s="764"/>
      <c r="D214" s="764"/>
      <c r="E214" s="43" t="s">
        <v>490</v>
      </c>
      <c r="F214" s="43" t="s">
        <v>491</v>
      </c>
      <c r="G214" s="43" t="s">
        <v>490</v>
      </c>
      <c r="H214" s="43" t="s">
        <v>491</v>
      </c>
      <c r="I214" s="205"/>
      <c r="J214" s="205"/>
    </row>
    <row r="215" spans="1:10" ht="12.75" customHeight="1" x14ac:dyDescent="0.25">
      <c r="A215" s="11">
        <v>1</v>
      </c>
      <c r="B215" s="23"/>
      <c r="C215" s="228"/>
      <c r="D215" s="228"/>
      <c r="E215" s="56"/>
      <c r="F215" s="56"/>
      <c r="G215" s="56"/>
      <c r="H215" s="56"/>
      <c r="I215" s="205"/>
      <c r="J215" s="205"/>
    </row>
    <row r="216" spans="1:10" ht="12.75" customHeight="1" x14ac:dyDescent="0.25">
      <c r="A216" s="11">
        <v>2</v>
      </c>
      <c r="B216" s="23" t="s">
        <v>304</v>
      </c>
      <c r="C216" s="228"/>
      <c r="D216" s="228"/>
      <c r="E216" s="56"/>
      <c r="F216" s="56"/>
      <c r="G216" s="56"/>
      <c r="H216" s="56"/>
      <c r="I216" s="205"/>
      <c r="J216" s="205"/>
    </row>
    <row r="217" spans="1:10" ht="12.75" customHeight="1" x14ac:dyDescent="0.25">
      <c r="A217" s="215"/>
      <c r="B217" s="222"/>
      <c r="C217" s="222"/>
      <c r="D217" s="222"/>
      <c r="E217" s="225"/>
      <c r="F217" s="225"/>
      <c r="G217" s="225"/>
      <c r="H217" s="225"/>
      <c r="I217" s="205"/>
      <c r="J217" s="205"/>
    </row>
    <row r="218" spans="1:10" ht="12.75" customHeight="1" x14ac:dyDescent="0.25">
      <c r="A218" s="215"/>
      <c r="B218" s="222" t="s">
        <v>492</v>
      </c>
      <c r="C218" s="222"/>
      <c r="D218" s="222"/>
      <c r="E218" s="225"/>
      <c r="F218" s="225"/>
      <c r="G218" s="225"/>
      <c r="H218" s="225"/>
      <c r="I218" s="205"/>
      <c r="J218" s="205"/>
    </row>
    <row r="219" spans="1:10" ht="12.75" customHeight="1" x14ac:dyDescent="0.25">
      <c r="A219" s="253"/>
      <c r="B219" s="253"/>
      <c r="C219" s="253"/>
      <c r="D219" s="253"/>
      <c r="E219" s="253"/>
      <c r="F219" s="253"/>
      <c r="G219" s="253"/>
      <c r="H219" s="253"/>
      <c r="I219" s="253"/>
      <c r="J219" s="253"/>
    </row>
    <row r="220" spans="1:10" ht="12.75" customHeight="1" x14ac:dyDescent="0.25">
      <c r="A220" s="253"/>
      <c r="B220" s="253"/>
      <c r="C220" s="253"/>
      <c r="D220" s="253"/>
      <c r="E220" s="253"/>
      <c r="F220" s="253"/>
      <c r="G220" s="253"/>
      <c r="H220" s="253"/>
      <c r="I220" s="253"/>
      <c r="J220" s="253"/>
    </row>
    <row r="221" spans="1:10" ht="12.75" customHeight="1" x14ac:dyDescent="0.25">
      <c r="A221" s="215"/>
      <c r="B221" s="222"/>
      <c r="C221" s="222"/>
      <c r="D221" s="252"/>
      <c r="E221" s="252"/>
      <c r="F221" s="252"/>
      <c r="G221" s="252"/>
      <c r="H221" s="252"/>
      <c r="I221" s="252"/>
      <c r="J221" s="252"/>
    </row>
    <row r="222" spans="1:10" ht="12.75" customHeight="1" x14ac:dyDescent="0.25">
      <c r="A222" s="219" t="s">
        <v>493</v>
      </c>
      <c r="B222" s="220"/>
      <c r="C222" s="220"/>
      <c r="D222" s="220"/>
      <c r="E222" s="220"/>
      <c r="F222" s="220"/>
      <c r="G222" s="220"/>
      <c r="H222" s="220"/>
      <c r="I222" s="220"/>
      <c r="J222" s="220"/>
    </row>
    <row r="223" spans="1:10" ht="12.75" customHeight="1" x14ac:dyDescent="0.25">
      <c r="A223" s="215"/>
      <c r="B223" s="222"/>
      <c r="C223" s="222"/>
      <c r="D223" s="252"/>
      <c r="E223" s="252"/>
      <c r="F223" s="252"/>
      <c r="G223" s="252"/>
      <c r="H223" s="252"/>
      <c r="I223" s="252"/>
      <c r="J223" s="252"/>
    </row>
    <row r="224" spans="1:10" ht="12.75" customHeight="1" x14ac:dyDescent="0.25">
      <c r="A224" s="760" t="s">
        <v>387</v>
      </c>
      <c r="B224" s="761" t="s">
        <v>494</v>
      </c>
      <c r="C224" s="762"/>
      <c r="D224" s="746"/>
      <c r="E224" s="750" t="s">
        <v>389</v>
      </c>
      <c r="F224" s="691"/>
      <c r="G224" s="750" t="s">
        <v>390</v>
      </c>
      <c r="H224" s="691"/>
      <c r="I224" s="205"/>
      <c r="J224" s="205"/>
    </row>
    <row r="225" spans="1:10" ht="12.75" customHeight="1" x14ac:dyDescent="0.25">
      <c r="A225" s="758"/>
      <c r="B225" s="763"/>
      <c r="C225" s="764"/>
      <c r="D225" s="765"/>
      <c r="E225" s="63" t="s">
        <v>495</v>
      </c>
      <c r="F225" s="63" t="s">
        <v>496</v>
      </c>
      <c r="G225" s="63" t="s">
        <v>495</v>
      </c>
      <c r="H225" s="63" t="s">
        <v>496</v>
      </c>
      <c r="I225" s="205"/>
      <c r="J225" s="205"/>
    </row>
    <row r="226" spans="1:10" ht="12.75" customHeight="1" x14ac:dyDescent="0.25">
      <c r="A226" s="11">
        <v>1</v>
      </c>
      <c r="B226" s="23"/>
      <c r="C226" s="228"/>
      <c r="D226" s="228"/>
      <c r="E226" s="48"/>
      <c r="F226" s="48"/>
      <c r="G226" s="48"/>
      <c r="H226" s="48"/>
      <c r="I226" s="205"/>
      <c r="J226" s="205"/>
    </row>
    <row r="227" spans="1:10" ht="12.75" customHeight="1" x14ac:dyDescent="0.25">
      <c r="A227" s="11">
        <v>2</v>
      </c>
      <c r="B227" s="23"/>
      <c r="C227" s="228"/>
      <c r="D227" s="228"/>
      <c r="E227" s="48"/>
      <c r="F227" s="48"/>
      <c r="G227" s="48"/>
      <c r="H227" s="48"/>
      <c r="I227" s="205"/>
      <c r="J227" s="205"/>
    </row>
    <row r="228" spans="1:10" ht="12.75" customHeight="1" x14ac:dyDescent="0.25">
      <c r="A228" s="11">
        <v>3</v>
      </c>
      <c r="B228" s="23"/>
      <c r="C228" s="228"/>
      <c r="D228" s="228"/>
      <c r="E228" s="48"/>
      <c r="F228" s="48"/>
      <c r="G228" s="48"/>
      <c r="H228" s="48"/>
      <c r="I228" s="205"/>
      <c r="J228" s="205"/>
    </row>
    <row r="229" spans="1:10" ht="12.75" customHeight="1" x14ac:dyDescent="0.25">
      <c r="A229" s="11">
        <v>4</v>
      </c>
      <c r="B229" s="23" t="s">
        <v>304</v>
      </c>
      <c r="C229" s="228"/>
      <c r="D229" s="228"/>
      <c r="E229" s="48"/>
      <c r="F229" s="48">
        <v>0</v>
      </c>
      <c r="G229" s="48"/>
      <c r="H229" s="48">
        <v>0</v>
      </c>
      <c r="I229" s="205"/>
      <c r="J229" s="205"/>
    </row>
    <row r="230" spans="1:10" ht="12.75" customHeight="1" x14ac:dyDescent="0.25">
      <c r="A230" s="215"/>
      <c r="B230" s="222"/>
      <c r="C230" s="222"/>
      <c r="D230" s="222"/>
      <c r="E230" s="225"/>
      <c r="F230" s="225"/>
      <c r="G230" s="225"/>
      <c r="H230" s="225"/>
      <c r="I230" s="205"/>
      <c r="J230" s="205"/>
    </row>
    <row r="231" spans="1:10" ht="40.5" customHeight="1" x14ac:dyDescent="0.25">
      <c r="A231" s="744" t="s">
        <v>497</v>
      </c>
      <c r="B231" s="693"/>
      <c r="C231" s="693"/>
      <c r="D231" s="693"/>
      <c r="E231" s="693"/>
      <c r="F231" s="693"/>
      <c r="G231" s="693"/>
      <c r="H231" s="693"/>
      <c r="I231" s="693"/>
      <c r="J231" s="693"/>
    </row>
    <row r="232" spans="1:10" ht="12.75" customHeight="1" x14ac:dyDescent="0.25">
      <c r="A232" s="221"/>
      <c r="B232" s="221"/>
      <c r="C232" s="221"/>
      <c r="D232" s="221"/>
      <c r="E232" s="221"/>
      <c r="F232" s="221"/>
      <c r="G232" s="221"/>
      <c r="H232" s="221"/>
      <c r="I232" s="221"/>
      <c r="J232" s="221"/>
    </row>
    <row r="233" spans="1:10" ht="12.75" customHeight="1" x14ac:dyDescent="0.25">
      <c r="A233" s="221"/>
      <c r="B233" s="221"/>
      <c r="C233" s="221"/>
      <c r="D233" s="221"/>
      <c r="E233" s="221"/>
      <c r="F233" s="221"/>
      <c r="G233" s="221"/>
      <c r="H233" s="221"/>
      <c r="I233" s="221"/>
      <c r="J233" s="221"/>
    </row>
    <row r="234" spans="1:10" ht="12.75" customHeight="1" x14ac:dyDescent="0.25">
      <c r="A234" s="221"/>
      <c r="B234" s="221"/>
      <c r="C234" s="221"/>
      <c r="D234" s="221"/>
      <c r="E234" s="221"/>
      <c r="F234" s="221"/>
      <c r="G234" s="221"/>
      <c r="H234" s="221"/>
      <c r="I234" s="221"/>
      <c r="J234" s="221"/>
    </row>
    <row r="235" spans="1:10" ht="12.75" customHeight="1" x14ac:dyDescent="0.25">
      <c r="A235" s="221"/>
      <c r="B235" s="221"/>
      <c r="C235" s="221"/>
      <c r="D235" s="221"/>
      <c r="E235" s="221"/>
      <c r="F235" s="221"/>
      <c r="G235" s="221"/>
      <c r="H235" s="221"/>
      <c r="I235" s="221"/>
      <c r="J235" s="221"/>
    </row>
    <row r="236" spans="1:10" ht="12.75" customHeight="1" x14ac:dyDescent="0.25">
      <c r="A236" s="221"/>
      <c r="B236" s="221"/>
      <c r="C236" s="221"/>
      <c r="D236" s="221"/>
      <c r="E236" s="221"/>
      <c r="F236" s="221"/>
      <c r="G236" s="221"/>
      <c r="H236" s="221"/>
      <c r="I236" s="221"/>
      <c r="J236" s="221"/>
    </row>
    <row r="237" spans="1:10" ht="12.75" customHeight="1" x14ac:dyDescent="0.25">
      <c r="A237" s="221"/>
      <c r="B237" s="221"/>
      <c r="C237" s="221"/>
      <c r="D237" s="221"/>
      <c r="E237" s="221"/>
      <c r="F237" s="221"/>
      <c r="G237" s="221"/>
      <c r="H237" s="221"/>
      <c r="I237" s="221"/>
      <c r="J237" s="221"/>
    </row>
    <row r="238" spans="1:10" ht="12.75" customHeight="1" x14ac:dyDescent="0.25">
      <c r="A238" s="215"/>
      <c r="B238" s="222"/>
      <c r="C238" s="222"/>
      <c r="D238" s="252"/>
      <c r="E238" s="252"/>
      <c r="F238" s="252"/>
      <c r="G238" s="252"/>
      <c r="H238" s="252"/>
      <c r="I238" s="252"/>
      <c r="J238" s="252"/>
    </row>
    <row r="239" spans="1:10" ht="12.75" customHeight="1" x14ac:dyDescent="0.25">
      <c r="A239" s="219" t="s">
        <v>498</v>
      </c>
      <c r="B239" s="220"/>
      <c r="C239" s="220"/>
      <c r="D239" s="220"/>
      <c r="E239" s="220"/>
      <c r="F239" s="220"/>
      <c r="G239" s="220"/>
      <c r="H239" s="220"/>
      <c r="I239" s="220"/>
      <c r="J239" s="220"/>
    </row>
    <row r="241" spans="1:10" ht="18.75" customHeight="1" x14ac:dyDescent="0.25">
      <c r="A241" s="744" t="s">
        <v>499</v>
      </c>
      <c r="B241" s="693"/>
      <c r="C241" s="693"/>
      <c r="D241" s="693"/>
      <c r="E241" s="693"/>
      <c r="F241" s="693"/>
      <c r="G241" s="693"/>
      <c r="H241" s="693"/>
      <c r="I241" s="693"/>
      <c r="J241" s="693"/>
    </row>
    <row r="242" spans="1:10" ht="22.5" customHeight="1" x14ac:dyDescent="0.25">
      <c r="A242" s="693"/>
      <c r="B242" s="697"/>
      <c r="C242" s="697"/>
      <c r="D242" s="697"/>
      <c r="E242" s="697"/>
      <c r="F242" s="697"/>
      <c r="G242" s="697"/>
      <c r="H242" s="697"/>
      <c r="I242" s="697"/>
      <c r="J242" s="693"/>
    </row>
    <row r="243" spans="1:10" ht="13.5" customHeight="1" x14ac:dyDescent="0.25">
      <c r="A243" s="693"/>
      <c r="B243" s="697"/>
      <c r="C243" s="697"/>
      <c r="D243" s="697"/>
      <c r="E243" s="697"/>
      <c r="F243" s="697"/>
      <c r="G243" s="697"/>
      <c r="H243" s="697"/>
      <c r="I243" s="697"/>
      <c r="J243" s="693"/>
    </row>
    <row r="244" spans="1:10" ht="12.75" customHeight="1" x14ac:dyDescent="0.25">
      <c r="A244" s="693"/>
      <c r="B244" s="693"/>
      <c r="C244" s="693"/>
      <c r="D244" s="693"/>
      <c r="E244" s="693"/>
      <c r="F244" s="693"/>
      <c r="G244" s="693"/>
      <c r="H244" s="693"/>
      <c r="I244" s="693"/>
      <c r="J244" s="693"/>
    </row>
    <row r="245" spans="1:10" ht="12.75" customHeight="1" x14ac:dyDescent="0.25">
      <c r="A245" s="221"/>
      <c r="B245" s="221"/>
      <c r="C245" s="221"/>
      <c r="D245" s="221"/>
      <c r="E245" s="221"/>
      <c r="F245" s="221"/>
      <c r="G245" s="221"/>
      <c r="H245" s="221"/>
      <c r="I245" s="221"/>
      <c r="J245" s="221"/>
    </row>
    <row r="246" spans="1:10" ht="12.75" customHeight="1" x14ac:dyDescent="0.25">
      <c r="A246" s="221"/>
      <c r="B246" s="221"/>
      <c r="C246" s="221"/>
      <c r="D246" s="221"/>
      <c r="E246" s="221"/>
      <c r="F246" s="221"/>
      <c r="G246" s="221"/>
      <c r="H246" s="221"/>
      <c r="I246" s="221"/>
      <c r="J246" s="221"/>
    </row>
    <row r="247" spans="1:10" ht="12.75" customHeight="1" x14ac:dyDescent="0.25">
      <c r="A247" s="221"/>
      <c r="B247" s="221"/>
      <c r="C247" s="221"/>
      <c r="D247" s="221"/>
      <c r="E247" s="221"/>
      <c r="F247" s="221"/>
      <c r="G247" s="221"/>
      <c r="H247" s="221"/>
      <c r="I247" s="221"/>
      <c r="J247" s="221"/>
    </row>
    <row r="248" spans="1:10" ht="12.75" customHeight="1" x14ac:dyDescent="0.25">
      <c r="A248" s="221"/>
      <c r="B248" s="221"/>
      <c r="C248" s="221"/>
      <c r="D248" s="221"/>
      <c r="E248" s="221"/>
      <c r="F248" s="221"/>
      <c r="G248" s="221"/>
      <c r="H248" s="221"/>
      <c r="I248" s="221"/>
      <c r="J248" s="221"/>
    </row>
    <row r="249" spans="1:10" ht="12.75" customHeight="1" x14ac:dyDescent="0.25">
      <c r="A249" s="221"/>
      <c r="B249" s="221"/>
      <c r="C249" s="221"/>
      <c r="D249" s="221"/>
      <c r="E249" s="221"/>
      <c r="F249" s="221"/>
      <c r="G249" s="221"/>
      <c r="H249" s="221"/>
      <c r="I249" s="221"/>
      <c r="J249" s="221"/>
    </row>
    <row r="250" spans="1:10" ht="12.75" customHeight="1" x14ac:dyDescent="0.25">
      <c r="A250" s="221"/>
      <c r="B250" s="221"/>
      <c r="C250" s="221"/>
      <c r="D250" s="221"/>
      <c r="E250" s="221"/>
      <c r="F250" s="221"/>
      <c r="G250" s="221"/>
      <c r="H250" s="221"/>
      <c r="I250" s="221"/>
      <c r="J250" s="221"/>
    </row>
    <row r="251" spans="1:10" ht="12.75" customHeight="1" x14ac:dyDescent="0.25">
      <c r="A251" s="215"/>
      <c r="B251" s="215"/>
      <c r="C251" s="215"/>
      <c r="D251" s="215"/>
      <c r="E251" s="215"/>
      <c r="F251" s="215"/>
      <c r="G251" s="215"/>
      <c r="H251" s="215"/>
      <c r="I251" s="215"/>
      <c r="J251" s="215"/>
    </row>
    <row r="252" spans="1:10" ht="12.75" customHeight="1" x14ac:dyDescent="0.25">
      <c r="A252" s="219" t="s">
        <v>500</v>
      </c>
      <c r="B252" s="220"/>
      <c r="C252" s="220"/>
      <c r="D252" s="220"/>
      <c r="E252" s="220"/>
      <c r="F252" s="220"/>
      <c r="G252" s="220"/>
      <c r="H252" s="220"/>
      <c r="I252" s="220"/>
      <c r="J252" s="220"/>
    </row>
    <row r="253" spans="1:10" ht="12.75" customHeight="1" x14ac:dyDescent="0.25">
      <c r="A253" s="232"/>
      <c r="B253" s="232"/>
      <c r="C253" s="232"/>
      <c r="D253" s="232"/>
      <c r="E253" s="232"/>
      <c r="F253" s="232"/>
      <c r="G253" s="232"/>
      <c r="H253" s="232"/>
      <c r="I253" s="232"/>
      <c r="J253" s="232"/>
    </row>
    <row r="254" spans="1:10" ht="12.75" customHeight="1" x14ac:dyDescent="0.25">
      <c r="A254" s="11" t="s">
        <v>387</v>
      </c>
      <c r="B254" s="756" t="s">
        <v>388</v>
      </c>
      <c r="C254" s="690"/>
      <c r="D254" s="691"/>
      <c r="E254" s="750" t="s">
        <v>389</v>
      </c>
      <c r="F254" s="691"/>
      <c r="G254" s="750" t="s">
        <v>390</v>
      </c>
      <c r="H254" s="691"/>
      <c r="I254" s="205"/>
      <c r="J254" s="205"/>
    </row>
    <row r="255" spans="1:10" ht="12.75" customHeight="1" x14ac:dyDescent="0.25">
      <c r="A255" s="11">
        <v>1</v>
      </c>
      <c r="B255" s="23"/>
      <c r="C255" s="228"/>
      <c r="D255" s="24"/>
      <c r="E255" s="748"/>
      <c r="F255" s="691"/>
      <c r="G255" s="748"/>
      <c r="H255" s="691"/>
      <c r="I255" s="205"/>
      <c r="J255" s="205"/>
    </row>
    <row r="256" spans="1:10" ht="12.75" customHeight="1" x14ac:dyDescent="0.25">
      <c r="A256" s="11">
        <v>2</v>
      </c>
      <c r="B256" s="23"/>
      <c r="C256" s="228"/>
      <c r="D256" s="228"/>
      <c r="E256" s="748"/>
      <c r="F256" s="691"/>
      <c r="G256" s="748"/>
      <c r="H256" s="691"/>
      <c r="I256" s="205"/>
      <c r="J256" s="205"/>
    </row>
    <row r="257" spans="1:8" ht="12.75" customHeight="1" x14ac:dyDescent="0.25">
      <c r="A257" s="11">
        <v>3</v>
      </c>
      <c r="B257" s="23" t="s">
        <v>501</v>
      </c>
      <c r="C257" s="228"/>
      <c r="D257" s="228"/>
      <c r="E257" s="748">
        <v>0</v>
      </c>
      <c r="F257" s="691"/>
      <c r="G257" s="748">
        <v>0</v>
      </c>
      <c r="H257" s="691"/>
    </row>
    <row r="258" spans="1:8" ht="12.75" customHeight="1" x14ac:dyDescent="0.25">
      <c r="A258" s="215"/>
      <c r="B258" s="215"/>
      <c r="C258" s="215"/>
      <c r="D258" s="215"/>
      <c r="E258" s="215"/>
      <c r="F258" s="215"/>
      <c r="G258" s="215"/>
      <c r="H258" s="215"/>
    </row>
    <row r="259" spans="1:8" ht="12.75" customHeight="1" x14ac:dyDescent="0.25">
      <c r="A259" s="219" t="s">
        <v>502</v>
      </c>
      <c r="B259" s="220"/>
      <c r="C259" s="220"/>
      <c r="D259" s="220"/>
      <c r="E259" s="220"/>
      <c r="F259" s="220"/>
      <c r="G259" s="220"/>
      <c r="H259" s="220"/>
    </row>
    <row r="260" spans="1:8" ht="12.75" customHeight="1" x14ac:dyDescent="0.25">
      <c r="A260" s="232"/>
      <c r="B260" s="232"/>
      <c r="C260" s="232"/>
      <c r="D260" s="232"/>
      <c r="E260" s="232"/>
      <c r="F260" s="232"/>
      <c r="G260" s="232"/>
      <c r="H260" s="232"/>
    </row>
    <row r="261" spans="1:8" ht="12.75" customHeight="1" x14ac:dyDescent="0.25">
      <c r="A261" s="232"/>
      <c r="B261" s="254" t="s">
        <v>503</v>
      </c>
      <c r="C261" s="232"/>
      <c r="D261" s="232"/>
      <c r="E261" s="232"/>
      <c r="F261" s="232"/>
      <c r="G261" s="232"/>
      <c r="H261" s="232"/>
    </row>
    <row r="262" spans="1:8" ht="12.75" customHeight="1" x14ac:dyDescent="0.25">
      <c r="A262" s="232"/>
      <c r="B262" s="232"/>
      <c r="C262" s="232"/>
      <c r="D262" s="232"/>
      <c r="E262" s="232"/>
      <c r="F262" s="232"/>
      <c r="G262" s="232"/>
      <c r="H262" s="232"/>
    </row>
    <row r="263" spans="1:8" ht="12.75" customHeight="1" x14ac:dyDescent="0.25">
      <c r="A263" s="11" t="s">
        <v>387</v>
      </c>
      <c r="B263" s="756" t="s">
        <v>504</v>
      </c>
      <c r="C263" s="690"/>
      <c r="D263" s="691"/>
      <c r="E263" s="750" t="s">
        <v>389</v>
      </c>
      <c r="F263" s="691"/>
      <c r="G263" s="750" t="s">
        <v>390</v>
      </c>
      <c r="H263" s="691"/>
    </row>
    <row r="264" spans="1:8" ht="12.75" customHeight="1" x14ac:dyDescent="0.25">
      <c r="A264" s="11">
        <v>1</v>
      </c>
      <c r="B264" s="23" t="s">
        <v>505</v>
      </c>
      <c r="C264" s="228"/>
      <c r="D264" s="228"/>
      <c r="E264" s="748"/>
      <c r="F264" s="691"/>
      <c r="G264" s="748"/>
      <c r="H264" s="691"/>
    </row>
    <row r="265" spans="1:8" ht="12.75" customHeight="1" x14ac:dyDescent="0.25">
      <c r="A265" s="11">
        <v>2</v>
      </c>
      <c r="B265" s="23" t="s">
        <v>506</v>
      </c>
      <c r="C265" s="228"/>
      <c r="D265" s="228"/>
      <c r="E265" s="748"/>
      <c r="F265" s="691"/>
      <c r="G265" s="748"/>
      <c r="H265" s="691"/>
    </row>
    <row r="266" spans="1:8" ht="12.75" customHeight="1" x14ac:dyDescent="0.25">
      <c r="A266" s="11">
        <v>3</v>
      </c>
      <c r="B266" s="23"/>
      <c r="C266" s="228"/>
      <c r="D266" s="228"/>
      <c r="E266" s="748"/>
      <c r="F266" s="691"/>
      <c r="G266" s="748"/>
      <c r="H266" s="691"/>
    </row>
    <row r="267" spans="1:8" ht="12.75" customHeight="1" x14ac:dyDescent="0.25">
      <c r="A267" s="11">
        <v>4</v>
      </c>
      <c r="B267" s="23" t="s">
        <v>501</v>
      </c>
      <c r="C267" s="228"/>
      <c r="D267" s="228"/>
      <c r="E267" s="748">
        <v>0</v>
      </c>
      <c r="F267" s="691"/>
      <c r="G267" s="748">
        <v>0</v>
      </c>
      <c r="H267" s="691"/>
    </row>
    <row r="268" spans="1:8" ht="12.75" customHeight="1" x14ac:dyDescent="0.25">
      <c r="A268" s="232"/>
      <c r="B268" s="232"/>
      <c r="C268" s="232"/>
      <c r="D268" s="232"/>
      <c r="E268" s="232"/>
      <c r="F268" s="232"/>
      <c r="G268" s="232"/>
      <c r="H268" s="232"/>
    </row>
    <row r="269" spans="1:8" ht="12.75" customHeight="1" x14ac:dyDescent="0.25">
      <c r="A269" s="232"/>
      <c r="B269" s="254" t="s">
        <v>507</v>
      </c>
      <c r="C269" s="232"/>
      <c r="D269" s="232"/>
      <c r="E269" s="232"/>
      <c r="F269" s="232"/>
      <c r="G269" s="232"/>
      <c r="H269" s="232"/>
    </row>
    <row r="270" spans="1:8" ht="12.75" customHeight="1" x14ac:dyDescent="0.25">
      <c r="A270" s="232"/>
      <c r="B270" s="232"/>
      <c r="C270" s="232"/>
      <c r="D270" s="232"/>
      <c r="E270" s="232"/>
      <c r="F270" s="232"/>
      <c r="G270" s="232"/>
      <c r="H270" s="232"/>
    </row>
    <row r="271" spans="1:8" ht="12.75" customHeight="1" x14ac:dyDescent="0.25">
      <c r="A271" s="11" t="s">
        <v>387</v>
      </c>
      <c r="B271" s="755" t="s">
        <v>508</v>
      </c>
      <c r="C271" s="690"/>
      <c r="D271" s="691"/>
      <c r="E271" s="750" t="s">
        <v>389</v>
      </c>
      <c r="F271" s="691"/>
      <c r="G271" s="750" t="s">
        <v>390</v>
      </c>
      <c r="H271" s="691"/>
    </row>
    <row r="272" spans="1:8" ht="12.75" customHeight="1" x14ac:dyDescent="0.25">
      <c r="A272" s="11">
        <v>1</v>
      </c>
      <c r="B272" s="23" t="s">
        <v>509</v>
      </c>
      <c r="C272" s="228"/>
      <c r="D272" s="228"/>
      <c r="E272" s="759"/>
      <c r="F272" s="691"/>
      <c r="G272" s="759"/>
      <c r="H272" s="691"/>
    </row>
    <row r="273" spans="1:8" ht="12.75" customHeight="1" x14ac:dyDescent="0.25">
      <c r="A273" s="11">
        <v>2</v>
      </c>
      <c r="B273" s="23" t="s">
        <v>510</v>
      </c>
      <c r="C273" s="228"/>
      <c r="D273" s="228"/>
      <c r="E273" s="759"/>
      <c r="F273" s="691"/>
      <c r="G273" s="759">
        <v>44294743.448818177</v>
      </c>
      <c r="H273" s="691"/>
    </row>
    <row r="274" spans="1:8" ht="12.75" customHeight="1" x14ac:dyDescent="0.25">
      <c r="A274" s="11">
        <v>3</v>
      </c>
      <c r="B274" s="23" t="s">
        <v>511</v>
      </c>
      <c r="C274" s="228"/>
      <c r="D274" s="228"/>
      <c r="E274" s="759"/>
      <c r="F274" s="691"/>
      <c r="G274" s="759"/>
      <c r="H274" s="691"/>
    </row>
    <row r="275" spans="1:8" ht="12.75" customHeight="1" x14ac:dyDescent="0.25">
      <c r="A275" s="11">
        <v>4</v>
      </c>
      <c r="B275" s="23" t="s">
        <v>512</v>
      </c>
      <c r="C275" s="228"/>
      <c r="D275" s="228"/>
      <c r="E275" s="759"/>
      <c r="F275" s="691"/>
      <c r="G275" s="759"/>
      <c r="H275" s="691"/>
    </row>
    <row r="276" spans="1:8" ht="12.75" customHeight="1" x14ac:dyDescent="0.25">
      <c r="A276" s="11">
        <v>5</v>
      </c>
      <c r="B276" s="23" t="s">
        <v>513</v>
      </c>
      <c r="C276" s="228"/>
      <c r="D276" s="228"/>
      <c r="E276" s="759"/>
      <c r="F276" s="691"/>
      <c r="G276" s="759"/>
      <c r="H276" s="691"/>
    </row>
    <row r="277" spans="1:8" ht="12.75" customHeight="1" x14ac:dyDescent="0.25">
      <c r="A277" s="11">
        <v>6</v>
      </c>
      <c r="B277" s="23"/>
      <c r="C277" s="228"/>
      <c r="D277" s="228"/>
      <c r="E277" s="759"/>
      <c r="F277" s="691"/>
      <c r="G277" s="759"/>
      <c r="H277" s="691"/>
    </row>
    <row r="278" spans="1:8" ht="12.75" customHeight="1" x14ac:dyDescent="0.25">
      <c r="A278" s="11">
        <v>7</v>
      </c>
      <c r="B278" s="64" t="s">
        <v>304</v>
      </c>
      <c r="C278" s="255"/>
      <c r="D278" s="65"/>
      <c r="E278" s="66">
        <v>0</v>
      </c>
      <c r="F278" s="66"/>
      <c r="G278" s="66">
        <v>0</v>
      </c>
      <c r="H278" s="66"/>
    </row>
    <row r="279" spans="1:8" ht="12.75" customHeight="1" x14ac:dyDescent="0.25">
      <c r="A279" s="215"/>
      <c r="B279" s="205"/>
      <c r="C279" s="205"/>
      <c r="D279" s="205"/>
      <c r="E279" s="205"/>
      <c r="F279" s="205"/>
      <c r="G279" s="205"/>
      <c r="H279" s="205"/>
    </row>
    <row r="280" spans="1:8" ht="12.75" customHeight="1" x14ac:dyDescent="0.25">
      <c r="A280" s="232"/>
      <c r="B280" s="254" t="s">
        <v>514</v>
      </c>
      <c r="C280" s="232"/>
      <c r="D280" s="232"/>
      <c r="E280" s="232"/>
      <c r="F280" s="232"/>
      <c r="G280" s="232"/>
      <c r="H280" s="232"/>
    </row>
    <row r="281" spans="1:8" ht="12.75" customHeight="1" x14ac:dyDescent="0.25">
      <c r="A281" s="232"/>
      <c r="B281" s="232"/>
      <c r="C281" s="232"/>
      <c r="D281" s="232"/>
      <c r="E281" s="232"/>
      <c r="F281" s="232"/>
      <c r="G281" s="232"/>
      <c r="H281" s="232"/>
    </row>
    <row r="282" spans="1:8" ht="12.75" customHeight="1" x14ac:dyDescent="0.25">
      <c r="A282" s="19" t="s">
        <v>387</v>
      </c>
      <c r="B282" s="256" t="s">
        <v>193</v>
      </c>
      <c r="C282" s="257"/>
      <c r="D282" s="258"/>
      <c r="E282" s="750" t="s">
        <v>389</v>
      </c>
      <c r="F282" s="691"/>
      <c r="G282" s="750" t="s">
        <v>390</v>
      </c>
      <c r="H282" s="691"/>
    </row>
    <row r="283" spans="1:8" ht="12.75" customHeight="1" x14ac:dyDescent="0.25">
      <c r="A283" s="20"/>
      <c r="B283" s="259"/>
      <c r="C283" s="260"/>
      <c r="D283" s="261"/>
      <c r="E283" s="43" t="s">
        <v>515</v>
      </c>
      <c r="F283" s="262" t="s">
        <v>516</v>
      </c>
      <c r="G283" s="43" t="s">
        <v>515</v>
      </c>
      <c r="H283" s="262" t="s">
        <v>516</v>
      </c>
    </row>
    <row r="284" spans="1:8" ht="12.75" customHeight="1" x14ac:dyDescent="0.25">
      <c r="A284" s="11">
        <v>1</v>
      </c>
      <c r="B284" s="23" t="s">
        <v>505</v>
      </c>
      <c r="C284" s="228"/>
      <c r="D284" s="228"/>
      <c r="E284" s="37"/>
      <c r="F284" s="37"/>
      <c r="G284" s="37"/>
      <c r="H284" s="67">
        <f>TB!$O$54</f>
        <v>0</v>
      </c>
    </row>
    <row r="285" spans="1:8" ht="12.75" customHeight="1" x14ac:dyDescent="0.25">
      <c r="A285" s="11">
        <v>2</v>
      </c>
      <c r="B285" s="23" t="s">
        <v>506</v>
      </c>
      <c r="C285" s="228"/>
      <c r="D285" s="228"/>
      <c r="E285" s="37"/>
      <c r="F285" s="37"/>
      <c r="G285" s="37"/>
      <c r="H285" s="37"/>
    </row>
    <row r="286" spans="1:8" ht="12.75" customHeight="1" x14ac:dyDescent="0.25">
      <c r="A286" s="11">
        <v>3</v>
      </c>
      <c r="B286" s="23"/>
      <c r="C286" s="228"/>
      <c r="D286" s="228"/>
      <c r="E286" s="37"/>
      <c r="F286" s="37"/>
      <c r="G286" s="37"/>
      <c r="H286" s="37"/>
    </row>
    <row r="287" spans="1:8" ht="12.75" customHeight="1" x14ac:dyDescent="0.25">
      <c r="A287" s="11">
        <v>4</v>
      </c>
      <c r="B287" s="23" t="s">
        <v>501</v>
      </c>
      <c r="C287" s="228"/>
      <c r="D287" s="228"/>
      <c r="E287" s="68">
        <v>0</v>
      </c>
      <c r="F287" s="68">
        <v>0</v>
      </c>
      <c r="G287" s="68">
        <v>0</v>
      </c>
      <c r="H287" s="68">
        <f>SUM(H284:H286)</f>
        <v>0</v>
      </c>
    </row>
    <row r="289" spans="1:8" ht="12.75" customHeight="1" x14ac:dyDescent="0.25">
      <c r="A289" s="232"/>
      <c r="B289" s="263" t="s">
        <v>517</v>
      </c>
      <c r="C289" s="263"/>
      <c r="D289" s="263"/>
      <c r="E289" s="263"/>
      <c r="F289" s="232"/>
      <c r="G289" s="232"/>
      <c r="H289" s="232"/>
    </row>
    <row r="290" spans="1:8" ht="12.75" customHeight="1" x14ac:dyDescent="0.25">
      <c r="A290" s="232"/>
      <c r="B290" s="232"/>
      <c r="C290" s="232"/>
      <c r="D290" s="232"/>
      <c r="E290" s="232"/>
      <c r="F290" s="232"/>
      <c r="G290" s="232"/>
      <c r="H290" s="232"/>
    </row>
    <row r="291" spans="1:8" ht="12.75" customHeight="1" x14ac:dyDescent="0.25">
      <c r="A291" s="19" t="s">
        <v>387</v>
      </c>
      <c r="B291" s="756" t="s">
        <v>193</v>
      </c>
      <c r="C291" s="691"/>
      <c r="D291" s="61" t="s">
        <v>389</v>
      </c>
      <c r="E291" s="11" t="s">
        <v>401</v>
      </c>
      <c r="F291" s="35" t="s">
        <v>518</v>
      </c>
      <c r="G291" s="35" t="s">
        <v>519</v>
      </c>
      <c r="H291" s="32" t="s">
        <v>390</v>
      </c>
    </row>
    <row r="292" spans="1:8" ht="12.75" customHeight="1" x14ac:dyDescent="0.25">
      <c r="A292" s="11">
        <v>1</v>
      </c>
      <c r="B292" s="69" t="s">
        <v>520</v>
      </c>
      <c r="C292" s="29"/>
      <c r="D292" s="70"/>
      <c r="E292" s="37"/>
      <c r="F292" s="37"/>
      <c r="G292" s="37"/>
      <c r="H292" s="37">
        <v>0</v>
      </c>
    </row>
    <row r="293" spans="1:8" ht="12.75" customHeight="1" x14ac:dyDescent="0.25">
      <c r="A293" s="11">
        <v>2</v>
      </c>
      <c r="B293" s="69" t="s">
        <v>521</v>
      </c>
      <c r="C293" s="29"/>
      <c r="D293" s="36"/>
      <c r="E293" s="37"/>
      <c r="F293" s="37"/>
      <c r="G293" s="37"/>
      <c r="H293" s="37">
        <v>0</v>
      </c>
    </row>
    <row r="294" spans="1:8" ht="12.75" customHeight="1" x14ac:dyDescent="0.25">
      <c r="A294" s="11">
        <v>3</v>
      </c>
      <c r="B294" s="69"/>
      <c r="C294" s="29"/>
      <c r="D294" s="36"/>
      <c r="E294" s="37"/>
      <c r="F294" s="37"/>
      <c r="G294" s="37"/>
      <c r="H294" s="37">
        <v>0</v>
      </c>
    </row>
    <row r="295" spans="1:8" ht="12.75" customHeight="1" x14ac:dyDescent="0.25">
      <c r="A295" s="11">
        <v>4</v>
      </c>
      <c r="B295" s="69" t="s">
        <v>501</v>
      </c>
      <c r="C295" s="29"/>
      <c r="D295" s="68">
        <v>0</v>
      </c>
      <c r="E295" s="68">
        <v>0</v>
      </c>
      <c r="F295" s="68">
        <v>0</v>
      </c>
      <c r="G295" s="68">
        <v>0</v>
      </c>
      <c r="H295" s="68">
        <v>0</v>
      </c>
    </row>
    <row r="296" spans="1:8" ht="12.75" customHeight="1" x14ac:dyDescent="0.25">
      <c r="A296" s="215"/>
      <c r="B296" s="223"/>
      <c r="C296" s="223"/>
      <c r="D296" s="264"/>
      <c r="E296" s="264"/>
      <c r="F296" s="264"/>
      <c r="G296" s="264"/>
      <c r="H296" s="264"/>
    </row>
    <row r="297" spans="1:8" ht="12.75" customHeight="1" x14ac:dyDescent="0.25">
      <c r="A297" s="215"/>
      <c r="B297" s="209" t="s">
        <v>522</v>
      </c>
      <c r="C297" s="205"/>
      <c r="D297" s="205"/>
      <c r="E297" s="205"/>
      <c r="F297" s="205"/>
      <c r="G297" s="205"/>
      <c r="H297" s="205"/>
    </row>
    <row r="298" spans="1:8" ht="12.75" customHeight="1" x14ac:dyDescent="0.25">
      <c r="A298" s="221"/>
      <c r="B298" s="221"/>
      <c r="C298" s="221"/>
      <c r="D298" s="221"/>
      <c r="E298" s="221"/>
      <c r="F298" s="221"/>
      <c r="G298" s="221"/>
      <c r="H298" s="221"/>
    </row>
    <row r="299" spans="1:8" ht="12.75" customHeight="1" x14ac:dyDescent="0.25">
      <c r="A299" s="221"/>
      <c r="B299" s="221"/>
      <c r="C299" s="221"/>
      <c r="D299" s="221"/>
      <c r="E299" s="221"/>
      <c r="F299" s="221"/>
      <c r="G299" s="221"/>
      <c r="H299" s="221"/>
    </row>
    <row r="300" spans="1:8" ht="12.75" customHeight="1" x14ac:dyDescent="0.25">
      <c r="A300" s="221"/>
      <c r="B300" s="221"/>
      <c r="C300" s="221"/>
      <c r="D300" s="221"/>
      <c r="E300" s="221"/>
      <c r="F300" s="221"/>
      <c r="G300" s="221"/>
      <c r="H300" s="221"/>
    </row>
    <row r="301" spans="1:8" ht="12.75" customHeight="1" x14ac:dyDescent="0.25">
      <c r="A301" s="9"/>
      <c r="B301" s="9"/>
      <c r="C301" s="9"/>
      <c r="D301" s="9"/>
      <c r="E301" s="9"/>
      <c r="F301" s="9"/>
      <c r="G301" s="9"/>
      <c r="H301" s="9"/>
    </row>
    <row r="302" spans="1:8" ht="12.75" customHeight="1" x14ac:dyDescent="0.25">
      <c r="A302" s="232"/>
      <c r="B302" s="263" t="s">
        <v>523</v>
      </c>
      <c r="C302" s="263"/>
      <c r="D302" s="263"/>
      <c r="E302" s="263"/>
      <c r="F302" s="263"/>
      <c r="G302" s="232"/>
      <c r="H302" s="232"/>
    </row>
    <row r="303" spans="1:8" ht="12.75" customHeight="1" x14ac:dyDescent="0.25">
      <c r="A303" s="232"/>
      <c r="B303" s="232"/>
      <c r="C303" s="232"/>
      <c r="D303" s="232"/>
      <c r="E303" s="232"/>
      <c r="F303" s="232"/>
      <c r="G303" s="232"/>
      <c r="H303" s="232"/>
    </row>
    <row r="304" spans="1:8" ht="12.75" customHeight="1" x14ac:dyDescent="0.25">
      <c r="A304" s="19" t="s">
        <v>387</v>
      </c>
      <c r="B304" s="256" t="s">
        <v>388</v>
      </c>
      <c r="C304" s="257"/>
      <c r="D304" s="258"/>
      <c r="E304" s="750" t="s">
        <v>389</v>
      </c>
      <c r="F304" s="691"/>
      <c r="G304" s="750" t="s">
        <v>390</v>
      </c>
      <c r="H304" s="691"/>
    </row>
    <row r="305" spans="1:8" ht="12.75" customHeight="1" x14ac:dyDescent="0.25">
      <c r="A305" s="11">
        <v>1</v>
      </c>
      <c r="B305" s="23"/>
      <c r="C305" s="228"/>
      <c r="D305" s="228"/>
      <c r="E305" s="739"/>
      <c r="F305" s="691"/>
      <c r="G305" s="739"/>
      <c r="H305" s="691"/>
    </row>
    <row r="306" spans="1:8" ht="12.75" customHeight="1" x14ac:dyDescent="0.25">
      <c r="A306" s="11">
        <v>2</v>
      </c>
      <c r="B306" s="23" t="s">
        <v>501</v>
      </c>
      <c r="C306" s="228"/>
      <c r="D306" s="228"/>
      <c r="E306" s="71">
        <v>0</v>
      </c>
      <c r="F306" s="72"/>
      <c r="G306" s="71">
        <v>0</v>
      </c>
      <c r="H306" s="72"/>
    </row>
    <row r="307" spans="1:8" ht="12.75" customHeight="1" x14ac:dyDescent="0.25">
      <c r="A307" s="215"/>
      <c r="B307" s="209" t="s">
        <v>524</v>
      </c>
      <c r="C307" s="205"/>
      <c r="D307" s="205"/>
      <c r="E307" s="205"/>
      <c r="F307" s="205"/>
      <c r="G307" s="205"/>
      <c r="H307" s="205"/>
    </row>
    <row r="308" spans="1:8" ht="12.75" customHeight="1" x14ac:dyDescent="0.25">
      <c r="A308" s="221"/>
      <c r="B308" s="221"/>
      <c r="C308" s="221"/>
      <c r="D308" s="221"/>
      <c r="E308" s="221"/>
      <c r="F308" s="221"/>
      <c r="G308" s="221"/>
      <c r="H308" s="221"/>
    </row>
    <row r="309" spans="1:8" ht="11.25" customHeight="1" x14ac:dyDescent="0.25">
      <c r="A309" s="221"/>
      <c r="B309" s="221"/>
      <c r="C309" s="221"/>
      <c r="D309" s="221"/>
      <c r="E309" s="221"/>
      <c r="F309" s="221"/>
      <c r="G309" s="221"/>
      <c r="H309" s="221"/>
    </row>
    <row r="310" spans="1:8" ht="12" customHeight="1" x14ac:dyDescent="0.25">
      <c r="A310" s="221"/>
      <c r="B310" s="221"/>
      <c r="C310" s="221"/>
      <c r="D310" s="221"/>
      <c r="E310" s="221"/>
      <c r="F310" s="221"/>
      <c r="G310" s="221"/>
      <c r="H310" s="221"/>
    </row>
    <row r="311" spans="1:8" ht="12.75" customHeight="1" x14ac:dyDescent="0.25">
      <c r="A311" s="232"/>
      <c r="B311" s="232"/>
      <c r="C311" s="232"/>
      <c r="D311" s="232"/>
      <c r="E311" s="232"/>
      <c r="F311" s="232"/>
      <c r="G311" s="232"/>
      <c r="H311" s="232"/>
    </row>
    <row r="312" spans="1:8" ht="12.75" customHeight="1" x14ac:dyDescent="0.25">
      <c r="A312" s="232"/>
      <c r="B312" s="263" t="s">
        <v>525</v>
      </c>
      <c r="C312" s="263"/>
      <c r="D312" s="263"/>
      <c r="E312" s="263"/>
      <c r="F312" s="263"/>
      <c r="G312" s="263"/>
      <c r="H312" s="232"/>
    </row>
    <row r="313" spans="1:8" ht="12.75" customHeight="1" x14ac:dyDescent="0.25">
      <c r="A313" s="232"/>
      <c r="B313" s="232"/>
      <c r="C313" s="232"/>
      <c r="D313" s="232"/>
      <c r="E313" s="232"/>
      <c r="F313" s="232"/>
      <c r="G313" s="232"/>
      <c r="H313" s="232"/>
    </row>
    <row r="314" spans="1:8" ht="12.75" customHeight="1" x14ac:dyDescent="0.25">
      <c r="A314" s="19" t="s">
        <v>387</v>
      </c>
      <c r="B314" s="256" t="s">
        <v>388</v>
      </c>
      <c r="C314" s="257"/>
      <c r="D314" s="258"/>
      <c r="E314" s="750" t="s">
        <v>389</v>
      </c>
      <c r="F314" s="691"/>
      <c r="G314" s="750" t="s">
        <v>390</v>
      </c>
      <c r="H314" s="691"/>
    </row>
    <row r="315" spans="1:8" ht="12.75" customHeight="1" x14ac:dyDescent="0.25">
      <c r="A315" s="20"/>
      <c r="B315" s="259"/>
      <c r="C315" s="260"/>
      <c r="D315" s="261"/>
      <c r="E315" s="43" t="s">
        <v>515</v>
      </c>
      <c r="F315" s="262" t="s">
        <v>516</v>
      </c>
      <c r="G315" s="43" t="s">
        <v>515</v>
      </c>
      <c r="H315" s="262" t="s">
        <v>516</v>
      </c>
    </row>
    <row r="316" spans="1:8" ht="12.75" customHeight="1" x14ac:dyDescent="0.25">
      <c r="A316" s="11">
        <v>1</v>
      </c>
      <c r="B316" s="23" t="s">
        <v>526</v>
      </c>
      <c r="C316" s="228"/>
      <c r="D316" s="24"/>
      <c r="E316" s="37"/>
      <c r="F316" s="265"/>
      <c r="G316" s="37"/>
      <c r="H316" s="265"/>
    </row>
    <row r="317" spans="1:8" ht="12.75" customHeight="1" x14ac:dyDescent="0.25">
      <c r="A317" s="19"/>
      <c r="B317" s="23" t="s">
        <v>527</v>
      </c>
      <c r="C317" s="228"/>
      <c r="D317" s="228"/>
      <c r="E317" s="37"/>
      <c r="F317" s="265"/>
      <c r="G317" s="37"/>
      <c r="H317" s="265"/>
    </row>
    <row r="318" spans="1:8" ht="12.75" customHeight="1" x14ac:dyDescent="0.25">
      <c r="A318" s="239"/>
      <c r="B318" s="23" t="s">
        <v>528</v>
      </c>
      <c r="C318" s="228"/>
      <c r="D318" s="228"/>
      <c r="E318" s="37"/>
      <c r="F318" s="265"/>
      <c r="G318" s="37"/>
      <c r="H318" s="265"/>
    </row>
    <row r="319" spans="1:8" ht="12.75" customHeight="1" x14ac:dyDescent="0.25">
      <c r="A319" s="20"/>
      <c r="B319" s="23" t="s">
        <v>529</v>
      </c>
      <c r="C319" s="228"/>
      <c r="D319" s="24"/>
      <c r="E319" s="37"/>
      <c r="F319" s="37"/>
      <c r="G319" s="37"/>
      <c r="H319" s="37"/>
    </row>
    <row r="320" spans="1:8" ht="12.75" customHeight="1" x14ac:dyDescent="0.25">
      <c r="A320" s="11">
        <v>2</v>
      </c>
      <c r="B320" s="23" t="s">
        <v>530</v>
      </c>
      <c r="C320" s="228"/>
      <c r="D320" s="24"/>
      <c r="E320" s="37"/>
      <c r="F320" s="37"/>
      <c r="G320" s="37"/>
      <c r="H320" s="37"/>
    </row>
    <row r="321" spans="1:8" ht="12.75" customHeight="1" x14ac:dyDescent="0.25">
      <c r="A321" s="11">
        <v>3</v>
      </c>
      <c r="B321" s="23"/>
      <c r="C321" s="228"/>
      <c r="D321" s="228"/>
      <c r="E321" s="68">
        <f t="shared" ref="E321:H321" si="5">SUM(E316:E320)</f>
        <v>0</v>
      </c>
      <c r="F321" s="68">
        <f t="shared" si="5"/>
        <v>0</v>
      </c>
      <c r="G321" s="68">
        <f t="shared" si="5"/>
        <v>0</v>
      </c>
      <c r="H321" s="68">
        <f t="shared" si="5"/>
        <v>0</v>
      </c>
    </row>
    <row r="322" spans="1:8" ht="12.75" customHeight="1" x14ac:dyDescent="0.25">
      <c r="A322" s="222"/>
      <c r="B322" s="222"/>
      <c r="C322" s="222"/>
      <c r="D322" s="222"/>
      <c r="E322" s="222"/>
      <c r="F322" s="222"/>
      <c r="G322" s="222"/>
      <c r="H322" s="222"/>
    </row>
    <row r="323" spans="1:8" ht="12.75" customHeight="1" x14ac:dyDescent="0.25">
      <c r="A323" s="215"/>
      <c r="B323" s="209" t="s">
        <v>531</v>
      </c>
      <c r="C323" s="205"/>
      <c r="D323" s="205"/>
      <c r="E323" s="205"/>
      <c r="F323" s="205"/>
      <c r="G323" s="205"/>
      <c r="H323" s="205"/>
    </row>
    <row r="324" spans="1:8" ht="12.75" customHeight="1" x14ac:dyDescent="0.25">
      <c r="A324" s="221"/>
      <c r="B324" s="221"/>
      <c r="C324" s="221"/>
      <c r="D324" s="221"/>
      <c r="E324" s="221"/>
      <c r="F324" s="221"/>
      <c r="G324" s="221"/>
      <c r="H324" s="221"/>
    </row>
    <row r="325" spans="1:8" ht="11.25" customHeight="1" x14ac:dyDescent="0.25">
      <c r="A325" s="221"/>
      <c r="B325" s="221"/>
      <c r="C325" s="221"/>
      <c r="D325" s="221"/>
      <c r="E325" s="221"/>
      <c r="F325" s="221"/>
      <c r="G325" s="221"/>
      <c r="H325" s="221"/>
    </row>
    <row r="326" spans="1:8" ht="12" customHeight="1" x14ac:dyDescent="0.25">
      <c r="A326" s="221"/>
      <c r="B326" s="221"/>
      <c r="C326" s="221"/>
      <c r="D326" s="221"/>
      <c r="E326" s="221"/>
      <c r="F326" s="221"/>
      <c r="G326" s="221"/>
      <c r="H326" s="221"/>
    </row>
    <row r="327" spans="1:8" ht="12.75" customHeight="1" x14ac:dyDescent="0.25">
      <c r="A327" s="222"/>
      <c r="B327" s="222"/>
      <c r="C327" s="222"/>
      <c r="D327" s="222"/>
      <c r="E327" s="222"/>
      <c r="F327" s="222"/>
      <c r="G327" s="222"/>
      <c r="H327" s="222"/>
    </row>
    <row r="328" spans="1:8" ht="12.75" customHeight="1" x14ac:dyDescent="0.25">
      <c r="A328" s="219" t="s">
        <v>532</v>
      </c>
      <c r="B328" s="220"/>
      <c r="C328" s="220"/>
      <c r="D328" s="220"/>
      <c r="E328" s="220"/>
      <c r="F328" s="220"/>
      <c r="G328" s="220"/>
      <c r="H328" s="220"/>
    </row>
    <row r="329" spans="1:8" ht="12.75" customHeight="1" x14ac:dyDescent="0.25">
      <c r="A329" s="232"/>
      <c r="B329" s="232"/>
      <c r="C329" s="232"/>
      <c r="D329" s="232"/>
      <c r="E329" s="232"/>
      <c r="F329" s="232"/>
      <c r="G329" s="232"/>
      <c r="H329" s="232"/>
    </row>
    <row r="330" spans="1:8" ht="12.75" customHeight="1" x14ac:dyDescent="0.25">
      <c r="A330" s="232"/>
      <c r="B330" s="254" t="s">
        <v>533</v>
      </c>
      <c r="C330" s="266"/>
      <c r="D330" s="266"/>
      <c r="E330" s="266"/>
      <c r="F330" s="232"/>
      <c r="G330" s="232"/>
      <c r="H330" s="232"/>
    </row>
    <row r="331" spans="1:8" ht="12.75" customHeight="1" x14ac:dyDescent="0.25">
      <c r="A331" s="232"/>
      <c r="B331" s="232"/>
      <c r="C331" s="232"/>
      <c r="D331" s="232"/>
      <c r="E331" s="232"/>
      <c r="F331" s="232"/>
      <c r="G331" s="232"/>
      <c r="H331" s="232"/>
    </row>
    <row r="332" spans="1:8" ht="30.75" customHeight="1" x14ac:dyDescent="0.25">
      <c r="A332" s="19" t="s">
        <v>387</v>
      </c>
      <c r="B332" s="256" t="s">
        <v>193</v>
      </c>
      <c r="C332" s="258"/>
      <c r="D332" s="754" t="s">
        <v>534</v>
      </c>
      <c r="E332" s="691"/>
      <c r="F332" s="754" t="s">
        <v>535</v>
      </c>
      <c r="G332" s="691"/>
      <c r="H332" s="757" t="s">
        <v>536</v>
      </c>
    </row>
    <row r="333" spans="1:8" ht="27.75" customHeight="1" x14ac:dyDescent="0.25">
      <c r="A333" s="20"/>
      <c r="B333" s="259"/>
      <c r="C333" s="261"/>
      <c r="D333" s="32" t="s">
        <v>537</v>
      </c>
      <c r="E333" s="32" t="s">
        <v>538</v>
      </c>
      <c r="F333" s="32" t="s">
        <v>537</v>
      </c>
      <c r="G333" s="32" t="s">
        <v>538</v>
      </c>
      <c r="H333" s="758"/>
    </row>
    <row r="334" spans="1:8" ht="12.75" customHeight="1" x14ac:dyDescent="0.25">
      <c r="A334" s="11">
        <v>1</v>
      </c>
      <c r="B334" s="69" t="s">
        <v>389</v>
      </c>
      <c r="C334" s="29"/>
      <c r="D334" s="70"/>
      <c r="E334" s="37">
        <v>1000000</v>
      </c>
      <c r="F334" s="37"/>
      <c r="G334" s="37"/>
      <c r="H334" s="37">
        <v>1000000</v>
      </c>
    </row>
    <row r="335" spans="1:8" ht="12.75" customHeight="1" x14ac:dyDescent="0.25">
      <c r="A335" s="11">
        <v>2</v>
      </c>
      <c r="B335" s="69" t="s">
        <v>539</v>
      </c>
      <c r="C335" s="29"/>
      <c r="D335" s="36"/>
      <c r="E335" s="37"/>
      <c r="F335" s="37"/>
      <c r="G335" s="37"/>
      <c r="H335" s="37">
        <v>0</v>
      </c>
    </row>
    <row r="336" spans="1:8" ht="12.75" customHeight="1" x14ac:dyDescent="0.25">
      <c r="A336" s="11">
        <v>3</v>
      </c>
      <c r="B336" s="69" t="s">
        <v>402</v>
      </c>
      <c r="C336" s="29"/>
      <c r="D336" s="36"/>
      <c r="E336" s="37"/>
      <c r="F336" s="37"/>
      <c r="G336" s="37"/>
      <c r="H336" s="37">
        <v>0</v>
      </c>
    </row>
    <row r="337" spans="1:9" ht="12.75" customHeight="1" x14ac:dyDescent="0.25">
      <c r="A337" s="11">
        <v>4</v>
      </c>
      <c r="B337" s="69" t="s">
        <v>390</v>
      </c>
      <c r="C337" s="29"/>
      <c r="D337" s="68">
        <v>0</v>
      </c>
      <c r="E337" s="68">
        <v>1000000</v>
      </c>
      <c r="F337" s="68">
        <v>0</v>
      </c>
      <c r="G337" s="68">
        <v>0</v>
      </c>
      <c r="H337" s="68">
        <v>1000000</v>
      </c>
      <c r="I337" s="205"/>
    </row>
    <row r="338" spans="1:9" ht="12.75" customHeight="1" x14ac:dyDescent="0.25">
      <c r="A338" s="215"/>
      <c r="B338" s="223"/>
      <c r="C338" s="223"/>
      <c r="D338" s="223"/>
      <c r="E338" s="223"/>
      <c r="F338" s="223"/>
      <c r="G338" s="223"/>
      <c r="H338" s="223"/>
      <c r="I338" s="223"/>
    </row>
    <row r="339" spans="1:9" ht="12.75" customHeight="1" x14ac:dyDescent="0.25">
      <c r="A339" s="215"/>
      <c r="B339" s="205" t="s">
        <v>540</v>
      </c>
      <c r="C339" s="205"/>
      <c r="D339" s="205"/>
      <c r="E339" s="205"/>
      <c r="F339" s="205"/>
      <c r="G339" s="205"/>
      <c r="H339" s="205"/>
      <c r="I339" s="205"/>
    </row>
    <row r="340" spans="1:9" ht="12.75" customHeight="1" x14ac:dyDescent="0.25">
      <c r="A340" s="215"/>
      <c r="B340" s="205"/>
      <c r="C340" s="205"/>
      <c r="D340" s="205"/>
      <c r="E340" s="205"/>
      <c r="F340" s="205"/>
      <c r="G340" s="205"/>
      <c r="H340" s="205"/>
      <c r="I340" s="205"/>
    </row>
    <row r="341" spans="1:9" ht="38.25" customHeight="1" x14ac:dyDescent="0.25">
      <c r="A341" s="32" t="s">
        <v>387</v>
      </c>
      <c r="B341" s="17" t="s">
        <v>193</v>
      </c>
      <c r="C341" s="18"/>
      <c r="D341" s="754" t="s">
        <v>541</v>
      </c>
      <c r="E341" s="691"/>
      <c r="F341" s="754" t="s">
        <v>542</v>
      </c>
      <c r="G341" s="691"/>
      <c r="H341" s="755" t="s">
        <v>304</v>
      </c>
      <c r="I341" s="691"/>
    </row>
    <row r="342" spans="1:9" ht="12.75" customHeight="1" x14ac:dyDescent="0.25">
      <c r="A342" s="27">
        <v>1</v>
      </c>
      <c r="B342" s="23" t="s">
        <v>389</v>
      </c>
      <c r="C342" s="24"/>
      <c r="D342" s="748"/>
      <c r="E342" s="691"/>
      <c r="F342" s="753"/>
      <c r="G342" s="691"/>
      <c r="H342" s="748">
        <v>0</v>
      </c>
      <c r="I342" s="691"/>
    </row>
    <row r="343" spans="1:9" ht="12.75" customHeight="1" x14ac:dyDescent="0.25">
      <c r="A343" s="27">
        <v>2</v>
      </c>
      <c r="B343" s="23" t="s">
        <v>446</v>
      </c>
      <c r="C343" s="24"/>
      <c r="D343" s="748"/>
      <c r="E343" s="691"/>
      <c r="F343" s="753"/>
      <c r="G343" s="691"/>
      <c r="H343" s="748"/>
      <c r="I343" s="691"/>
    </row>
    <row r="344" spans="1:9" ht="12.75" customHeight="1" x14ac:dyDescent="0.25">
      <c r="A344" s="268"/>
      <c r="B344" s="742" t="s">
        <v>543</v>
      </c>
      <c r="C344" s="691"/>
      <c r="D344" s="748"/>
      <c r="E344" s="691"/>
      <c r="F344" s="753"/>
      <c r="G344" s="691"/>
      <c r="H344" s="748"/>
      <c r="I344" s="691"/>
    </row>
    <row r="345" spans="1:9" ht="36" customHeight="1" x14ac:dyDescent="0.25">
      <c r="A345" s="269"/>
      <c r="B345" s="741" t="s">
        <v>544</v>
      </c>
      <c r="C345" s="691"/>
      <c r="D345" s="748"/>
      <c r="E345" s="691"/>
      <c r="F345" s="753"/>
      <c r="G345" s="691"/>
      <c r="H345" s="748"/>
      <c r="I345" s="691"/>
    </row>
    <row r="346" spans="1:9" ht="12.75" customHeight="1" x14ac:dyDescent="0.25">
      <c r="A346" s="27">
        <v>3</v>
      </c>
      <c r="B346" s="23" t="s">
        <v>545</v>
      </c>
      <c r="C346" s="24"/>
      <c r="D346" s="748"/>
      <c r="E346" s="691"/>
      <c r="F346" s="753"/>
      <c r="G346" s="691"/>
      <c r="H346" s="748"/>
      <c r="I346" s="691"/>
    </row>
    <row r="347" spans="1:9" ht="12.75" customHeight="1" x14ac:dyDescent="0.25">
      <c r="A347" s="241"/>
      <c r="B347" s="742" t="s">
        <v>543</v>
      </c>
      <c r="C347" s="691"/>
      <c r="D347" s="748"/>
      <c r="E347" s="691"/>
      <c r="F347" s="753"/>
      <c r="G347" s="691"/>
      <c r="H347" s="748"/>
      <c r="I347" s="691"/>
    </row>
    <row r="348" spans="1:9" ht="26.25" customHeight="1" x14ac:dyDescent="0.25">
      <c r="A348" s="270"/>
      <c r="B348" s="741" t="s">
        <v>309</v>
      </c>
      <c r="C348" s="691"/>
      <c r="D348" s="748"/>
      <c r="E348" s="691"/>
      <c r="F348" s="753"/>
      <c r="G348" s="691"/>
      <c r="H348" s="748"/>
      <c r="I348" s="691"/>
    </row>
    <row r="349" spans="1:9" ht="23.25" customHeight="1" x14ac:dyDescent="0.25">
      <c r="A349" s="271"/>
      <c r="B349" s="741" t="s">
        <v>546</v>
      </c>
      <c r="C349" s="691"/>
      <c r="D349" s="748"/>
      <c r="E349" s="691"/>
      <c r="F349" s="753"/>
      <c r="G349" s="691"/>
      <c r="H349" s="748"/>
      <c r="I349" s="691"/>
    </row>
    <row r="350" spans="1:9" ht="12.75" customHeight="1" x14ac:dyDescent="0.25">
      <c r="A350" s="27">
        <v>4</v>
      </c>
      <c r="B350" s="742" t="s">
        <v>390</v>
      </c>
      <c r="C350" s="691"/>
      <c r="D350" s="748"/>
      <c r="E350" s="691"/>
      <c r="F350" s="753"/>
      <c r="G350" s="691"/>
      <c r="H350" s="748"/>
      <c r="I350" s="691"/>
    </row>
    <row r="351" spans="1:9" ht="12.75" customHeight="1" x14ac:dyDescent="0.25">
      <c r="A351" s="215"/>
      <c r="B351" s="272" t="s">
        <v>547</v>
      </c>
      <c r="C351" s="272"/>
      <c r="D351" s="272"/>
      <c r="E351" s="272"/>
      <c r="F351" s="272"/>
      <c r="G351" s="272"/>
      <c r="H351" s="272"/>
      <c r="I351" s="272"/>
    </row>
    <row r="353" spans="1:9" ht="37.5" customHeight="1" x14ac:dyDescent="0.25">
      <c r="A353" s="215"/>
      <c r="B353" s="744" t="s">
        <v>548</v>
      </c>
      <c r="C353" s="693"/>
      <c r="D353" s="693"/>
      <c r="E353" s="693"/>
      <c r="F353" s="693"/>
      <c r="G353" s="693"/>
      <c r="H353" s="693"/>
      <c r="I353" s="693"/>
    </row>
    <row r="354" spans="1:9" ht="12.75" customHeight="1" x14ac:dyDescent="0.25">
      <c r="A354" s="215"/>
      <c r="B354" s="215"/>
      <c r="C354" s="215"/>
      <c r="D354" s="215"/>
      <c r="E354" s="215"/>
      <c r="F354" s="215"/>
      <c r="G354" s="215"/>
      <c r="H354" s="215"/>
      <c r="I354" s="215"/>
    </row>
    <row r="355" spans="1:9" ht="12.75" customHeight="1" x14ac:dyDescent="0.25">
      <c r="A355" s="215"/>
      <c r="B355" s="205" t="s">
        <v>549</v>
      </c>
      <c r="C355" s="205"/>
      <c r="D355" s="205"/>
      <c r="E355" s="205"/>
      <c r="F355" s="205"/>
      <c r="G355" s="205"/>
      <c r="H355" s="205"/>
      <c r="I355" s="205"/>
    </row>
    <row r="356" spans="1:9" ht="12.75" customHeight="1" x14ac:dyDescent="0.25">
      <c r="A356" s="215"/>
      <c r="B356" s="205"/>
      <c r="C356" s="205"/>
      <c r="D356" s="205"/>
      <c r="E356" s="205"/>
      <c r="F356" s="205"/>
      <c r="G356" s="205"/>
      <c r="H356" s="205"/>
      <c r="I356" s="205"/>
    </row>
    <row r="357" spans="1:9" ht="12.75" customHeight="1" x14ac:dyDescent="0.25">
      <c r="A357" s="73" t="s">
        <v>42</v>
      </c>
      <c r="B357" s="256" t="s">
        <v>193</v>
      </c>
      <c r="C357" s="258"/>
      <c r="D357" s="745" t="s">
        <v>389</v>
      </c>
      <c r="E357" s="746"/>
      <c r="F357" s="74" t="s">
        <v>401</v>
      </c>
      <c r="G357" s="74" t="s">
        <v>550</v>
      </c>
      <c r="H357" s="745" t="s">
        <v>390</v>
      </c>
      <c r="I357" s="746"/>
    </row>
    <row r="358" spans="1:9" ht="26.25" customHeight="1" x14ac:dyDescent="0.25">
      <c r="A358" s="11">
        <v>1</v>
      </c>
      <c r="B358" s="752" t="s">
        <v>551</v>
      </c>
      <c r="C358" s="691"/>
      <c r="D358" s="750"/>
      <c r="E358" s="691"/>
      <c r="F358" s="39"/>
      <c r="G358" s="39"/>
      <c r="H358" s="750"/>
      <c r="I358" s="691"/>
    </row>
    <row r="359" spans="1:9" ht="36" customHeight="1" x14ac:dyDescent="0.25">
      <c r="A359" s="11">
        <v>2</v>
      </c>
      <c r="B359" s="741" t="s">
        <v>552</v>
      </c>
      <c r="C359" s="691"/>
      <c r="D359" s="750"/>
      <c r="E359" s="691"/>
      <c r="F359" s="39"/>
      <c r="G359" s="39"/>
      <c r="H359" s="750"/>
      <c r="I359" s="691"/>
    </row>
    <row r="360" spans="1:9" ht="12.75" customHeight="1" x14ac:dyDescent="0.25">
      <c r="A360" s="11">
        <v>3</v>
      </c>
      <c r="B360" s="742" t="s">
        <v>553</v>
      </c>
      <c r="C360" s="691"/>
      <c r="D360" s="750"/>
      <c r="E360" s="691"/>
      <c r="F360" s="39"/>
      <c r="G360" s="39"/>
      <c r="H360" s="750"/>
      <c r="I360" s="691"/>
    </row>
    <row r="361" spans="1:9" ht="12.75" customHeight="1" x14ac:dyDescent="0.25">
      <c r="A361" s="11">
        <v>4</v>
      </c>
      <c r="B361" s="751" t="s">
        <v>304</v>
      </c>
      <c r="C361" s="691"/>
      <c r="D361" s="739">
        <v>0</v>
      </c>
      <c r="E361" s="691"/>
      <c r="F361" s="36">
        <v>0</v>
      </c>
      <c r="G361" s="36">
        <v>0</v>
      </c>
      <c r="H361" s="739">
        <v>0</v>
      </c>
      <c r="I361" s="691"/>
    </row>
    <row r="362" spans="1:9" ht="12.75" customHeight="1" x14ac:dyDescent="0.25">
      <c r="A362" s="215"/>
      <c r="B362" s="229"/>
      <c r="C362" s="229"/>
      <c r="D362" s="223"/>
      <c r="E362" s="223"/>
      <c r="F362" s="205"/>
      <c r="G362" s="205"/>
      <c r="H362" s="223"/>
      <c r="I362" s="223"/>
    </row>
    <row r="363" spans="1:9" ht="12.75" customHeight="1" x14ac:dyDescent="0.25">
      <c r="A363" s="215"/>
      <c r="B363" s="222" t="s">
        <v>554</v>
      </c>
      <c r="C363" s="222"/>
      <c r="D363" s="222"/>
      <c r="E363" s="222"/>
      <c r="F363" s="205"/>
      <c r="G363" s="205"/>
      <c r="H363" s="223"/>
      <c r="I363" s="223"/>
    </row>
    <row r="364" spans="1:9" ht="12.75" customHeight="1" x14ac:dyDescent="0.25">
      <c r="A364" s="215"/>
      <c r="B364" s="205"/>
      <c r="C364" s="205"/>
      <c r="D364" s="205"/>
      <c r="E364" s="205"/>
      <c r="F364" s="205"/>
      <c r="G364" s="205"/>
      <c r="H364" s="205"/>
      <c r="I364" s="205"/>
    </row>
    <row r="365" spans="1:9" ht="12.75" customHeight="1" x14ac:dyDescent="0.25">
      <c r="A365" s="747" t="s">
        <v>555</v>
      </c>
      <c r="B365" s="693"/>
      <c r="C365" s="693"/>
      <c r="D365" s="693"/>
      <c r="E365" s="693"/>
      <c r="F365" s="693"/>
      <c r="G365" s="693"/>
      <c r="H365" s="693"/>
      <c r="I365" s="693"/>
    </row>
    <row r="366" spans="1:9" ht="12.75" customHeight="1" x14ac:dyDescent="0.25">
      <c r="A366" s="693"/>
      <c r="B366" s="693"/>
      <c r="C366" s="693"/>
      <c r="D366" s="693"/>
      <c r="E366" s="693"/>
      <c r="F366" s="693"/>
      <c r="G366" s="693"/>
      <c r="H366" s="693"/>
      <c r="I366" s="693"/>
    </row>
    <row r="373" spans="1:9" ht="12.75" customHeight="1" x14ac:dyDescent="0.25">
      <c r="A373" s="219" t="s">
        <v>556</v>
      </c>
      <c r="B373" s="220"/>
      <c r="C373" s="220"/>
      <c r="D373" s="220"/>
      <c r="E373" s="220"/>
      <c r="F373" s="220"/>
      <c r="G373" s="220"/>
      <c r="H373" s="220"/>
      <c r="I373" s="220"/>
    </row>
    <row r="374" spans="1:9" ht="12.75" customHeight="1" x14ac:dyDescent="0.25">
      <c r="A374" s="213"/>
      <c r="B374" s="213"/>
      <c r="C374" s="205"/>
      <c r="D374" s="205"/>
      <c r="E374" s="205"/>
      <c r="F374" s="205"/>
      <c r="G374" s="205"/>
      <c r="H374" s="205"/>
      <c r="I374" s="205"/>
    </row>
    <row r="375" spans="1:9" ht="12.75" customHeight="1" x14ac:dyDescent="0.25">
      <c r="A375" s="15" t="s">
        <v>42</v>
      </c>
      <c r="B375" s="227" t="s">
        <v>193</v>
      </c>
      <c r="C375" s="22"/>
      <c r="D375" s="749" t="s">
        <v>312</v>
      </c>
      <c r="E375" s="690"/>
      <c r="F375" s="691"/>
      <c r="G375" s="749" t="s">
        <v>557</v>
      </c>
      <c r="H375" s="690"/>
      <c r="I375" s="691"/>
    </row>
    <row r="376" spans="1:9" ht="12.75" customHeight="1" x14ac:dyDescent="0.25">
      <c r="A376" s="11">
        <v>1</v>
      </c>
      <c r="B376" s="227" t="s">
        <v>558</v>
      </c>
      <c r="C376" s="22"/>
      <c r="D376" s="739">
        <v>0</v>
      </c>
      <c r="E376" s="690"/>
      <c r="F376" s="691"/>
      <c r="G376" s="739">
        <v>0</v>
      </c>
      <c r="H376" s="690"/>
      <c r="I376" s="691"/>
    </row>
    <row r="377" spans="1:9" ht="27" customHeight="1" x14ac:dyDescent="0.25">
      <c r="A377" s="11">
        <v>1.1000000000000001</v>
      </c>
      <c r="B377" s="273" t="s">
        <v>559</v>
      </c>
      <c r="C377" s="75"/>
      <c r="D377" s="739">
        <v>0</v>
      </c>
      <c r="E377" s="690"/>
      <c r="F377" s="691"/>
      <c r="G377" s="739"/>
      <c r="H377" s="690"/>
      <c r="I377" s="691"/>
    </row>
    <row r="378" spans="1:9" ht="24.75" customHeight="1" x14ac:dyDescent="0.25">
      <c r="A378" s="11">
        <v>1.2</v>
      </c>
      <c r="B378" s="741" t="s">
        <v>560</v>
      </c>
      <c r="C378" s="691"/>
      <c r="D378" s="739">
        <v>0</v>
      </c>
      <c r="E378" s="690"/>
      <c r="F378" s="691"/>
      <c r="G378" s="739">
        <v>0</v>
      </c>
      <c r="H378" s="690"/>
      <c r="I378" s="691"/>
    </row>
    <row r="379" spans="1:9" ht="12.75" customHeight="1" x14ac:dyDescent="0.25">
      <c r="A379" s="11">
        <v>1.3</v>
      </c>
      <c r="B379" s="742" t="s">
        <v>561</v>
      </c>
      <c r="C379" s="691"/>
      <c r="D379" s="739">
        <v>0</v>
      </c>
      <c r="E379" s="690"/>
      <c r="F379" s="691"/>
      <c r="G379" s="739"/>
      <c r="H379" s="690"/>
      <c r="I379" s="691"/>
    </row>
    <row r="380" spans="1:9" ht="25.5" customHeight="1" x14ac:dyDescent="0.25">
      <c r="A380" s="15">
        <v>2</v>
      </c>
      <c r="B380" s="743" t="s">
        <v>562</v>
      </c>
      <c r="C380" s="691"/>
      <c r="D380" s="739">
        <v>0</v>
      </c>
      <c r="E380" s="690"/>
      <c r="F380" s="691"/>
      <c r="G380" s="739">
        <v>0</v>
      </c>
      <c r="H380" s="690"/>
      <c r="I380" s="691"/>
    </row>
    <row r="381" spans="1:9" ht="12.75" customHeight="1" x14ac:dyDescent="0.25">
      <c r="A381" s="15">
        <v>3</v>
      </c>
      <c r="B381" s="740" t="s">
        <v>563</v>
      </c>
      <c r="C381" s="691"/>
      <c r="D381" s="739">
        <v>0</v>
      </c>
      <c r="E381" s="690"/>
      <c r="F381" s="691"/>
      <c r="G381" s="739">
        <v>0</v>
      </c>
      <c r="H381" s="690"/>
      <c r="I381" s="691"/>
    </row>
    <row r="382" spans="1:9" ht="12.75" customHeight="1" x14ac:dyDescent="0.25">
      <c r="A382" s="15">
        <v>4</v>
      </c>
      <c r="B382" s="740" t="s">
        <v>564</v>
      </c>
      <c r="C382" s="691"/>
      <c r="D382" s="739">
        <v>0</v>
      </c>
      <c r="E382" s="690"/>
      <c r="F382" s="691"/>
      <c r="G382" s="739">
        <v>0</v>
      </c>
      <c r="H382" s="690"/>
      <c r="I382" s="691"/>
    </row>
    <row r="383" spans="1:9" ht="27" customHeight="1" x14ac:dyDescent="0.25">
      <c r="A383" s="11">
        <v>4.0999999999999996</v>
      </c>
      <c r="B383" s="741" t="s">
        <v>565</v>
      </c>
      <c r="C383" s="691"/>
      <c r="D383" s="739">
        <v>0</v>
      </c>
      <c r="E383" s="690"/>
      <c r="F383" s="691"/>
      <c r="G383" s="739"/>
      <c r="H383" s="690"/>
      <c r="I383" s="691"/>
    </row>
    <row r="384" spans="1:9" ht="24" customHeight="1" x14ac:dyDescent="0.25">
      <c r="A384" s="11">
        <v>4.2</v>
      </c>
      <c r="B384" s="741" t="s">
        <v>566</v>
      </c>
      <c r="C384" s="691"/>
      <c r="D384" s="739">
        <v>0</v>
      </c>
      <c r="E384" s="690"/>
      <c r="F384" s="691"/>
      <c r="G384" s="739">
        <v>0</v>
      </c>
      <c r="H384" s="690"/>
      <c r="I384" s="691"/>
    </row>
    <row r="385" spans="1:10" ht="12.75" customHeight="1" x14ac:dyDescent="0.25">
      <c r="A385" s="11">
        <v>4.3</v>
      </c>
      <c r="B385" s="742" t="s">
        <v>567</v>
      </c>
      <c r="C385" s="691"/>
      <c r="D385" s="739">
        <v>0</v>
      </c>
      <c r="E385" s="690"/>
      <c r="F385" s="691"/>
      <c r="G385" s="739"/>
      <c r="H385" s="690"/>
      <c r="I385" s="691"/>
      <c r="J385" s="205"/>
    </row>
    <row r="386" spans="1:10" ht="12.75" customHeight="1" x14ac:dyDescent="0.25">
      <c r="A386" s="238"/>
      <c r="B386" s="229"/>
      <c r="C386" s="229"/>
      <c r="D386" s="274"/>
      <c r="E386" s="274"/>
      <c r="F386" s="274"/>
      <c r="G386" s="274"/>
      <c r="H386" s="274"/>
      <c r="I386" s="274"/>
      <c r="J386" s="238"/>
    </row>
    <row r="387" spans="1:10" ht="12.75" customHeight="1" x14ac:dyDescent="0.25">
      <c r="A387" s="219" t="s">
        <v>568</v>
      </c>
      <c r="B387" s="220"/>
      <c r="C387" s="220"/>
      <c r="D387" s="220"/>
      <c r="E387" s="220"/>
      <c r="F387" s="220"/>
      <c r="G387" s="220"/>
      <c r="H387" s="220"/>
      <c r="I387" s="220"/>
      <c r="J387" s="220"/>
    </row>
    <row r="388" spans="1:10" ht="12.75" customHeight="1" x14ac:dyDescent="0.25">
      <c r="A388" s="275"/>
      <c r="B388" s="276"/>
      <c r="C388" s="276"/>
      <c r="D388" s="276"/>
      <c r="E388" s="276"/>
      <c r="F388" s="276"/>
      <c r="G388" s="276"/>
      <c r="H388" s="276"/>
      <c r="I388" s="276"/>
      <c r="J388" s="276"/>
    </row>
    <row r="389" spans="1:10" ht="12.75" customHeight="1" x14ac:dyDescent="0.25">
      <c r="A389" s="215"/>
      <c r="B389" s="205" t="s">
        <v>569</v>
      </c>
      <c r="C389" s="205"/>
      <c r="D389" s="205"/>
      <c r="E389" s="205"/>
      <c r="F389" s="205"/>
      <c r="G389" s="205"/>
      <c r="H389" s="205"/>
      <c r="I389" s="205"/>
      <c r="J389" s="205"/>
    </row>
    <row r="390" spans="1:10" ht="12.75" customHeight="1" x14ac:dyDescent="0.25">
      <c r="A390" s="253"/>
      <c r="B390" s="277"/>
      <c r="C390" s="205"/>
      <c r="D390" s="205"/>
      <c r="E390" s="205"/>
      <c r="F390" s="205"/>
      <c r="G390" s="205"/>
      <c r="H390" s="205"/>
      <c r="I390" s="205"/>
      <c r="J390" s="205"/>
    </row>
    <row r="391" spans="1:10" ht="12.75" customHeight="1" x14ac:dyDescent="0.25">
      <c r="A391" s="76" t="s">
        <v>42</v>
      </c>
      <c r="B391" s="751" t="s">
        <v>570</v>
      </c>
      <c r="C391" s="690"/>
      <c r="D391" s="691"/>
      <c r="E391" s="26"/>
      <c r="F391" s="77" t="s">
        <v>571</v>
      </c>
      <c r="G391" s="77"/>
      <c r="H391" s="751" t="s">
        <v>572</v>
      </c>
      <c r="I391" s="690"/>
      <c r="J391" s="691"/>
    </row>
    <row r="392" spans="1:10" ht="12.75" customHeight="1" x14ac:dyDescent="0.25">
      <c r="A392" s="39">
        <v>1</v>
      </c>
      <c r="B392" s="751"/>
      <c r="C392" s="690"/>
      <c r="D392" s="691"/>
      <c r="E392" s="751"/>
      <c r="F392" s="690"/>
      <c r="G392" s="691"/>
      <c r="H392" s="751"/>
      <c r="I392" s="690"/>
      <c r="J392" s="691"/>
    </row>
    <row r="393" spans="1:10" ht="12.75" customHeight="1" x14ac:dyDescent="0.25">
      <c r="A393" s="39">
        <v>2</v>
      </c>
      <c r="B393" s="751"/>
      <c r="C393" s="690"/>
      <c r="D393" s="691"/>
      <c r="E393" s="751"/>
      <c r="F393" s="690"/>
      <c r="G393" s="691"/>
      <c r="H393" s="751"/>
      <c r="I393" s="690"/>
      <c r="J393" s="691"/>
    </row>
    <row r="394" spans="1:10" ht="12.75" customHeight="1" x14ac:dyDescent="0.25">
      <c r="A394" s="39">
        <v>3</v>
      </c>
      <c r="B394" s="751" t="s">
        <v>501</v>
      </c>
      <c r="C394" s="690"/>
      <c r="D394" s="691"/>
      <c r="E394" s="751"/>
      <c r="F394" s="690"/>
      <c r="G394" s="691"/>
      <c r="H394" s="751"/>
      <c r="I394" s="690"/>
      <c r="J394" s="691"/>
    </row>
    <row r="395" spans="1:10" ht="12.75" customHeight="1" x14ac:dyDescent="0.25">
      <c r="A395" s="215"/>
      <c r="B395" s="205"/>
      <c r="C395" s="205"/>
      <c r="D395" s="205"/>
      <c r="E395" s="205"/>
      <c r="F395" s="205"/>
      <c r="G395" s="205"/>
      <c r="H395" s="205"/>
      <c r="I395" s="205"/>
      <c r="J395" s="205"/>
    </row>
    <row r="396" spans="1:10" ht="12.75" customHeight="1" x14ac:dyDescent="0.25">
      <c r="A396" s="215"/>
      <c r="B396" s="205" t="s">
        <v>573</v>
      </c>
      <c r="C396" s="205"/>
      <c r="D396" s="205"/>
      <c r="E396" s="205"/>
      <c r="F396" s="205"/>
      <c r="G396" s="205"/>
      <c r="H396" s="205"/>
      <c r="I396" s="205"/>
      <c r="J396" s="205"/>
    </row>
    <row r="397" spans="1:10" ht="9.75" customHeight="1" x14ac:dyDescent="0.25">
      <c r="A397" s="253"/>
      <c r="B397" s="277"/>
      <c r="C397" s="205"/>
      <c r="D397" s="205"/>
      <c r="E397" s="205"/>
      <c r="F397" s="205"/>
      <c r="G397" s="205"/>
      <c r="H397" s="205"/>
      <c r="I397" s="205"/>
      <c r="J397" s="205"/>
    </row>
    <row r="398" spans="1:10" ht="12.75" customHeight="1" x14ac:dyDescent="0.25">
      <c r="A398" s="76" t="s">
        <v>42</v>
      </c>
      <c r="B398" s="751" t="s">
        <v>388</v>
      </c>
      <c r="C398" s="690"/>
      <c r="D398" s="690"/>
      <c r="E398" s="691"/>
      <c r="F398" s="798" t="s">
        <v>571</v>
      </c>
      <c r="G398" s="746"/>
      <c r="H398" s="798" t="s">
        <v>572</v>
      </c>
      <c r="I398" s="762"/>
      <c r="J398" s="746"/>
    </row>
    <row r="399" spans="1:10" ht="25.5" customHeight="1" x14ac:dyDescent="0.25">
      <c r="A399" s="39">
        <v>1</v>
      </c>
      <c r="B399" s="741" t="s">
        <v>574</v>
      </c>
      <c r="C399" s="690"/>
      <c r="D399" s="690"/>
      <c r="E399" s="691"/>
      <c r="F399" s="750"/>
      <c r="G399" s="691"/>
      <c r="H399" s="750"/>
      <c r="I399" s="690"/>
      <c r="J399" s="691"/>
    </row>
    <row r="400" spans="1:10" ht="22.5" customHeight="1" x14ac:dyDescent="0.25">
      <c r="A400" s="39">
        <v>2</v>
      </c>
      <c r="B400" s="741" t="s">
        <v>575</v>
      </c>
      <c r="C400" s="690"/>
      <c r="D400" s="690"/>
      <c r="E400" s="691"/>
      <c r="F400" s="750"/>
      <c r="G400" s="691"/>
      <c r="H400" s="750"/>
      <c r="I400" s="690"/>
      <c r="J400" s="691"/>
    </row>
    <row r="401" spans="1:10" ht="25.5" customHeight="1" x14ac:dyDescent="0.25">
      <c r="A401" s="39">
        <v>3</v>
      </c>
      <c r="B401" s="741" t="s">
        <v>576</v>
      </c>
      <c r="C401" s="690"/>
      <c r="D401" s="690"/>
      <c r="E401" s="691"/>
      <c r="F401" s="750"/>
      <c r="G401" s="691"/>
      <c r="H401" s="750"/>
      <c r="I401" s="690"/>
      <c r="J401" s="691"/>
    </row>
    <row r="402" spans="1:10" ht="12.75" customHeight="1" x14ac:dyDescent="0.25">
      <c r="A402" s="39">
        <v>4</v>
      </c>
      <c r="B402" s="742" t="s">
        <v>577</v>
      </c>
      <c r="C402" s="690"/>
      <c r="D402" s="690"/>
      <c r="E402" s="691"/>
      <c r="F402" s="750"/>
      <c r="G402" s="691"/>
      <c r="H402" s="750"/>
      <c r="I402" s="690"/>
      <c r="J402" s="691"/>
    </row>
    <row r="403" spans="1:10" ht="12.75" customHeight="1" x14ac:dyDescent="0.25">
      <c r="A403" s="39">
        <v>5</v>
      </c>
      <c r="B403" s="751" t="s">
        <v>501</v>
      </c>
      <c r="C403" s="690"/>
      <c r="D403" s="690"/>
      <c r="E403" s="691"/>
      <c r="F403" s="750"/>
      <c r="G403" s="691"/>
      <c r="H403" s="750"/>
      <c r="I403" s="690"/>
      <c r="J403" s="691"/>
    </row>
    <row r="404" spans="1:10" ht="12.75" customHeight="1" x14ac:dyDescent="0.25">
      <c r="A404" s="215"/>
      <c r="B404" s="205"/>
      <c r="C404" s="205"/>
      <c r="D404" s="205"/>
      <c r="E404" s="205"/>
      <c r="F404" s="205"/>
      <c r="G404" s="205"/>
      <c r="H404" s="205"/>
      <c r="I404" s="205"/>
      <c r="J404" s="205"/>
    </row>
    <row r="405" spans="1:10" ht="12.75" customHeight="1" x14ac:dyDescent="0.25">
      <c r="A405" s="219" t="s">
        <v>578</v>
      </c>
      <c r="B405" s="220"/>
      <c r="C405" s="220"/>
      <c r="D405" s="220"/>
      <c r="E405" s="220"/>
      <c r="F405" s="220"/>
      <c r="G405" s="220"/>
      <c r="H405" s="220"/>
      <c r="I405" s="220"/>
      <c r="J405" s="220"/>
    </row>
    <row r="406" spans="1:10" ht="12.75" customHeight="1" x14ac:dyDescent="0.25">
      <c r="A406" s="215"/>
      <c r="B406" s="205"/>
      <c r="C406" s="205"/>
      <c r="D406" s="205"/>
      <c r="E406" s="205"/>
      <c r="F406" s="205"/>
      <c r="G406" s="205"/>
      <c r="H406" s="205"/>
      <c r="I406" s="205"/>
      <c r="J406" s="205"/>
    </row>
    <row r="407" spans="1:10" ht="12.75" customHeight="1" x14ac:dyDescent="0.25">
      <c r="A407" s="215"/>
      <c r="B407" s="205" t="s">
        <v>579</v>
      </c>
      <c r="C407" s="205"/>
      <c r="D407" s="205"/>
      <c r="E407" s="205"/>
      <c r="F407" s="205"/>
      <c r="G407" s="205"/>
      <c r="H407" s="205"/>
      <c r="I407" s="205"/>
      <c r="J407" s="205"/>
    </row>
    <row r="408" spans="1:10" ht="12.75" customHeight="1" x14ac:dyDescent="0.25">
      <c r="A408" s="788" t="s">
        <v>387</v>
      </c>
      <c r="B408" s="256" t="s">
        <v>580</v>
      </c>
      <c r="C408" s="257"/>
      <c r="D408" s="258"/>
      <c r="E408" s="750" t="s">
        <v>571</v>
      </c>
      <c r="F408" s="691"/>
      <c r="G408" s="750" t="s">
        <v>572</v>
      </c>
      <c r="H408" s="691"/>
      <c r="I408" s="205"/>
      <c r="J408" s="205"/>
    </row>
    <row r="409" spans="1:10" ht="12.75" customHeight="1" x14ac:dyDescent="0.25">
      <c r="A409" s="758"/>
      <c r="B409" s="259"/>
      <c r="C409" s="260"/>
      <c r="D409" s="261"/>
      <c r="E409" s="43" t="s">
        <v>581</v>
      </c>
      <c r="F409" s="262" t="s">
        <v>582</v>
      </c>
      <c r="G409" s="43" t="s">
        <v>581</v>
      </c>
      <c r="H409" s="262" t="s">
        <v>582</v>
      </c>
      <c r="I409" s="205"/>
      <c r="J409" s="205"/>
    </row>
    <row r="410" spans="1:10" ht="12.75" customHeight="1" x14ac:dyDescent="0.25">
      <c r="A410" s="11">
        <v>1</v>
      </c>
      <c r="B410" s="78" t="s">
        <v>583</v>
      </c>
      <c r="C410" s="278"/>
      <c r="D410" s="79"/>
      <c r="E410" s="43"/>
      <c r="F410" s="262"/>
      <c r="G410" s="43"/>
      <c r="H410" s="80">
        <f>TB!K68</f>
        <v>0</v>
      </c>
      <c r="I410" s="205"/>
      <c r="J410" s="205"/>
    </row>
    <row r="411" spans="1:10" ht="12.75" customHeight="1" x14ac:dyDescent="0.25">
      <c r="A411" s="11">
        <v>2</v>
      </c>
      <c r="B411" s="78" t="s">
        <v>584</v>
      </c>
      <c r="C411" s="278"/>
      <c r="D411" s="79"/>
      <c r="E411" s="43"/>
      <c r="F411" s="262"/>
      <c r="G411" s="43"/>
      <c r="H411" s="80">
        <f>TB!K69</f>
        <v>0</v>
      </c>
      <c r="I411" s="205"/>
      <c r="J411" s="205"/>
    </row>
    <row r="412" spans="1:10" ht="12.75" customHeight="1" x14ac:dyDescent="0.25">
      <c r="A412" s="11">
        <v>3</v>
      </c>
      <c r="B412" s="78" t="s">
        <v>585</v>
      </c>
      <c r="C412" s="278"/>
      <c r="D412" s="79"/>
      <c r="E412" s="43"/>
      <c r="F412" s="262"/>
      <c r="G412" s="43"/>
      <c r="H412" s="81">
        <f>TB!$K$89</f>
        <v>0</v>
      </c>
      <c r="I412" s="205"/>
      <c r="J412" s="205"/>
    </row>
    <row r="413" spans="1:10" ht="12.75" customHeight="1" x14ac:dyDescent="0.25">
      <c r="A413" s="11">
        <v>4</v>
      </c>
      <c r="B413" s="78" t="s">
        <v>171</v>
      </c>
      <c r="C413" s="278"/>
      <c r="D413" s="79"/>
      <c r="E413" s="43"/>
      <c r="F413" s="262"/>
      <c r="G413" s="43"/>
      <c r="H413" s="82"/>
      <c r="I413" s="205"/>
      <c r="J413" s="205"/>
    </row>
    <row r="414" spans="1:10" ht="12.75" customHeight="1" x14ac:dyDescent="0.25">
      <c r="A414" s="11">
        <v>5</v>
      </c>
      <c r="B414" s="78" t="s">
        <v>162</v>
      </c>
      <c r="C414" s="278"/>
      <c r="D414" s="79"/>
      <c r="E414" s="43"/>
      <c r="F414" s="262"/>
      <c r="G414" s="43"/>
      <c r="H414" s="81">
        <f>TB!$K$77</f>
        <v>0</v>
      </c>
      <c r="I414" s="205"/>
      <c r="J414" s="205"/>
    </row>
    <row r="415" spans="1:10" ht="12.75" customHeight="1" x14ac:dyDescent="0.25">
      <c r="A415" s="11">
        <v>6</v>
      </c>
      <c r="B415" s="78" t="s">
        <v>168</v>
      </c>
      <c r="C415" s="278"/>
      <c r="D415" s="79"/>
      <c r="E415" s="43"/>
      <c r="F415" s="262"/>
      <c r="G415" s="43"/>
      <c r="H415" s="80">
        <f>TB!$K$76</f>
        <v>0</v>
      </c>
      <c r="I415" s="205"/>
      <c r="J415" s="205"/>
    </row>
    <row r="416" spans="1:10" ht="12.75" customHeight="1" x14ac:dyDescent="0.25">
      <c r="A416" s="11">
        <v>7</v>
      </c>
      <c r="B416" s="78" t="s">
        <v>170</v>
      </c>
      <c r="C416" s="278"/>
      <c r="D416" s="79"/>
      <c r="E416" s="43"/>
      <c r="F416" s="262"/>
      <c r="G416" s="43"/>
      <c r="H416" s="82"/>
      <c r="I416" s="205"/>
      <c r="J416" s="205"/>
    </row>
    <row r="417" spans="1:8" ht="12.75" customHeight="1" x14ac:dyDescent="0.25">
      <c r="A417" s="11">
        <v>8</v>
      </c>
      <c r="B417" s="78" t="s">
        <v>586</v>
      </c>
      <c r="C417" s="278"/>
      <c r="D417" s="79"/>
      <c r="E417" s="43"/>
      <c r="F417" s="262"/>
      <c r="G417" s="43"/>
      <c r="H417" s="82"/>
    </row>
    <row r="418" spans="1:8" ht="12.75" customHeight="1" x14ac:dyDescent="0.25">
      <c r="A418" s="11">
        <v>9</v>
      </c>
      <c r="B418" s="78" t="s">
        <v>587</v>
      </c>
      <c r="C418" s="278"/>
      <c r="D418" s="79"/>
      <c r="E418" s="43"/>
      <c r="F418" s="262"/>
      <c r="G418" s="43"/>
      <c r="H418" s="82"/>
    </row>
    <row r="419" spans="1:8" ht="12.75" customHeight="1" x14ac:dyDescent="0.25">
      <c r="A419" s="11">
        <v>10</v>
      </c>
      <c r="B419" s="78" t="s">
        <v>182</v>
      </c>
      <c r="C419" s="278"/>
      <c r="D419" s="79"/>
      <c r="E419" s="43"/>
      <c r="F419" s="262"/>
      <c r="G419" s="43"/>
      <c r="H419" s="82"/>
    </row>
    <row r="420" spans="1:8" ht="13.5" customHeight="1" x14ac:dyDescent="0.25">
      <c r="A420" s="11">
        <v>11</v>
      </c>
      <c r="B420" s="78" t="s">
        <v>165</v>
      </c>
      <c r="C420" s="278"/>
      <c r="D420" s="79"/>
      <c r="E420" s="43"/>
      <c r="F420" s="262"/>
      <c r="G420" s="43"/>
      <c r="H420" s="82"/>
    </row>
    <row r="421" spans="1:8" ht="12.75" customHeight="1" x14ac:dyDescent="0.25">
      <c r="A421" s="11">
        <v>12</v>
      </c>
      <c r="B421" s="78" t="s">
        <v>588</v>
      </c>
      <c r="C421" s="278"/>
      <c r="D421" s="79"/>
      <c r="E421" s="43"/>
      <c r="F421" s="262"/>
      <c r="G421" s="43"/>
      <c r="H421" s="81">
        <f>TB!$K$75</f>
        <v>0</v>
      </c>
    </row>
    <row r="422" spans="1:8" ht="12.75" customHeight="1" x14ac:dyDescent="0.25">
      <c r="A422" s="11">
        <v>13</v>
      </c>
      <c r="B422" s="78" t="s">
        <v>589</v>
      </c>
      <c r="C422" s="278"/>
      <c r="D422" s="79"/>
      <c r="E422" s="43"/>
      <c r="F422" s="262"/>
      <c r="G422" s="43"/>
      <c r="H422" s="80">
        <f>TB!$K$84</f>
        <v>0</v>
      </c>
    </row>
    <row r="423" spans="1:8" ht="12.75" customHeight="1" x14ac:dyDescent="0.25">
      <c r="A423" s="11">
        <v>14</v>
      </c>
      <c r="B423" s="78" t="s">
        <v>163</v>
      </c>
      <c r="C423" s="278"/>
      <c r="D423" s="79"/>
      <c r="E423" s="43"/>
      <c r="F423" s="262"/>
      <c r="G423" s="43"/>
      <c r="H423" s="82"/>
    </row>
    <row r="424" spans="1:8" ht="12.75" customHeight="1" x14ac:dyDescent="0.25">
      <c r="A424" s="11">
        <v>15</v>
      </c>
      <c r="B424" s="78" t="s">
        <v>590</v>
      </c>
      <c r="C424" s="278"/>
      <c r="D424" s="79"/>
      <c r="E424" s="43"/>
      <c r="F424" s="262"/>
      <c r="G424" s="43"/>
      <c r="H424" s="82"/>
    </row>
    <row r="425" spans="1:8" ht="12.75" customHeight="1" x14ac:dyDescent="0.25">
      <c r="A425" s="11">
        <v>16</v>
      </c>
      <c r="B425" s="78" t="s">
        <v>591</v>
      </c>
      <c r="C425" s="278"/>
      <c r="D425" s="79"/>
      <c r="E425" s="43"/>
      <c r="F425" s="262"/>
      <c r="G425" s="43"/>
      <c r="H425" s="82"/>
    </row>
    <row r="426" spans="1:8" ht="12.75" customHeight="1" x14ac:dyDescent="0.25">
      <c r="A426" s="11">
        <v>17</v>
      </c>
      <c r="B426" s="78" t="s">
        <v>166</v>
      </c>
      <c r="C426" s="278"/>
      <c r="D426" s="79"/>
      <c r="E426" s="43"/>
      <c r="F426" s="262"/>
      <c r="G426" s="43"/>
      <c r="H426" s="80">
        <f>TB!$K$74</f>
        <v>0</v>
      </c>
    </row>
    <row r="427" spans="1:8" ht="12.75" customHeight="1" x14ac:dyDescent="0.25">
      <c r="A427" s="11">
        <v>18</v>
      </c>
      <c r="B427" s="78" t="s">
        <v>169</v>
      </c>
      <c r="C427" s="278"/>
      <c r="D427" s="79"/>
      <c r="E427" s="43"/>
      <c r="F427" s="262"/>
      <c r="G427" s="43"/>
      <c r="H427" s="82"/>
    </row>
    <row r="428" spans="1:8" ht="12.75" customHeight="1" x14ac:dyDescent="0.25">
      <c r="A428" s="11">
        <v>19</v>
      </c>
      <c r="B428" s="78" t="s">
        <v>592</v>
      </c>
      <c r="C428" s="278"/>
      <c r="D428" s="79"/>
      <c r="E428" s="43"/>
      <c r="F428" s="262"/>
      <c r="G428" s="43"/>
      <c r="H428" s="82"/>
    </row>
    <row r="429" spans="1:8" ht="12.75" customHeight="1" x14ac:dyDescent="0.25">
      <c r="A429" s="11">
        <v>20</v>
      </c>
      <c r="B429" s="78" t="s">
        <v>176</v>
      </c>
      <c r="C429" s="278"/>
      <c r="D429" s="79"/>
      <c r="E429" s="43"/>
      <c r="F429" s="262"/>
      <c r="G429" s="43"/>
      <c r="H429" s="43"/>
    </row>
    <row r="430" spans="1:8" ht="12.75" customHeight="1" x14ac:dyDescent="0.25">
      <c r="A430" s="11">
        <v>21</v>
      </c>
      <c r="B430" s="78" t="s">
        <v>593</v>
      </c>
      <c r="C430" s="278"/>
      <c r="D430" s="79"/>
      <c r="E430" s="43"/>
      <c r="F430" s="262"/>
      <c r="G430" s="43"/>
      <c r="H430" s="37">
        <f>TB!$K$72</f>
        <v>0</v>
      </c>
    </row>
    <row r="431" spans="1:8" ht="12.75" customHeight="1" x14ac:dyDescent="0.25">
      <c r="A431" s="11">
        <v>22</v>
      </c>
      <c r="B431" s="78" t="s">
        <v>183</v>
      </c>
      <c r="C431" s="278"/>
      <c r="D431" s="79"/>
      <c r="E431" s="43"/>
      <c r="F431" s="262"/>
      <c r="G431" s="43"/>
      <c r="H431" s="80">
        <f>TB!$K$83</f>
        <v>0</v>
      </c>
    </row>
    <row r="432" spans="1:8" ht="12.75" customHeight="1" x14ac:dyDescent="0.25">
      <c r="A432" s="11">
        <v>23</v>
      </c>
      <c r="B432" s="78" t="s">
        <v>501</v>
      </c>
      <c r="C432" s="278"/>
      <c r="D432" s="278"/>
      <c r="E432" s="83">
        <f t="shared" ref="E432:H432" si="6">SUM(E410:E431)</f>
        <v>0</v>
      </c>
      <c r="F432" s="83">
        <f t="shared" si="6"/>
        <v>0</v>
      </c>
      <c r="G432" s="83">
        <f t="shared" si="6"/>
        <v>0</v>
      </c>
      <c r="H432" s="84">
        <f t="shared" si="6"/>
        <v>0</v>
      </c>
    </row>
    <row r="434" spans="1:10" ht="12.75" customHeight="1" x14ac:dyDescent="0.25">
      <c r="A434" s="215"/>
      <c r="B434" s="205" t="s">
        <v>594</v>
      </c>
      <c r="C434" s="205"/>
      <c r="D434" s="205"/>
      <c r="E434" s="205"/>
      <c r="F434" s="205"/>
      <c r="G434" s="205"/>
      <c r="H434" s="205"/>
      <c r="I434" s="205"/>
      <c r="J434" s="205"/>
    </row>
    <row r="435" spans="1:10" ht="12.75" customHeight="1" x14ac:dyDescent="0.25">
      <c r="A435" s="253"/>
      <c r="B435" s="277"/>
      <c r="C435" s="205"/>
      <c r="D435" s="205"/>
      <c r="E435" s="205"/>
      <c r="F435" s="205"/>
      <c r="G435" s="205"/>
      <c r="H435" s="205"/>
      <c r="I435" s="205"/>
      <c r="J435" s="205"/>
    </row>
    <row r="436" spans="1:10" ht="12.75" customHeight="1" x14ac:dyDescent="0.25">
      <c r="A436" s="85" t="s">
        <v>42</v>
      </c>
      <c r="B436" s="751" t="s">
        <v>580</v>
      </c>
      <c r="C436" s="690"/>
      <c r="D436" s="690"/>
      <c r="E436" s="691"/>
      <c r="F436" s="751" t="s">
        <v>571</v>
      </c>
      <c r="G436" s="691"/>
      <c r="H436" s="751" t="s">
        <v>572</v>
      </c>
      <c r="I436" s="690"/>
      <c r="J436" s="691"/>
    </row>
    <row r="437" spans="1:10" ht="12.75" customHeight="1" x14ac:dyDescent="0.25">
      <c r="A437" s="86">
        <v>1</v>
      </c>
      <c r="B437" s="794" t="s">
        <v>595</v>
      </c>
      <c r="C437" s="690"/>
      <c r="D437" s="690"/>
      <c r="E437" s="691"/>
      <c r="F437" s="750"/>
      <c r="G437" s="691"/>
      <c r="H437" s="750"/>
      <c r="I437" s="690"/>
      <c r="J437" s="691"/>
    </row>
    <row r="438" spans="1:10" ht="12.75" customHeight="1" x14ac:dyDescent="0.25">
      <c r="A438" s="86">
        <v>2</v>
      </c>
      <c r="B438" s="87" t="s">
        <v>596</v>
      </c>
      <c r="C438" s="279"/>
      <c r="D438" s="279"/>
      <c r="E438" s="88"/>
      <c r="F438" s="750"/>
      <c r="G438" s="691"/>
      <c r="H438" s="750"/>
      <c r="I438" s="690"/>
      <c r="J438" s="691"/>
    </row>
    <row r="439" spans="1:10" ht="12.75" customHeight="1" x14ac:dyDescent="0.25">
      <c r="A439" s="86">
        <v>3</v>
      </c>
      <c r="B439" s="794" t="s">
        <v>597</v>
      </c>
      <c r="C439" s="690"/>
      <c r="D439" s="690"/>
      <c r="E439" s="691"/>
      <c r="F439" s="750"/>
      <c r="G439" s="691"/>
      <c r="H439" s="750"/>
      <c r="I439" s="690"/>
      <c r="J439" s="691"/>
    </row>
    <row r="440" spans="1:10" ht="12.75" customHeight="1" x14ac:dyDescent="0.25">
      <c r="A440" s="86">
        <v>4</v>
      </c>
      <c r="B440" s="794" t="s">
        <v>598</v>
      </c>
      <c r="C440" s="690"/>
      <c r="D440" s="690"/>
      <c r="E440" s="691"/>
      <c r="F440" s="750"/>
      <c r="G440" s="691"/>
      <c r="H440" s="739">
        <f>TB!K94</f>
        <v>0</v>
      </c>
      <c r="I440" s="690"/>
      <c r="J440" s="691"/>
    </row>
    <row r="441" spans="1:10" ht="12.75" customHeight="1" x14ac:dyDescent="0.25">
      <c r="A441" s="86">
        <v>5</v>
      </c>
      <c r="B441" s="740" t="s">
        <v>501</v>
      </c>
      <c r="C441" s="690"/>
      <c r="D441" s="690"/>
      <c r="E441" s="691"/>
      <c r="F441" s="750"/>
      <c r="G441" s="691"/>
      <c r="H441" s="749">
        <f>SUM(H437:J440)</f>
        <v>0</v>
      </c>
      <c r="I441" s="690"/>
      <c r="J441" s="691"/>
    </row>
    <row r="442" spans="1:10" ht="12.75" customHeight="1" x14ac:dyDescent="0.25">
      <c r="A442" s="215"/>
      <c r="B442" s="205"/>
      <c r="C442" s="205"/>
      <c r="D442" s="205"/>
      <c r="E442" s="205"/>
      <c r="F442" s="205"/>
      <c r="G442" s="205"/>
      <c r="H442" s="205"/>
      <c r="I442" s="205"/>
      <c r="J442" s="205"/>
    </row>
    <row r="443" spans="1:10" ht="12.75" customHeight="1" x14ac:dyDescent="0.25">
      <c r="A443" s="215"/>
      <c r="B443" s="205" t="s">
        <v>599</v>
      </c>
      <c r="C443" s="205"/>
      <c r="D443" s="205"/>
      <c r="E443" s="205"/>
      <c r="F443" s="205"/>
      <c r="G443" s="205"/>
      <c r="H443" s="205"/>
      <c r="I443" s="205"/>
      <c r="J443" s="205"/>
    </row>
    <row r="444" spans="1:10" ht="12.75" customHeight="1" x14ac:dyDescent="0.25">
      <c r="A444" s="215"/>
      <c r="B444" s="205"/>
      <c r="C444" s="205"/>
      <c r="D444" s="205"/>
      <c r="E444" s="205"/>
      <c r="F444" s="205"/>
      <c r="G444" s="205"/>
      <c r="H444" s="205"/>
      <c r="I444" s="205"/>
      <c r="J444" s="205"/>
    </row>
    <row r="445" spans="1:10" ht="12.75" customHeight="1" x14ac:dyDescent="0.25">
      <c r="A445" s="786" t="s">
        <v>504</v>
      </c>
      <c r="B445" s="762"/>
      <c r="C445" s="762"/>
      <c r="D445" s="762"/>
      <c r="E445" s="746"/>
      <c r="F445" s="787" t="s">
        <v>600</v>
      </c>
      <c r="G445" s="750" t="s">
        <v>601</v>
      </c>
      <c r="H445" s="690"/>
      <c r="I445" s="690"/>
      <c r="J445" s="691"/>
    </row>
    <row r="446" spans="1:10" ht="21" customHeight="1" x14ac:dyDescent="0.25">
      <c r="A446" s="763"/>
      <c r="B446" s="764"/>
      <c r="C446" s="764"/>
      <c r="D446" s="764"/>
      <c r="E446" s="765"/>
      <c r="F446" s="758"/>
      <c r="G446" s="755" t="s">
        <v>602</v>
      </c>
      <c r="H446" s="691"/>
      <c r="I446" s="755" t="s">
        <v>603</v>
      </c>
      <c r="J446" s="691"/>
    </row>
    <row r="447" spans="1:10" ht="12.75" customHeight="1" x14ac:dyDescent="0.25">
      <c r="A447" s="742" t="s">
        <v>604</v>
      </c>
      <c r="B447" s="690"/>
      <c r="C447" s="690"/>
      <c r="D447" s="690"/>
      <c r="E447" s="691"/>
      <c r="F447" s="39"/>
      <c r="G447" s="11"/>
      <c r="H447" s="11"/>
      <c r="I447" s="11"/>
      <c r="J447" s="11"/>
    </row>
    <row r="448" spans="1:10" ht="12.75" customHeight="1" x14ac:dyDescent="0.25">
      <c r="A448" s="742" t="s">
        <v>605</v>
      </c>
      <c r="B448" s="690"/>
      <c r="C448" s="690"/>
      <c r="D448" s="690"/>
      <c r="E448" s="691"/>
      <c r="F448" s="39"/>
      <c r="G448" s="11"/>
      <c r="H448" s="11"/>
      <c r="I448" s="11"/>
      <c r="J448" s="11"/>
    </row>
    <row r="449" spans="1:10" ht="12.75" customHeight="1" x14ac:dyDescent="0.25">
      <c r="A449" s="742" t="s">
        <v>606</v>
      </c>
      <c r="B449" s="690"/>
      <c r="C449" s="690"/>
      <c r="D449" s="690"/>
      <c r="E449" s="691"/>
      <c r="F449" s="39"/>
      <c r="G449" s="11"/>
      <c r="H449" s="11"/>
      <c r="I449" s="11"/>
      <c r="J449" s="11"/>
    </row>
    <row r="450" spans="1:10" ht="12.75" customHeight="1" x14ac:dyDescent="0.25">
      <c r="A450" s="751" t="s">
        <v>304</v>
      </c>
      <c r="B450" s="690"/>
      <c r="C450" s="690"/>
      <c r="D450" s="690"/>
      <c r="E450" s="691"/>
      <c r="F450" s="76">
        <v>0</v>
      </c>
      <c r="G450" s="11">
        <v>0</v>
      </c>
      <c r="H450" s="11"/>
      <c r="I450" s="11">
        <v>0</v>
      </c>
      <c r="J450" s="11"/>
    </row>
    <row r="451" spans="1:10" ht="12.75" customHeight="1" x14ac:dyDescent="0.25">
      <c r="A451" s="229"/>
      <c r="B451" s="229"/>
      <c r="C451" s="229"/>
      <c r="D451" s="229"/>
      <c r="E451" s="229"/>
      <c r="F451" s="238"/>
      <c r="G451" s="215"/>
      <c r="H451" s="215"/>
      <c r="I451" s="215"/>
      <c r="J451" s="215"/>
    </row>
    <row r="452" spans="1:10" ht="12.75" customHeight="1" x14ac:dyDescent="0.25">
      <c r="A452" s="219" t="s">
        <v>607</v>
      </c>
      <c r="B452" s="220"/>
      <c r="C452" s="220"/>
      <c r="D452" s="220"/>
      <c r="E452" s="220"/>
      <c r="F452" s="220"/>
      <c r="G452" s="220"/>
      <c r="H452" s="220"/>
      <c r="I452" s="220"/>
      <c r="J452" s="220"/>
    </row>
    <row r="453" spans="1:10" ht="12.75" customHeight="1" x14ac:dyDescent="0.25">
      <c r="A453" s="215"/>
      <c r="B453" s="205"/>
      <c r="C453" s="205"/>
      <c r="D453" s="205"/>
      <c r="E453" s="205"/>
      <c r="F453" s="205"/>
      <c r="G453" s="205"/>
      <c r="H453" s="205"/>
      <c r="I453" s="205"/>
      <c r="J453" s="205"/>
    </row>
    <row r="454" spans="1:10" ht="12.75" customHeight="1" x14ac:dyDescent="0.25">
      <c r="A454" s="19" t="s">
        <v>387</v>
      </c>
      <c r="B454" s="256" t="s">
        <v>193</v>
      </c>
      <c r="C454" s="257"/>
      <c r="D454" s="258"/>
      <c r="E454" s="750" t="s">
        <v>312</v>
      </c>
      <c r="F454" s="691"/>
      <c r="G454" s="750" t="s">
        <v>557</v>
      </c>
      <c r="H454" s="691"/>
      <c r="I454" s="205"/>
      <c r="J454" s="205"/>
    </row>
    <row r="455" spans="1:10" ht="12.75" customHeight="1" x14ac:dyDescent="0.25">
      <c r="A455" s="11">
        <v>1</v>
      </c>
      <c r="B455" s="23" t="s">
        <v>608</v>
      </c>
      <c r="C455" s="228"/>
      <c r="D455" s="24"/>
      <c r="E455" s="69"/>
      <c r="F455" s="29"/>
      <c r="G455" s="739">
        <f>TB!K95</f>
        <v>65000</v>
      </c>
      <c r="H455" s="691"/>
      <c r="I455" s="205"/>
      <c r="J455" s="205"/>
    </row>
    <row r="456" spans="1:10" ht="12.75" customHeight="1" x14ac:dyDescent="0.25">
      <c r="A456" s="11">
        <v>2</v>
      </c>
      <c r="B456" s="23" t="s">
        <v>609</v>
      </c>
      <c r="C456" s="228"/>
      <c r="D456" s="24"/>
      <c r="E456" s="69"/>
      <c r="F456" s="29"/>
      <c r="G456" s="69"/>
      <c r="H456" s="29"/>
      <c r="I456" s="205"/>
      <c r="J456" s="205"/>
    </row>
    <row r="457" spans="1:10" ht="12.75" customHeight="1" x14ac:dyDescent="0.25">
      <c r="A457" s="11">
        <v>3</v>
      </c>
      <c r="B457" s="23" t="s">
        <v>610</v>
      </c>
      <c r="C457" s="228"/>
      <c r="D457" s="228"/>
      <c r="E457" s="69">
        <v>0</v>
      </c>
      <c r="F457" s="29"/>
      <c r="G457" s="749">
        <f>SUM(G455:H456)</f>
        <v>65000</v>
      </c>
      <c r="H457" s="691"/>
      <c r="I457" s="205"/>
      <c r="J457" s="205"/>
    </row>
    <row r="458" spans="1:10" ht="12.75" customHeight="1" x14ac:dyDescent="0.25">
      <c r="A458" s="215"/>
      <c r="B458" s="280" t="s">
        <v>611</v>
      </c>
      <c r="C458" s="280"/>
      <c r="D458" s="280"/>
      <c r="E458" s="280"/>
      <c r="F458" s="280"/>
      <c r="G458" s="280"/>
      <c r="H458" s="280"/>
      <c r="I458" s="280"/>
      <c r="J458" s="205"/>
    </row>
    <row r="459" spans="1:10" ht="8.25" customHeight="1" x14ac:dyDescent="0.25">
      <c r="A459" s="221"/>
      <c r="B459" s="221"/>
      <c r="C459" s="221"/>
      <c r="D459" s="221"/>
      <c r="E459" s="221"/>
      <c r="F459" s="221"/>
      <c r="G459" s="221"/>
      <c r="H459" s="221"/>
      <c r="I459" s="221"/>
      <c r="J459" s="221"/>
    </row>
    <row r="460" spans="1:10" ht="11.25" customHeight="1" x14ac:dyDescent="0.25">
      <c r="A460" s="779"/>
      <c r="B460" s="780"/>
      <c r="C460" s="780"/>
      <c r="D460" s="780"/>
      <c r="E460" s="780"/>
      <c r="F460" s="780"/>
      <c r="G460" s="780"/>
      <c r="H460" s="780"/>
      <c r="I460" s="780"/>
      <c r="J460" s="780"/>
    </row>
    <row r="461" spans="1:10" ht="12" customHeight="1" x14ac:dyDescent="0.25">
      <c r="A461" s="779"/>
      <c r="B461" s="780"/>
      <c r="C461" s="780"/>
      <c r="D461" s="780"/>
      <c r="E461" s="780"/>
      <c r="F461" s="780"/>
      <c r="G461" s="780"/>
      <c r="H461" s="780"/>
      <c r="I461" s="780"/>
      <c r="J461" s="780"/>
    </row>
    <row r="462" spans="1:10" ht="11.25" customHeight="1" x14ac:dyDescent="0.25">
      <c r="A462" s="779"/>
      <c r="B462" s="780"/>
      <c r="C462" s="780"/>
      <c r="D462" s="780"/>
      <c r="E462" s="780"/>
      <c r="F462" s="780"/>
      <c r="G462" s="780"/>
      <c r="H462" s="780"/>
      <c r="I462" s="780"/>
      <c r="J462" s="780"/>
    </row>
    <row r="463" spans="1:10" ht="12" customHeight="1" x14ac:dyDescent="0.25">
      <c r="A463" s="779"/>
      <c r="B463" s="780"/>
      <c r="C463" s="780"/>
      <c r="D463" s="780"/>
      <c r="E463" s="780"/>
      <c r="F463" s="780"/>
      <c r="G463" s="780"/>
      <c r="H463" s="780"/>
      <c r="I463" s="780"/>
      <c r="J463" s="780"/>
    </row>
    <row r="464" spans="1:10" ht="12.75" customHeight="1" x14ac:dyDescent="0.25">
      <c r="A464" s="782"/>
      <c r="B464" s="783"/>
      <c r="C464" s="783"/>
      <c r="D464" s="783"/>
      <c r="E464" s="783"/>
      <c r="F464" s="783"/>
      <c r="G464" s="783"/>
      <c r="H464" s="783"/>
      <c r="I464" s="783"/>
      <c r="J464" s="783"/>
    </row>
    <row r="465" spans="1:14" ht="12.75" customHeight="1" x14ac:dyDescent="0.25">
      <c r="A465" s="219" t="s">
        <v>612</v>
      </c>
      <c r="B465" s="220"/>
      <c r="C465" s="220"/>
      <c r="D465" s="220"/>
      <c r="E465" s="220"/>
      <c r="F465" s="220"/>
      <c r="G465" s="220"/>
      <c r="H465" s="220"/>
      <c r="I465" s="220"/>
      <c r="J465" s="220"/>
      <c r="K465" s="219"/>
      <c r="L465" s="220"/>
      <c r="M465" s="220"/>
      <c r="N465" s="220"/>
    </row>
    <row r="466" spans="1:14" ht="12.75" customHeight="1" x14ac:dyDescent="0.25">
      <c r="A466" s="232"/>
      <c r="B466" s="232"/>
      <c r="C466" s="232"/>
      <c r="D466" s="232"/>
      <c r="E466" s="232"/>
      <c r="F466" s="232"/>
      <c r="G466" s="232"/>
      <c r="H466" s="232"/>
      <c r="I466" s="232"/>
      <c r="J466" s="232"/>
      <c r="K466" s="4"/>
      <c r="L466" s="4"/>
      <c r="M466" s="4"/>
      <c r="N466" s="4"/>
    </row>
    <row r="467" spans="1:14" ht="12.75" customHeight="1" x14ac:dyDescent="0.25">
      <c r="A467" s="232"/>
      <c r="B467" s="784" t="s">
        <v>613</v>
      </c>
      <c r="C467" s="693"/>
      <c r="D467" s="693"/>
      <c r="E467" s="693"/>
      <c r="F467" s="693"/>
      <c r="G467" s="693"/>
      <c r="H467" s="693"/>
      <c r="I467" s="232"/>
      <c r="J467" s="232"/>
      <c r="K467" s="4"/>
      <c r="L467" s="4"/>
      <c r="M467" s="4"/>
      <c r="N467" s="4"/>
    </row>
    <row r="468" spans="1:14" ht="12.75" customHeight="1" x14ac:dyDescent="0.25">
      <c r="A468" s="215"/>
      <c r="B468" s="205"/>
      <c r="C468" s="205"/>
      <c r="D468" s="205"/>
      <c r="E468" s="205"/>
      <c r="F468" s="205"/>
      <c r="G468" s="205"/>
      <c r="H468" s="205"/>
      <c r="I468" s="205"/>
      <c r="J468" s="205"/>
      <c r="K468" s="4"/>
      <c r="L468" s="4"/>
      <c r="M468" s="4"/>
      <c r="N468" s="4"/>
    </row>
    <row r="469" spans="1:14" ht="25.5" customHeight="1" x14ac:dyDescent="0.25">
      <c r="A469" s="751" t="s">
        <v>193</v>
      </c>
      <c r="B469" s="691"/>
      <c r="C469" s="751" t="s">
        <v>614</v>
      </c>
      <c r="D469" s="691"/>
      <c r="E469" s="785" t="s">
        <v>615</v>
      </c>
      <c r="F469" s="691"/>
      <c r="G469" s="785" t="s">
        <v>616</v>
      </c>
      <c r="H469" s="691"/>
      <c r="I469" s="751" t="s">
        <v>617</v>
      </c>
      <c r="J469" s="691"/>
      <c r="K469" s="4"/>
      <c r="L469" s="4"/>
      <c r="M469" s="4"/>
      <c r="N469" s="4"/>
    </row>
    <row r="470" spans="1:14" ht="12.75" customHeight="1" x14ac:dyDescent="0.25">
      <c r="A470" s="742" t="s">
        <v>618</v>
      </c>
      <c r="B470" s="691"/>
      <c r="C470" s="751"/>
      <c r="D470" s="691"/>
      <c r="E470" s="781"/>
      <c r="F470" s="691"/>
      <c r="G470" s="781"/>
      <c r="H470" s="691"/>
      <c r="I470" s="781"/>
      <c r="J470" s="691"/>
      <c r="K470" s="4"/>
      <c r="L470" s="4"/>
      <c r="M470" s="4"/>
      <c r="N470" s="4"/>
    </row>
    <row r="471" spans="1:14" ht="24" customHeight="1" x14ac:dyDescent="0.25">
      <c r="A471" s="741" t="s">
        <v>619</v>
      </c>
      <c r="B471" s="691"/>
      <c r="C471" s="751"/>
      <c r="D471" s="691"/>
      <c r="E471" s="781"/>
      <c r="F471" s="691"/>
      <c r="G471" s="781"/>
      <c r="H471" s="691"/>
      <c r="I471" s="781"/>
      <c r="J471" s="691"/>
      <c r="K471" s="4"/>
      <c r="L471" s="4"/>
      <c r="M471" s="4"/>
      <c r="N471" s="4"/>
    </row>
    <row r="472" spans="1:14" ht="12.75" customHeight="1" x14ac:dyDescent="0.25">
      <c r="A472" s="742" t="s">
        <v>620</v>
      </c>
      <c r="B472" s="691"/>
      <c r="C472" s="751"/>
      <c r="D472" s="691"/>
      <c r="E472" s="781"/>
      <c r="F472" s="691"/>
      <c r="G472" s="781"/>
      <c r="H472" s="691"/>
      <c r="I472" s="781"/>
      <c r="J472" s="691"/>
      <c r="K472" s="4"/>
      <c r="L472" s="4"/>
      <c r="M472" s="4"/>
      <c r="N472" s="4"/>
    </row>
    <row r="473" spans="1:14" ht="12.75" customHeight="1" x14ac:dyDescent="0.25">
      <c r="A473" s="222"/>
      <c r="B473" s="222"/>
      <c r="C473" s="229"/>
      <c r="D473" s="229"/>
      <c r="E473" s="281"/>
      <c r="F473" s="281"/>
      <c r="G473" s="281"/>
      <c r="H473" s="281"/>
      <c r="I473" s="281"/>
      <c r="J473" s="281"/>
      <c r="K473" s="4"/>
      <c r="L473" s="4"/>
      <c r="M473" s="4"/>
      <c r="N473" s="4"/>
    </row>
    <row r="474" spans="1:14" ht="12.75" customHeight="1" x14ac:dyDescent="0.25">
      <c r="A474" s="222"/>
      <c r="B474" s="796" t="s">
        <v>621</v>
      </c>
      <c r="C474" s="693"/>
      <c r="D474" s="693"/>
      <c r="E474" s="693"/>
      <c r="F474" s="693"/>
      <c r="G474" s="693"/>
      <c r="H474" s="693"/>
      <c r="I474" s="693"/>
      <c r="J474" s="693"/>
      <c r="K474" s="693"/>
      <c r="L474" s="693"/>
      <c r="M474" s="693"/>
      <c r="N474" s="693"/>
    </row>
    <row r="475" spans="1:14" ht="12.75" customHeight="1" x14ac:dyDescent="0.25">
      <c r="A475" s="222"/>
      <c r="B475" s="222"/>
      <c r="C475" s="222"/>
      <c r="D475" s="222"/>
      <c r="E475" s="222"/>
      <c r="F475" s="222"/>
      <c r="G475" s="222"/>
      <c r="H475" s="222"/>
      <c r="I475" s="222"/>
      <c r="J475" s="222"/>
      <c r="K475" s="4"/>
      <c r="L475" s="4"/>
      <c r="M475" s="4"/>
      <c r="N475" s="4"/>
    </row>
    <row r="476" spans="1:14" ht="12.75" customHeight="1" x14ac:dyDescent="0.25">
      <c r="A476" s="215"/>
      <c r="B476" s="796" t="s">
        <v>622</v>
      </c>
      <c r="C476" s="693"/>
      <c r="D476" s="693"/>
      <c r="E476" s="693"/>
      <c r="F476" s="693"/>
      <c r="G476" s="693"/>
      <c r="H476" s="205"/>
      <c r="I476" s="205"/>
      <c r="J476" s="205"/>
      <c r="K476" s="4"/>
      <c r="L476" s="4"/>
      <c r="M476" s="4"/>
      <c r="N476" s="4"/>
    </row>
    <row r="477" spans="1:14" ht="12.75" customHeight="1" x14ac:dyDescent="0.25">
      <c r="A477" s="215"/>
      <c r="B477" s="222"/>
      <c r="C477" s="222"/>
      <c r="D477" s="222"/>
      <c r="E477" s="222"/>
      <c r="F477" s="222"/>
      <c r="G477" s="222"/>
      <c r="H477" s="205"/>
      <c r="I477" s="205"/>
      <c r="J477" s="205"/>
      <c r="K477" s="4"/>
      <c r="L477" s="4"/>
      <c r="M477" s="4"/>
      <c r="N477" s="4"/>
    </row>
    <row r="478" spans="1:14" ht="12.75" customHeight="1" x14ac:dyDescent="0.25">
      <c r="A478" s="797" t="s">
        <v>623</v>
      </c>
      <c r="B478" s="693"/>
      <c r="C478" s="693"/>
      <c r="D478" s="693"/>
      <c r="E478" s="693"/>
      <c r="F478" s="693"/>
      <c r="G478" s="693"/>
      <c r="H478" s="693"/>
      <c r="I478" s="693"/>
      <c r="J478" s="693"/>
      <c r="K478" s="693"/>
      <c r="L478" s="693"/>
      <c r="M478" s="693"/>
      <c r="N478" s="693"/>
    </row>
    <row r="479" spans="1:14" ht="12.75" customHeight="1" x14ac:dyDescent="0.25">
      <c r="A479" s="253"/>
      <c r="B479" s="277"/>
      <c r="C479" s="205"/>
      <c r="D479" s="205"/>
      <c r="E479" s="205"/>
      <c r="F479" s="277"/>
      <c r="G479" s="277"/>
      <c r="H479" s="277"/>
      <c r="I479" s="205"/>
      <c r="J479" s="205"/>
      <c r="K479" s="4"/>
      <c r="L479" s="4"/>
      <c r="M479" s="4"/>
      <c r="N479" s="4"/>
    </row>
    <row r="480" spans="1:14" ht="12.75" customHeight="1" x14ac:dyDescent="0.25">
      <c r="A480" s="85" t="s">
        <v>42</v>
      </c>
      <c r="B480" s="751" t="s">
        <v>624</v>
      </c>
      <c r="C480" s="690"/>
      <c r="D480" s="690"/>
      <c r="E480" s="691"/>
      <c r="F480" s="751" t="s">
        <v>571</v>
      </c>
      <c r="G480" s="691"/>
      <c r="H480" s="751" t="s">
        <v>572</v>
      </c>
      <c r="I480" s="690"/>
      <c r="J480" s="691"/>
      <c r="K480" s="4"/>
      <c r="L480" s="4"/>
      <c r="M480" s="4"/>
      <c r="N480" s="4"/>
    </row>
    <row r="481" spans="1:10" ht="12.75" customHeight="1" x14ac:dyDescent="0.25">
      <c r="A481" s="86">
        <v>1</v>
      </c>
      <c r="B481" s="794" t="s">
        <v>625</v>
      </c>
      <c r="C481" s="690"/>
      <c r="D481" s="690"/>
      <c r="E481" s="691"/>
      <c r="F481" s="750"/>
      <c r="G481" s="691"/>
      <c r="H481" s="750"/>
      <c r="I481" s="690"/>
      <c r="J481" s="691"/>
    </row>
    <row r="482" spans="1:10" ht="12.75" customHeight="1" x14ac:dyDescent="0.25">
      <c r="A482" s="86">
        <v>2</v>
      </c>
      <c r="B482" s="793" t="s">
        <v>626</v>
      </c>
      <c r="C482" s="690"/>
      <c r="D482" s="690"/>
      <c r="E482" s="691"/>
      <c r="F482" s="750"/>
      <c r="G482" s="691"/>
      <c r="H482" s="750"/>
      <c r="I482" s="690"/>
      <c r="J482" s="691"/>
    </row>
    <row r="483" spans="1:10" ht="12.75" customHeight="1" x14ac:dyDescent="0.25">
      <c r="A483" s="86">
        <v>3</v>
      </c>
      <c r="B483" s="794" t="s">
        <v>627</v>
      </c>
      <c r="C483" s="690"/>
      <c r="D483" s="690"/>
      <c r="E483" s="691"/>
      <c r="F483" s="750"/>
      <c r="G483" s="691"/>
      <c r="H483" s="750"/>
      <c r="I483" s="690"/>
      <c r="J483" s="691"/>
    </row>
    <row r="484" spans="1:10" ht="12.75" customHeight="1" x14ac:dyDescent="0.25">
      <c r="A484" s="86">
        <v>4</v>
      </c>
      <c r="B484" s="795" t="s">
        <v>501</v>
      </c>
      <c r="C484" s="690"/>
      <c r="D484" s="690"/>
      <c r="E484" s="691"/>
      <c r="F484" s="750">
        <f>SUM(F481:G483)</f>
        <v>0</v>
      </c>
      <c r="G484" s="691"/>
      <c r="H484" s="750">
        <f>SUM(H481:J483)</f>
        <v>0</v>
      </c>
      <c r="I484" s="690"/>
      <c r="J484" s="691"/>
    </row>
    <row r="485" spans="1:10" ht="12.75" customHeight="1" x14ac:dyDescent="0.25">
      <c r="A485" s="222"/>
      <c r="B485" s="222"/>
      <c r="C485" s="222"/>
      <c r="D485" s="222"/>
      <c r="E485" s="222"/>
      <c r="F485" s="222"/>
      <c r="G485" s="222"/>
      <c r="H485" s="222"/>
      <c r="I485" s="222"/>
      <c r="J485" s="222"/>
    </row>
    <row r="486" spans="1:10" ht="27" customHeight="1" x14ac:dyDescent="0.25">
      <c r="A486" s="222"/>
      <c r="B486" s="744" t="s">
        <v>628</v>
      </c>
      <c r="C486" s="693"/>
      <c r="D486" s="693"/>
      <c r="E486" s="693"/>
      <c r="F486" s="693"/>
      <c r="G486" s="693"/>
      <c r="H486" s="693"/>
      <c r="I486" s="693"/>
      <c r="J486" s="693"/>
    </row>
    <row r="487" spans="1:10" ht="12.75" customHeight="1" x14ac:dyDescent="0.25">
      <c r="A487" s="222"/>
      <c r="B487" s="222"/>
      <c r="C487" s="222"/>
      <c r="D487" s="222"/>
      <c r="E487" s="222"/>
      <c r="F487" s="222"/>
      <c r="G487" s="222"/>
      <c r="H487" s="222"/>
      <c r="I487" s="222"/>
      <c r="J487" s="222"/>
    </row>
    <row r="488" spans="1:10" ht="12.75" customHeight="1" x14ac:dyDescent="0.25">
      <c r="A488" s="215"/>
      <c r="B488" s="796" t="s">
        <v>629</v>
      </c>
      <c r="C488" s="693"/>
      <c r="D488" s="693"/>
      <c r="E488" s="693"/>
      <c r="F488" s="693"/>
      <c r="G488" s="693"/>
      <c r="H488" s="205"/>
      <c r="I488" s="205"/>
      <c r="J488" s="205"/>
    </row>
    <row r="489" spans="1:10" ht="12.75" customHeight="1" x14ac:dyDescent="0.25">
      <c r="A489" s="215"/>
      <c r="B489" s="222"/>
      <c r="C489" s="222"/>
      <c r="D489" s="222"/>
      <c r="E489" s="222"/>
      <c r="F489" s="222"/>
      <c r="G489" s="222"/>
      <c r="H489" s="205"/>
      <c r="I489" s="205"/>
      <c r="J489" s="205"/>
    </row>
    <row r="490" spans="1:10" ht="38.25" customHeight="1" x14ac:dyDescent="0.25">
      <c r="A490" s="32" t="s">
        <v>387</v>
      </c>
      <c r="B490" s="754" t="s">
        <v>630</v>
      </c>
      <c r="C490" s="691"/>
      <c r="D490" s="754" t="s">
        <v>631</v>
      </c>
      <c r="E490" s="691"/>
      <c r="F490" s="754" t="s">
        <v>632</v>
      </c>
      <c r="G490" s="691"/>
      <c r="H490" s="755" t="s">
        <v>58</v>
      </c>
      <c r="I490" s="691"/>
      <c r="J490" s="267"/>
    </row>
    <row r="491" spans="1:10" ht="12.75" customHeight="1" x14ac:dyDescent="0.25">
      <c r="A491" s="27">
        <v>1</v>
      </c>
      <c r="B491" s="742"/>
      <c r="C491" s="691"/>
      <c r="D491" s="759"/>
      <c r="E491" s="691"/>
      <c r="F491" s="754"/>
      <c r="G491" s="691"/>
      <c r="H491" s="759"/>
      <c r="I491" s="691"/>
      <c r="J491" s="205"/>
    </row>
    <row r="492" spans="1:10" ht="12.75" customHeight="1" x14ac:dyDescent="0.25">
      <c r="A492" s="27">
        <v>2</v>
      </c>
      <c r="B492" s="742"/>
      <c r="C492" s="691"/>
      <c r="D492" s="759"/>
      <c r="E492" s="691"/>
      <c r="F492" s="759"/>
      <c r="G492" s="691"/>
      <c r="H492" s="759"/>
      <c r="I492" s="691"/>
      <c r="J492" s="205"/>
    </row>
    <row r="493" spans="1:10" ht="12.75" customHeight="1" x14ac:dyDescent="0.25">
      <c r="A493" s="215"/>
      <c r="B493" s="205"/>
      <c r="C493" s="205"/>
      <c r="D493" s="205"/>
      <c r="E493" s="205"/>
      <c r="F493" s="205"/>
      <c r="G493" s="205"/>
      <c r="H493" s="205"/>
      <c r="I493" s="205"/>
      <c r="J493" s="205"/>
    </row>
    <row r="494" spans="1:10" ht="12.75" customHeight="1" x14ac:dyDescent="0.25">
      <c r="A494" s="219" t="s">
        <v>633</v>
      </c>
      <c r="B494" s="220"/>
      <c r="C494" s="220"/>
      <c r="D494" s="220"/>
      <c r="E494" s="220"/>
      <c r="F494" s="220"/>
      <c r="G494" s="220"/>
      <c r="H494" s="220"/>
      <c r="I494" s="220"/>
      <c r="J494" s="220"/>
    </row>
    <row r="495" spans="1:10" ht="12.75" customHeight="1" x14ac:dyDescent="0.25">
      <c r="A495" s="215"/>
      <c r="B495" s="205"/>
      <c r="C495" s="205"/>
      <c r="D495" s="205"/>
      <c r="E495" s="205"/>
      <c r="F495" s="205"/>
      <c r="G495" s="205"/>
      <c r="H495" s="205"/>
      <c r="I495" s="205"/>
      <c r="J495" s="205"/>
    </row>
    <row r="496" spans="1:10" ht="12.75" customHeight="1" x14ac:dyDescent="0.25">
      <c r="A496" s="790" t="s">
        <v>634</v>
      </c>
      <c r="B496" s="693"/>
      <c r="C496" s="693"/>
      <c r="D496" s="693"/>
      <c r="E496" s="693"/>
      <c r="F496" s="693"/>
      <c r="G496" s="693"/>
      <c r="H496" s="693"/>
      <c r="I496" s="693"/>
      <c r="J496" s="693"/>
    </row>
    <row r="497" spans="1:10" ht="12.75" customHeight="1" x14ac:dyDescent="0.25">
      <c r="A497" s="693"/>
      <c r="B497" s="693"/>
      <c r="C497" s="693"/>
      <c r="D497" s="693"/>
      <c r="E497" s="693"/>
      <c r="F497" s="693"/>
      <c r="G497" s="693"/>
      <c r="H497" s="693"/>
      <c r="I497" s="693"/>
      <c r="J497" s="693"/>
    </row>
    <row r="498" spans="1:10" ht="12.75" customHeight="1" x14ac:dyDescent="0.25">
      <c r="A498" s="779"/>
      <c r="B498" s="780"/>
      <c r="C498" s="780"/>
      <c r="D498" s="780"/>
      <c r="E498" s="780"/>
      <c r="F498" s="780"/>
      <c r="G498" s="780"/>
      <c r="H498" s="780"/>
      <c r="I498" s="780"/>
      <c r="J498" s="780"/>
    </row>
    <row r="499" spans="1:10" ht="12.75" customHeight="1" x14ac:dyDescent="0.25">
      <c r="A499" s="779"/>
      <c r="B499" s="780"/>
      <c r="C499" s="780"/>
      <c r="D499" s="780"/>
      <c r="E499" s="780"/>
      <c r="F499" s="780"/>
      <c r="G499" s="780"/>
      <c r="H499" s="780"/>
      <c r="I499" s="780"/>
      <c r="J499" s="780"/>
    </row>
    <row r="500" spans="1:10" ht="12.75" customHeight="1" x14ac:dyDescent="0.25">
      <c r="A500" s="779"/>
      <c r="B500" s="780"/>
      <c r="C500" s="780"/>
      <c r="D500" s="780"/>
      <c r="E500" s="780"/>
      <c r="F500" s="780"/>
      <c r="G500" s="780"/>
      <c r="H500" s="780"/>
      <c r="I500" s="780"/>
      <c r="J500" s="780"/>
    </row>
    <row r="501" spans="1:10" ht="12.75" customHeight="1" x14ac:dyDescent="0.25">
      <c r="A501" s="779"/>
      <c r="B501" s="780"/>
      <c r="C501" s="780"/>
      <c r="D501" s="780"/>
      <c r="E501" s="780"/>
      <c r="F501" s="780"/>
      <c r="G501" s="780"/>
      <c r="H501" s="780"/>
      <c r="I501" s="780"/>
      <c r="J501" s="780"/>
    </row>
    <row r="502" spans="1:10" ht="12.75" customHeight="1" x14ac:dyDescent="0.25">
      <c r="A502" s="779"/>
      <c r="B502" s="780"/>
      <c r="C502" s="780"/>
      <c r="D502" s="780"/>
      <c r="E502" s="780"/>
      <c r="F502" s="780"/>
      <c r="G502" s="780"/>
      <c r="H502" s="780"/>
      <c r="I502" s="780"/>
      <c r="J502" s="780"/>
    </row>
    <row r="503" spans="1:10" ht="12.75" customHeight="1" x14ac:dyDescent="0.25">
      <c r="A503" s="215"/>
      <c r="B503" s="205"/>
      <c r="C503" s="205"/>
      <c r="D503" s="205"/>
      <c r="E503" s="205"/>
      <c r="F503" s="205"/>
      <c r="G503" s="205"/>
      <c r="H503" s="205"/>
      <c r="I503" s="205"/>
      <c r="J503" s="205"/>
    </row>
    <row r="504" spans="1:10" ht="12.75" customHeight="1" x14ac:dyDescent="0.25">
      <c r="A504" s="219" t="s">
        <v>635</v>
      </c>
      <c r="B504" s="220"/>
      <c r="C504" s="220"/>
      <c r="D504" s="220"/>
      <c r="E504" s="220"/>
      <c r="F504" s="220"/>
      <c r="G504" s="220"/>
      <c r="H504" s="220"/>
      <c r="I504" s="220"/>
      <c r="J504" s="220"/>
    </row>
    <row r="505" spans="1:10" ht="12.75" customHeight="1" x14ac:dyDescent="0.25">
      <c r="A505" s="215"/>
      <c r="B505" s="205"/>
      <c r="C505" s="205"/>
      <c r="D505" s="205"/>
      <c r="E505" s="205"/>
      <c r="F505" s="205"/>
      <c r="G505" s="205"/>
      <c r="H505" s="205"/>
      <c r="I505" s="205"/>
      <c r="J505" s="205"/>
    </row>
    <row r="506" spans="1:10" ht="12.75" customHeight="1" x14ac:dyDescent="0.25">
      <c r="A506" s="790" t="s">
        <v>636</v>
      </c>
      <c r="B506" s="693"/>
      <c r="C506" s="693"/>
      <c r="D506" s="693"/>
      <c r="E506" s="693"/>
      <c r="F506" s="693"/>
      <c r="G506" s="693"/>
      <c r="H506" s="693"/>
      <c r="I506" s="693"/>
      <c r="J506" s="693"/>
    </row>
    <row r="507" spans="1:10" ht="12.75" customHeight="1" x14ac:dyDescent="0.25">
      <c r="A507" s="693"/>
      <c r="B507" s="693"/>
      <c r="C507" s="693"/>
      <c r="D507" s="693"/>
      <c r="E507" s="693"/>
      <c r="F507" s="693"/>
      <c r="G507" s="693"/>
      <c r="H507" s="693"/>
      <c r="I507" s="693"/>
      <c r="J507" s="693"/>
    </row>
    <row r="508" spans="1:10" ht="12.75" customHeight="1" x14ac:dyDescent="0.25">
      <c r="A508" s="779"/>
      <c r="B508" s="780"/>
      <c r="C508" s="780"/>
      <c r="D508" s="780"/>
      <c r="E508" s="780"/>
      <c r="F508" s="780"/>
      <c r="G508" s="780"/>
      <c r="H508" s="780"/>
      <c r="I508" s="780"/>
      <c r="J508" s="780"/>
    </row>
    <row r="509" spans="1:10" ht="12.75" customHeight="1" x14ac:dyDescent="0.25">
      <c r="A509" s="779"/>
      <c r="B509" s="780"/>
      <c r="C509" s="780"/>
      <c r="D509" s="780"/>
      <c r="E509" s="780"/>
      <c r="F509" s="780"/>
      <c r="G509" s="780"/>
      <c r="H509" s="780"/>
      <c r="I509" s="780"/>
      <c r="J509" s="780"/>
    </row>
    <row r="510" spans="1:10" ht="12.75" customHeight="1" x14ac:dyDescent="0.25">
      <c r="A510" s="779"/>
      <c r="B510" s="780"/>
      <c r="C510" s="780"/>
      <c r="D510" s="780"/>
      <c r="E510" s="780"/>
      <c r="F510" s="780"/>
      <c r="G510" s="780"/>
      <c r="H510" s="780"/>
      <c r="I510" s="780"/>
      <c r="J510" s="780"/>
    </row>
    <row r="511" spans="1:10" ht="12.75" customHeight="1" x14ac:dyDescent="0.25">
      <c r="A511" s="779"/>
      <c r="B511" s="780"/>
      <c r="C511" s="780"/>
      <c r="D511" s="780"/>
      <c r="E511" s="780"/>
      <c r="F511" s="780"/>
      <c r="G511" s="780"/>
      <c r="H511" s="780"/>
      <c r="I511" s="780"/>
      <c r="J511" s="780"/>
    </row>
    <row r="512" spans="1:10" ht="12.75" customHeight="1" x14ac:dyDescent="0.25">
      <c r="A512" s="779"/>
      <c r="B512" s="780"/>
      <c r="C512" s="780"/>
      <c r="D512" s="780"/>
      <c r="E512" s="780"/>
      <c r="F512" s="780"/>
      <c r="G512" s="780"/>
      <c r="H512" s="780"/>
      <c r="I512" s="780"/>
      <c r="J512" s="780"/>
    </row>
    <row r="513" spans="1:14" ht="12.75" customHeight="1" x14ac:dyDescent="0.25">
      <c r="A513" s="779"/>
      <c r="B513" s="780"/>
      <c r="C513" s="780"/>
      <c r="D513" s="780"/>
      <c r="E513" s="780"/>
      <c r="F513" s="780"/>
      <c r="G513" s="780"/>
      <c r="H513" s="780"/>
      <c r="I513" s="780"/>
      <c r="J513" s="780"/>
      <c r="K513" s="4"/>
      <c r="L513" s="4"/>
      <c r="M513" s="4"/>
      <c r="N513" s="4"/>
    </row>
    <row r="514" spans="1:14" ht="12.75" customHeight="1" x14ac:dyDescent="0.25">
      <c r="A514" s="222"/>
      <c r="B514" s="222"/>
      <c r="C514" s="222"/>
      <c r="D514" s="222"/>
      <c r="E514" s="222"/>
      <c r="F514" s="222"/>
      <c r="G514" s="222"/>
      <c r="H514" s="222"/>
      <c r="I514" s="222"/>
      <c r="J514" s="222"/>
      <c r="K514" s="4"/>
      <c r="L514" s="4"/>
      <c r="M514" s="4"/>
      <c r="N514" s="4"/>
    </row>
    <row r="515" spans="1:14" ht="12.75" customHeight="1" x14ac:dyDescent="0.25">
      <c r="A515" s="219" t="s">
        <v>637</v>
      </c>
      <c r="B515" s="220"/>
      <c r="C515" s="220"/>
      <c r="D515" s="220"/>
      <c r="E515" s="220"/>
      <c r="F515" s="220"/>
      <c r="G515" s="220"/>
      <c r="H515" s="220"/>
      <c r="I515" s="220"/>
      <c r="J515" s="220"/>
      <c r="K515" s="219"/>
      <c r="L515" s="220"/>
      <c r="M515" s="220"/>
      <c r="N515" s="220"/>
    </row>
    <row r="516" spans="1:14" ht="12.75" customHeight="1" x14ac:dyDescent="0.25">
      <c r="A516" s="222"/>
      <c r="B516" s="222"/>
      <c r="C516" s="222"/>
      <c r="D516" s="222"/>
      <c r="E516" s="222"/>
      <c r="F516" s="222"/>
      <c r="G516" s="222"/>
      <c r="H516" s="222"/>
      <c r="I516" s="222"/>
      <c r="J516" s="222"/>
      <c r="K516" s="4"/>
      <c r="L516" s="4"/>
      <c r="M516" s="4"/>
      <c r="N516" s="4"/>
    </row>
    <row r="517" spans="1:14" ht="12.75" customHeight="1" x14ac:dyDescent="0.25">
      <c r="A517" s="791" t="s">
        <v>42</v>
      </c>
      <c r="B517" s="792" t="s">
        <v>193</v>
      </c>
      <c r="C517" s="789" t="s">
        <v>389</v>
      </c>
      <c r="D517" s="750" t="s">
        <v>638</v>
      </c>
      <c r="E517" s="690"/>
      <c r="F517" s="690"/>
      <c r="G517" s="690"/>
      <c r="H517" s="690"/>
      <c r="I517" s="690"/>
      <c r="J517" s="690"/>
      <c r="K517" s="690"/>
      <c r="L517" s="690"/>
      <c r="M517" s="690"/>
      <c r="N517" s="789" t="s">
        <v>390</v>
      </c>
    </row>
    <row r="518" spans="1:14" ht="48" x14ac:dyDescent="0.25">
      <c r="A518" s="765"/>
      <c r="B518" s="758"/>
      <c r="C518" s="758"/>
      <c r="D518" s="89" t="s">
        <v>639</v>
      </c>
      <c r="E518" s="89" t="s">
        <v>640</v>
      </c>
      <c r="F518" s="89" t="s">
        <v>641</v>
      </c>
      <c r="G518" s="89" t="s">
        <v>642</v>
      </c>
      <c r="H518" s="89" t="s">
        <v>643</v>
      </c>
      <c r="I518" s="89" t="s">
        <v>644</v>
      </c>
      <c r="J518" s="89" t="s">
        <v>645</v>
      </c>
      <c r="K518" s="89" t="s">
        <v>646</v>
      </c>
      <c r="L518" s="89" t="s">
        <v>647</v>
      </c>
      <c r="M518" s="282" t="s">
        <v>394</v>
      </c>
      <c r="N518" s="758"/>
    </row>
    <row r="519" spans="1:14" ht="12.75" customHeight="1" x14ac:dyDescent="0.25">
      <c r="A519" s="90">
        <v>1</v>
      </c>
      <c r="B519" s="91" t="s">
        <v>648</v>
      </c>
      <c r="C519" s="92"/>
      <c r="D519" s="92"/>
      <c r="E519" s="92"/>
      <c r="F519" s="92"/>
      <c r="G519" s="92"/>
      <c r="H519" s="92"/>
      <c r="I519" s="92"/>
      <c r="J519" s="92"/>
      <c r="K519" s="93"/>
      <c r="L519" s="93"/>
      <c r="M519" s="93"/>
      <c r="N519" s="93"/>
    </row>
    <row r="520" spans="1:14" ht="12.75" customHeight="1" x14ac:dyDescent="0.25">
      <c r="A520" s="94">
        <v>1.1000000000000001</v>
      </c>
      <c r="B520" s="95" t="s">
        <v>440</v>
      </c>
      <c r="C520" s="92"/>
      <c r="D520" s="92"/>
      <c r="E520" s="92"/>
      <c r="F520" s="92"/>
      <c r="G520" s="92"/>
      <c r="H520" s="92"/>
      <c r="I520" s="92"/>
      <c r="J520" s="92"/>
      <c r="K520" s="93"/>
      <c r="L520" s="93"/>
      <c r="M520" s="93"/>
      <c r="N520" s="93"/>
    </row>
    <row r="521" spans="1:14" ht="12.75" customHeight="1" x14ac:dyDescent="0.25">
      <c r="A521" s="94">
        <v>1.2</v>
      </c>
      <c r="B521" s="95" t="s">
        <v>441</v>
      </c>
      <c r="C521" s="92"/>
      <c r="D521" s="92"/>
      <c r="E521" s="92"/>
      <c r="F521" s="92"/>
      <c r="G521" s="92"/>
      <c r="H521" s="92"/>
      <c r="I521" s="92"/>
      <c r="J521" s="92"/>
      <c r="K521" s="93"/>
      <c r="L521" s="93"/>
      <c r="M521" s="93"/>
      <c r="N521" s="93"/>
    </row>
    <row r="522" spans="1:14" ht="12.75" customHeight="1" x14ac:dyDescent="0.25">
      <c r="A522" s="94" t="s">
        <v>110</v>
      </c>
      <c r="B522" s="96" t="s">
        <v>649</v>
      </c>
      <c r="C522" s="92"/>
      <c r="D522" s="92"/>
      <c r="E522" s="92"/>
      <c r="F522" s="92"/>
      <c r="G522" s="92"/>
      <c r="H522" s="92"/>
      <c r="I522" s="92"/>
      <c r="J522" s="92"/>
      <c r="K522" s="93"/>
      <c r="L522" s="93"/>
      <c r="M522" s="93"/>
      <c r="N522" s="93"/>
    </row>
    <row r="523" spans="1:14" ht="12.75" customHeight="1" x14ac:dyDescent="0.25">
      <c r="A523" s="94" t="s">
        <v>104</v>
      </c>
      <c r="B523" s="95" t="s">
        <v>650</v>
      </c>
      <c r="C523" s="92"/>
      <c r="D523" s="92"/>
      <c r="E523" s="92"/>
      <c r="F523" s="92"/>
      <c r="G523" s="92"/>
      <c r="H523" s="92"/>
      <c r="I523" s="92"/>
      <c r="J523" s="92"/>
      <c r="K523" s="93"/>
      <c r="L523" s="93"/>
      <c r="M523" s="93"/>
      <c r="N523" s="93"/>
    </row>
    <row r="524" spans="1:14" ht="12.75" customHeight="1" x14ac:dyDescent="0.25">
      <c r="A524" s="94">
        <v>1.3</v>
      </c>
      <c r="B524" s="97" t="s">
        <v>651</v>
      </c>
      <c r="C524" s="92"/>
      <c r="D524" s="92"/>
      <c r="E524" s="92"/>
      <c r="F524" s="92"/>
      <c r="G524" s="92"/>
      <c r="H524" s="92"/>
      <c r="I524" s="92"/>
      <c r="J524" s="92"/>
      <c r="K524" s="93"/>
      <c r="L524" s="93"/>
      <c r="M524" s="93"/>
      <c r="N524" s="93"/>
    </row>
    <row r="525" spans="1:14" ht="12.75" customHeight="1" x14ac:dyDescent="0.25">
      <c r="A525" s="94">
        <v>1.4</v>
      </c>
      <c r="B525" s="95" t="s">
        <v>119</v>
      </c>
      <c r="C525" s="92"/>
      <c r="D525" s="92"/>
      <c r="E525" s="92"/>
      <c r="F525" s="92"/>
      <c r="G525" s="92"/>
      <c r="H525" s="92"/>
      <c r="I525" s="92"/>
      <c r="J525" s="92"/>
      <c r="K525" s="93"/>
      <c r="L525" s="93"/>
      <c r="M525" s="93"/>
      <c r="N525" s="93"/>
    </row>
    <row r="526" spans="1:14" ht="12.75" customHeight="1" x14ac:dyDescent="0.25">
      <c r="A526" s="94">
        <v>1.5</v>
      </c>
      <c r="B526" s="95" t="s">
        <v>115</v>
      </c>
      <c r="C526" s="92"/>
      <c r="D526" s="92"/>
      <c r="E526" s="92"/>
      <c r="F526" s="92"/>
      <c r="G526" s="92"/>
      <c r="H526" s="92"/>
      <c r="I526" s="92"/>
      <c r="J526" s="92"/>
      <c r="K526" s="93"/>
      <c r="L526" s="93"/>
      <c r="M526" s="93"/>
      <c r="N526" s="93"/>
    </row>
    <row r="527" spans="1:14" ht="12.75" customHeight="1" x14ac:dyDescent="0.25">
      <c r="A527" s="94">
        <v>1.6</v>
      </c>
      <c r="B527" s="97" t="s">
        <v>652</v>
      </c>
      <c r="C527" s="92"/>
      <c r="D527" s="92"/>
      <c r="E527" s="92"/>
      <c r="F527" s="92"/>
      <c r="G527" s="92"/>
      <c r="H527" s="92"/>
      <c r="I527" s="92"/>
      <c r="J527" s="92"/>
      <c r="K527" s="93"/>
      <c r="L527" s="93"/>
      <c r="M527" s="93"/>
      <c r="N527" s="93"/>
    </row>
    <row r="528" spans="1:14" ht="12.75" customHeight="1" x14ac:dyDescent="0.25">
      <c r="A528" s="94">
        <v>1.7</v>
      </c>
      <c r="B528" s="95" t="s">
        <v>103</v>
      </c>
      <c r="C528" s="92"/>
      <c r="D528" s="92"/>
      <c r="E528" s="92"/>
      <c r="F528" s="92"/>
      <c r="G528" s="92"/>
      <c r="H528" s="92"/>
      <c r="I528" s="92"/>
      <c r="J528" s="92"/>
      <c r="K528" s="93"/>
      <c r="L528" s="93"/>
      <c r="M528" s="93"/>
      <c r="N528" s="93"/>
    </row>
    <row r="529" spans="1:14" ht="12.75" customHeight="1" x14ac:dyDescent="0.25">
      <c r="A529" s="94">
        <v>1.8</v>
      </c>
      <c r="B529" s="95" t="s">
        <v>653</v>
      </c>
      <c r="C529" s="92"/>
      <c r="D529" s="92"/>
      <c r="E529" s="92"/>
      <c r="F529" s="92"/>
      <c r="G529" s="92"/>
      <c r="H529" s="92"/>
      <c r="I529" s="92"/>
      <c r="J529" s="92"/>
      <c r="K529" s="93"/>
      <c r="L529" s="93"/>
      <c r="M529" s="93"/>
      <c r="N529" s="93"/>
    </row>
    <row r="530" spans="1:14" ht="12.75" customHeight="1" x14ac:dyDescent="0.25">
      <c r="A530" s="94">
        <v>1.9</v>
      </c>
      <c r="B530" s="95" t="s">
        <v>654</v>
      </c>
      <c r="C530" s="92"/>
      <c r="D530" s="92"/>
      <c r="E530" s="92"/>
      <c r="F530" s="92"/>
      <c r="G530" s="92"/>
      <c r="H530" s="92"/>
      <c r="I530" s="92"/>
      <c r="J530" s="92"/>
      <c r="K530" s="93"/>
      <c r="L530" s="93"/>
      <c r="M530" s="93"/>
      <c r="N530" s="93"/>
    </row>
    <row r="531" spans="1:14" ht="12.75" customHeight="1" x14ac:dyDescent="0.25">
      <c r="A531" s="94" t="s">
        <v>655</v>
      </c>
      <c r="B531" s="91" t="s">
        <v>656</v>
      </c>
      <c r="C531" s="92"/>
      <c r="D531" s="92"/>
      <c r="E531" s="92"/>
      <c r="F531" s="92"/>
      <c r="G531" s="92"/>
      <c r="H531" s="92"/>
      <c r="I531" s="92"/>
      <c r="J531" s="92"/>
      <c r="K531" s="92"/>
      <c r="L531" s="92"/>
      <c r="M531" s="92"/>
      <c r="N531" s="92"/>
    </row>
    <row r="532" spans="1:14" ht="12.75" customHeight="1" x14ac:dyDescent="0.25">
      <c r="A532" s="90">
        <v>2</v>
      </c>
      <c r="B532" s="91" t="s">
        <v>105</v>
      </c>
      <c r="C532" s="92"/>
      <c r="D532" s="92"/>
      <c r="E532" s="92"/>
      <c r="F532" s="92"/>
      <c r="G532" s="92"/>
      <c r="H532" s="92"/>
      <c r="I532" s="92"/>
      <c r="J532" s="92"/>
      <c r="K532" s="93"/>
      <c r="L532" s="93"/>
      <c r="M532" s="93"/>
      <c r="N532" s="93"/>
    </row>
    <row r="533" spans="1:14" ht="12.75" customHeight="1" x14ac:dyDescent="0.25">
      <c r="A533" s="94">
        <v>2.1</v>
      </c>
      <c r="B533" s="95" t="s">
        <v>466</v>
      </c>
      <c r="C533" s="92"/>
      <c r="D533" s="92"/>
      <c r="E533" s="92"/>
      <c r="F533" s="92"/>
      <c r="G533" s="92"/>
      <c r="H533" s="92"/>
      <c r="I533" s="92"/>
      <c r="J533" s="92"/>
      <c r="K533" s="93"/>
      <c r="L533" s="93"/>
      <c r="M533" s="93"/>
      <c r="N533" s="93"/>
    </row>
    <row r="534" spans="1:14" ht="12.75" customHeight="1" x14ac:dyDescent="0.25">
      <c r="A534" s="94">
        <v>2.2000000000000002</v>
      </c>
      <c r="B534" s="97" t="s">
        <v>657</v>
      </c>
      <c r="C534" s="92"/>
      <c r="D534" s="92"/>
      <c r="E534" s="92"/>
      <c r="F534" s="92"/>
      <c r="G534" s="92"/>
      <c r="H534" s="92"/>
      <c r="I534" s="92"/>
      <c r="J534" s="92"/>
      <c r="K534" s="93"/>
      <c r="L534" s="93"/>
      <c r="M534" s="93"/>
      <c r="N534" s="93"/>
    </row>
    <row r="535" spans="1:14" ht="12.75" customHeight="1" x14ac:dyDescent="0.25">
      <c r="A535" s="94" t="s">
        <v>345</v>
      </c>
      <c r="B535" s="97" t="s">
        <v>658</v>
      </c>
      <c r="C535" s="92"/>
      <c r="D535" s="92"/>
      <c r="E535" s="92"/>
      <c r="F535" s="92"/>
      <c r="G535" s="92"/>
      <c r="H535" s="92"/>
      <c r="I535" s="92"/>
      <c r="J535" s="92"/>
      <c r="K535" s="93"/>
      <c r="L535" s="93"/>
      <c r="M535" s="93"/>
      <c r="N535" s="93"/>
    </row>
    <row r="536" spans="1:14" ht="12.75" customHeight="1" x14ac:dyDescent="0.25">
      <c r="A536" s="94" t="s">
        <v>347</v>
      </c>
      <c r="B536" s="95" t="s">
        <v>659</v>
      </c>
      <c r="C536" s="92"/>
      <c r="D536" s="92"/>
      <c r="E536" s="92"/>
      <c r="F536" s="92"/>
      <c r="G536" s="92"/>
      <c r="H536" s="92"/>
      <c r="I536" s="92"/>
      <c r="J536" s="92"/>
      <c r="K536" s="93"/>
      <c r="L536" s="93"/>
      <c r="M536" s="93"/>
      <c r="N536" s="93"/>
    </row>
    <row r="537" spans="1:14" ht="12.75" customHeight="1" x14ac:dyDescent="0.25">
      <c r="A537" s="94">
        <v>2.2999999999999998</v>
      </c>
      <c r="B537" s="95" t="s">
        <v>468</v>
      </c>
      <c r="C537" s="92"/>
      <c r="D537" s="92"/>
      <c r="E537" s="92"/>
      <c r="F537" s="92"/>
      <c r="G537" s="92"/>
      <c r="H537" s="92"/>
      <c r="I537" s="92"/>
      <c r="J537" s="92"/>
      <c r="K537" s="93"/>
      <c r="L537" s="93"/>
      <c r="M537" s="93"/>
      <c r="N537" s="93"/>
    </row>
    <row r="538" spans="1:14" ht="12.75" customHeight="1" x14ac:dyDescent="0.25">
      <c r="A538" s="94">
        <v>2.4</v>
      </c>
      <c r="B538" s="95" t="s">
        <v>469</v>
      </c>
      <c r="C538" s="92"/>
      <c r="D538" s="92"/>
      <c r="E538" s="92"/>
      <c r="F538" s="92"/>
      <c r="G538" s="92"/>
      <c r="H538" s="92"/>
      <c r="I538" s="92"/>
      <c r="J538" s="92"/>
      <c r="K538" s="93"/>
      <c r="L538" s="93"/>
      <c r="M538" s="93"/>
      <c r="N538" s="93"/>
    </row>
    <row r="539" spans="1:14" ht="12.75" customHeight="1" x14ac:dyDescent="0.25">
      <c r="A539" s="94">
        <v>2.5</v>
      </c>
      <c r="B539" s="95" t="s">
        <v>470</v>
      </c>
      <c r="C539" s="92"/>
      <c r="D539" s="92"/>
      <c r="E539" s="92"/>
      <c r="F539" s="92"/>
      <c r="G539" s="92"/>
      <c r="H539" s="92"/>
      <c r="I539" s="92"/>
      <c r="J539" s="92"/>
      <c r="K539" s="93"/>
      <c r="L539" s="93"/>
      <c r="M539" s="93"/>
      <c r="N539" s="93"/>
    </row>
    <row r="540" spans="1:14" ht="12.75" customHeight="1" x14ac:dyDescent="0.25">
      <c r="A540" s="94">
        <v>2.6</v>
      </c>
      <c r="B540" s="95" t="s">
        <v>471</v>
      </c>
      <c r="C540" s="92"/>
      <c r="D540" s="92"/>
      <c r="E540" s="92"/>
      <c r="F540" s="92"/>
      <c r="G540" s="92"/>
      <c r="H540" s="92"/>
      <c r="I540" s="92"/>
      <c r="J540" s="92"/>
      <c r="K540" s="93"/>
      <c r="L540" s="93"/>
      <c r="M540" s="93"/>
      <c r="N540" s="93"/>
    </row>
    <row r="541" spans="1:14" ht="12.75" customHeight="1" x14ac:dyDescent="0.25">
      <c r="A541" s="94">
        <v>2.7</v>
      </c>
      <c r="B541" s="95" t="s">
        <v>653</v>
      </c>
      <c r="C541" s="92"/>
      <c r="D541" s="92"/>
      <c r="E541" s="92"/>
      <c r="F541" s="92"/>
      <c r="G541" s="92"/>
      <c r="H541" s="92"/>
      <c r="I541" s="92"/>
      <c r="J541" s="92"/>
      <c r="K541" s="93"/>
      <c r="L541" s="93"/>
      <c r="M541" s="93"/>
      <c r="N541" s="93"/>
    </row>
    <row r="542" spans="1:14" ht="12.75" customHeight="1" x14ac:dyDescent="0.25">
      <c r="A542" s="94" t="s">
        <v>660</v>
      </c>
      <c r="B542" s="97" t="s">
        <v>661</v>
      </c>
      <c r="C542" s="92"/>
      <c r="D542" s="92"/>
      <c r="E542" s="92"/>
      <c r="F542" s="92"/>
      <c r="G542" s="92"/>
      <c r="H542" s="92"/>
      <c r="I542" s="92"/>
      <c r="J542" s="92"/>
      <c r="K542" s="93"/>
      <c r="L542" s="93"/>
      <c r="M542" s="93"/>
      <c r="N542" s="93"/>
    </row>
    <row r="543" spans="1:14" ht="12.75" customHeight="1" x14ac:dyDescent="0.25">
      <c r="A543" s="90">
        <v>2.8</v>
      </c>
      <c r="B543" s="98" t="s">
        <v>662</v>
      </c>
      <c r="C543" s="92"/>
      <c r="D543" s="92"/>
      <c r="E543" s="92"/>
      <c r="F543" s="92"/>
      <c r="G543" s="92"/>
      <c r="H543" s="92"/>
      <c r="I543" s="92"/>
      <c r="J543" s="92"/>
      <c r="K543" s="92"/>
      <c r="L543" s="92"/>
      <c r="M543" s="92"/>
      <c r="N543" s="92"/>
    </row>
    <row r="544" spans="1:14" ht="12.75" customHeight="1" x14ac:dyDescent="0.25">
      <c r="A544" s="94">
        <v>3</v>
      </c>
      <c r="B544" s="97" t="s">
        <v>663</v>
      </c>
      <c r="C544" s="92"/>
      <c r="D544" s="92"/>
      <c r="E544" s="92"/>
      <c r="F544" s="92"/>
      <c r="G544" s="92"/>
      <c r="H544" s="92"/>
      <c r="I544" s="92"/>
      <c r="J544" s="92"/>
      <c r="K544" s="93"/>
      <c r="L544" s="93"/>
      <c r="M544" s="93"/>
      <c r="N544" s="93"/>
    </row>
    <row r="545" spans="1:14" ht="12.75" customHeight="1" x14ac:dyDescent="0.25">
      <c r="A545" s="94">
        <v>3.1</v>
      </c>
      <c r="B545" s="95" t="s">
        <v>664</v>
      </c>
      <c r="C545" s="92"/>
      <c r="D545" s="92"/>
      <c r="E545" s="92"/>
      <c r="F545" s="92"/>
      <c r="G545" s="92"/>
      <c r="H545" s="92"/>
      <c r="I545" s="92"/>
      <c r="J545" s="92"/>
      <c r="K545" s="93"/>
      <c r="L545" s="93"/>
      <c r="M545" s="93"/>
      <c r="N545" s="93"/>
    </row>
    <row r="546" spans="1:14" ht="12.75" customHeight="1" x14ac:dyDescent="0.25">
      <c r="A546" s="94">
        <v>3.2</v>
      </c>
      <c r="B546" s="95" t="s">
        <v>665</v>
      </c>
      <c r="C546" s="92"/>
      <c r="D546" s="92"/>
      <c r="E546" s="92"/>
      <c r="F546" s="92"/>
      <c r="G546" s="92"/>
      <c r="H546" s="92"/>
      <c r="I546" s="92"/>
      <c r="J546" s="92"/>
      <c r="K546" s="93"/>
      <c r="L546" s="93"/>
      <c r="M546" s="93"/>
      <c r="N546" s="93"/>
    </row>
    <row r="547" spans="1:14" ht="12.75" customHeight="1" x14ac:dyDescent="0.25">
      <c r="A547" s="99">
        <v>4</v>
      </c>
      <c r="B547" s="91" t="s">
        <v>666</v>
      </c>
      <c r="C547" s="92"/>
      <c r="D547" s="92"/>
      <c r="E547" s="92"/>
      <c r="F547" s="92"/>
      <c r="G547" s="92"/>
      <c r="H547" s="92"/>
      <c r="I547" s="92"/>
      <c r="J547" s="92"/>
      <c r="K547" s="92"/>
      <c r="L547" s="92"/>
      <c r="M547" s="92"/>
      <c r="N547" s="92"/>
    </row>
    <row r="548" spans="1:14" ht="12.75" customHeight="1" x14ac:dyDescent="0.25">
      <c r="A548" s="100" t="s">
        <v>667</v>
      </c>
      <c r="B548" s="100"/>
      <c r="C548" s="222"/>
      <c r="D548" s="222"/>
      <c r="E548" s="222"/>
      <c r="F548" s="222"/>
      <c r="G548" s="222"/>
      <c r="H548" s="222"/>
      <c r="I548" s="222"/>
      <c r="J548" s="222"/>
      <c r="K548" s="4"/>
      <c r="L548" s="4"/>
      <c r="M548" s="4"/>
      <c r="N548" s="4"/>
    </row>
  </sheetData>
  <mergeCells count="387">
    <mergeCell ref="B384:C384"/>
    <mergeCell ref="D384:F384"/>
    <mergeCell ref="G384:I384"/>
    <mergeCell ref="B385:C385"/>
    <mergeCell ref="D385:F385"/>
    <mergeCell ref="G385:I385"/>
    <mergeCell ref="H391:J391"/>
    <mergeCell ref="B391:D391"/>
    <mergeCell ref="B392:D392"/>
    <mergeCell ref="E392:G392"/>
    <mergeCell ref="H392:J392"/>
    <mergeCell ref="B393:D393"/>
    <mergeCell ref="E393:G393"/>
    <mergeCell ref="H393:J393"/>
    <mergeCell ref="F399:G399"/>
    <mergeCell ref="H399:J399"/>
    <mergeCell ref="B394:D394"/>
    <mergeCell ref="E394:G394"/>
    <mergeCell ref="H394:J394"/>
    <mergeCell ref="B398:E398"/>
    <mergeCell ref="F398:G398"/>
    <mergeCell ref="H398:J398"/>
    <mergeCell ref="B399:E399"/>
    <mergeCell ref="F402:G402"/>
    <mergeCell ref="H402:J402"/>
    <mergeCell ref="B400:E400"/>
    <mergeCell ref="F400:G400"/>
    <mergeCell ref="H400:J400"/>
    <mergeCell ref="B401:E401"/>
    <mergeCell ref="F401:G401"/>
    <mergeCell ref="H401:J401"/>
    <mergeCell ref="B402:E402"/>
    <mergeCell ref="B439:E439"/>
    <mergeCell ref="B440:E440"/>
    <mergeCell ref="F440:G440"/>
    <mergeCell ref="H440:J440"/>
    <mergeCell ref="B441:E441"/>
    <mergeCell ref="F441:G441"/>
    <mergeCell ref="H441:J441"/>
    <mergeCell ref="B437:E437"/>
    <mergeCell ref="F437:G437"/>
    <mergeCell ref="H437:J437"/>
    <mergeCell ref="F438:G438"/>
    <mergeCell ref="H438:J438"/>
    <mergeCell ref="F439:G439"/>
    <mergeCell ref="H439:J439"/>
    <mergeCell ref="G472:H472"/>
    <mergeCell ref="I472:J472"/>
    <mergeCell ref="B474:N474"/>
    <mergeCell ref="B476:G476"/>
    <mergeCell ref="A478:N478"/>
    <mergeCell ref="B480:E480"/>
    <mergeCell ref="F480:G480"/>
    <mergeCell ref="H480:J480"/>
    <mergeCell ref="F481:G481"/>
    <mergeCell ref="H481:J481"/>
    <mergeCell ref="B481:E481"/>
    <mergeCell ref="A472:B472"/>
    <mergeCell ref="C472:D472"/>
    <mergeCell ref="E472:F472"/>
    <mergeCell ref="B482:E482"/>
    <mergeCell ref="F482:G482"/>
    <mergeCell ref="H482:J482"/>
    <mergeCell ref="B483:E483"/>
    <mergeCell ref="F483:G483"/>
    <mergeCell ref="H483:J483"/>
    <mergeCell ref="F490:G490"/>
    <mergeCell ref="H490:I490"/>
    <mergeCell ref="B484:E484"/>
    <mergeCell ref="F484:G484"/>
    <mergeCell ref="H484:J484"/>
    <mergeCell ref="B486:J486"/>
    <mergeCell ref="B488:G488"/>
    <mergeCell ref="B490:C490"/>
    <mergeCell ref="D490:E490"/>
    <mergeCell ref="B491:C491"/>
    <mergeCell ref="D491:E491"/>
    <mergeCell ref="F491:G491"/>
    <mergeCell ref="H491:I491"/>
    <mergeCell ref="B492:C492"/>
    <mergeCell ref="D492:E492"/>
    <mergeCell ref="F492:G492"/>
    <mergeCell ref="D517:M517"/>
    <mergeCell ref="N517:N518"/>
    <mergeCell ref="H492:I492"/>
    <mergeCell ref="A496:J497"/>
    <mergeCell ref="A498:J498"/>
    <mergeCell ref="A499:J499"/>
    <mergeCell ref="A500:J500"/>
    <mergeCell ref="A501:J501"/>
    <mergeCell ref="A512:J512"/>
    <mergeCell ref="A513:J513"/>
    <mergeCell ref="A517:A518"/>
    <mergeCell ref="B517:B518"/>
    <mergeCell ref="C517:C518"/>
    <mergeCell ref="A502:J502"/>
    <mergeCell ref="A506:J507"/>
    <mergeCell ref="A508:J508"/>
    <mergeCell ref="A509:J509"/>
    <mergeCell ref="F436:G436"/>
    <mergeCell ref="H436:J436"/>
    <mergeCell ref="B403:E403"/>
    <mergeCell ref="F403:G403"/>
    <mergeCell ref="H403:J403"/>
    <mergeCell ref="A408:A409"/>
    <mergeCell ref="E408:F408"/>
    <mergeCell ref="G408:H408"/>
    <mergeCell ref="B436:E436"/>
    <mergeCell ref="A445:E446"/>
    <mergeCell ref="F445:F446"/>
    <mergeCell ref="G445:J445"/>
    <mergeCell ref="G446:H446"/>
    <mergeCell ref="I446:J446"/>
    <mergeCell ref="A447:E447"/>
    <mergeCell ref="A448:E448"/>
    <mergeCell ref="A449:E449"/>
    <mergeCell ref="A450:E450"/>
    <mergeCell ref="E454:F454"/>
    <mergeCell ref="G454:H454"/>
    <mergeCell ref="G455:H455"/>
    <mergeCell ref="G457:H457"/>
    <mergeCell ref="A460:J460"/>
    <mergeCell ref="G469:H469"/>
    <mergeCell ref="I469:J469"/>
    <mergeCell ref="G470:H470"/>
    <mergeCell ref="I470:J470"/>
    <mergeCell ref="C469:D469"/>
    <mergeCell ref="E469:F469"/>
    <mergeCell ref="A470:B470"/>
    <mergeCell ref="C470:D470"/>
    <mergeCell ref="E470:F470"/>
    <mergeCell ref="G471:H471"/>
    <mergeCell ref="I471:J471"/>
    <mergeCell ref="A461:J461"/>
    <mergeCell ref="A462:J462"/>
    <mergeCell ref="A463:J463"/>
    <mergeCell ref="A464:J464"/>
    <mergeCell ref="B467:H467"/>
    <mergeCell ref="A469:B469"/>
    <mergeCell ref="C471:D471"/>
    <mergeCell ref="E471:F471"/>
    <mergeCell ref="A471:B471"/>
    <mergeCell ref="A510:J510"/>
    <mergeCell ref="A511:J511"/>
    <mergeCell ref="F69:G69"/>
    <mergeCell ref="H69:I69"/>
    <mergeCell ref="B67:E67"/>
    <mergeCell ref="F67:G67"/>
    <mergeCell ref="H67:I67"/>
    <mergeCell ref="B68:E68"/>
    <mergeCell ref="F68:G68"/>
    <mergeCell ref="H68:I68"/>
    <mergeCell ref="B69:E69"/>
    <mergeCell ref="B70:E70"/>
    <mergeCell ref="F70:G70"/>
    <mergeCell ref="H70:I70"/>
    <mergeCell ref="F74:G74"/>
    <mergeCell ref="H74:I74"/>
    <mergeCell ref="B75:E75"/>
    <mergeCell ref="H75:I75"/>
    <mergeCell ref="F75:G75"/>
    <mergeCell ref="F76:G76"/>
    <mergeCell ref="H76:I76"/>
    <mergeCell ref="B81:E81"/>
    <mergeCell ref="F77:G77"/>
    <mergeCell ref="H77:I77"/>
    <mergeCell ref="F44:G44"/>
    <mergeCell ref="H44:I44"/>
    <mergeCell ref="B45:E45"/>
    <mergeCell ref="F45:G45"/>
    <mergeCell ref="H45:I45"/>
    <mergeCell ref="D55:E55"/>
    <mergeCell ref="D56:E56"/>
    <mergeCell ref="F56:G56"/>
    <mergeCell ref="H56:I56"/>
    <mergeCell ref="A1:I2"/>
    <mergeCell ref="A4:D4"/>
    <mergeCell ref="B41:E41"/>
    <mergeCell ref="F41:G41"/>
    <mergeCell ref="H41:I41"/>
    <mergeCell ref="F42:G42"/>
    <mergeCell ref="H42:I42"/>
    <mergeCell ref="F43:G43"/>
    <mergeCell ref="H43:I43"/>
    <mergeCell ref="F78:G78"/>
    <mergeCell ref="H78:I78"/>
    <mergeCell ref="H57:I57"/>
    <mergeCell ref="D61:E61"/>
    <mergeCell ref="F61:G61"/>
    <mergeCell ref="H61:I61"/>
    <mergeCell ref="D58:E58"/>
    <mergeCell ref="F58:G58"/>
    <mergeCell ref="H58:I58"/>
    <mergeCell ref="D59:E59"/>
    <mergeCell ref="F59:G59"/>
    <mergeCell ref="H59:I59"/>
    <mergeCell ref="D60:E60"/>
    <mergeCell ref="F60:G60"/>
    <mergeCell ref="H60:I60"/>
    <mergeCell ref="D57:E57"/>
    <mergeCell ref="F57:G57"/>
    <mergeCell ref="A84:J86"/>
    <mergeCell ref="F81:G81"/>
    <mergeCell ref="H81:I81"/>
    <mergeCell ref="C100:H100"/>
    <mergeCell ref="I100:I101"/>
    <mergeCell ref="A112:J113"/>
    <mergeCell ref="A115:J116"/>
    <mergeCell ref="A124:J125"/>
    <mergeCell ref="F65:G65"/>
    <mergeCell ref="H65:I65"/>
    <mergeCell ref="B66:E66"/>
    <mergeCell ref="F66:G66"/>
    <mergeCell ref="H66:I66"/>
    <mergeCell ref="B82:E82"/>
    <mergeCell ref="F82:G82"/>
    <mergeCell ref="H82:I82"/>
    <mergeCell ref="F83:G83"/>
    <mergeCell ref="H83:I83"/>
    <mergeCell ref="B79:E79"/>
    <mergeCell ref="F79:G79"/>
    <mergeCell ref="H79:I79"/>
    <mergeCell ref="B80:E80"/>
    <mergeCell ref="F80:G80"/>
    <mergeCell ref="H80:I80"/>
    <mergeCell ref="D133:F133"/>
    <mergeCell ref="G133:I133"/>
    <mergeCell ref="D134:F134"/>
    <mergeCell ref="G134:I134"/>
    <mergeCell ref="D135:F135"/>
    <mergeCell ref="G135:I135"/>
    <mergeCell ref="D136:F136"/>
    <mergeCell ref="G136:I136"/>
    <mergeCell ref="D137:F137"/>
    <mergeCell ref="G137:I137"/>
    <mergeCell ref="B138:C138"/>
    <mergeCell ref="D138:F138"/>
    <mergeCell ref="G138:I138"/>
    <mergeCell ref="B206:C206"/>
    <mergeCell ref="D206:E206"/>
    <mergeCell ref="G206:H206"/>
    <mergeCell ref="I206:J206"/>
    <mergeCell ref="D207:E207"/>
    <mergeCell ref="G207:H207"/>
    <mergeCell ref="I207:J207"/>
    <mergeCell ref="G209:H209"/>
    <mergeCell ref="I209:J209"/>
    <mergeCell ref="B207:C207"/>
    <mergeCell ref="B208:C208"/>
    <mergeCell ref="D208:E208"/>
    <mergeCell ref="G208:H208"/>
    <mergeCell ref="I208:J208"/>
    <mergeCell ref="B209:C209"/>
    <mergeCell ref="D209:E209"/>
    <mergeCell ref="A213:A214"/>
    <mergeCell ref="B213:D214"/>
    <mergeCell ref="E213:F213"/>
    <mergeCell ref="G213:H213"/>
    <mergeCell ref="A224:A225"/>
    <mergeCell ref="E224:F224"/>
    <mergeCell ref="G224:H224"/>
    <mergeCell ref="B224:D225"/>
    <mergeCell ref="A231:J231"/>
    <mergeCell ref="A241:J244"/>
    <mergeCell ref="B254:D254"/>
    <mergeCell ref="E254:F254"/>
    <mergeCell ref="G254:H254"/>
    <mergeCell ref="G255:H255"/>
    <mergeCell ref="E255:F255"/>
    <mergeCell ref="E256:F256"/>
    <mergeCell ref="G256:H256"/>
    <mergeCell ref="E257:F257"/>
    <mergeCell ref="G257:H257"/>
    <mergeCell ref="B263:D263"/>
    <mergeCell ref="G263:H263"/>
    <mergeCell ref="E263:F263"/>
    <mergeCell ref="E264:F264"/>
    <mergeCell ref="G264:H264"/>
    <mergeCell ref="E265:F265"/>
    <mergeCell ref="G265:H265"/>
    <mergeCell ref="E266:F266"/>
    <mergeCell ref="G266:H266"/>
    <mergeCell ref="E267:F267"/>
    <mergeCell ref="G267:H267"/>
    <mergeCell ref="B271:D271"/>
    <mergeCell ref="E271:F271"/>
    <mergeCell ref="G271:H271"/>
    <mergeCell ref="E272:F272"/>
    <mergeCell ref="G272:H272"/>
    <mergeCell ref="E273:F273"/>
    <mergeCell ref="G273:H273"/>
    <mergeCell ref="E274:F274"/>
    <mergeCell ref="G274:H274"/>
    <mergeCell ref="E275:F275"/>
    <mergeCell ref="G275:H275"/>
    <mergeCell ref="G276:H276"/>
    <mergeCell ref="G277:H277"/>
    <mergeCell ref="E276:F276"/>
    <mergeCell ref="E277:F277"/>
    <mergeCell ref="E282:F282"/>
    <mergeCell ref="G282:H282"/>
    <mergeCell ref="B291:C291"/>
    <mergeCell ref="E304:F304"/>
    <mergeCell ref="G304:H304"/>
    <mergeCell ref="E305:F305"/>
    <mergeCell ref="G305:H305"/>
    <mergeCell ref="E314:F314"/>
    <mergeCell ref="G314:H314"/>
    <mergeCell ref="D332:E332"/>
    <mergeCell ref="F332:G332"/>
    <mergeCell ref="H332:H333"/>
    <mergeCell ref="D341:E341"/>
    <mergeCell ref="F341:G341"/>
    <mergeCell ref="H341:I341"/>
    <mergeCell ref="D342:E342"/>
    <mergeCell ref="F342:G342"/>
    <mergeCell ref="H342:I342"/>
    <mergeCell ref="D343:E343"/>
    <mergeCell ref="F343:G343"/>
    <mergeCell ref="H343:I343"/>
    <mergeCell ref="B344:C344"/>
    <mergeCell ref="D344:E344"/>
    <mergeCell ref="F344:G344"/>
    <mergeCell ref="H344:I344"/>
    <mergeCell ref="B345:C345"/>
    <mergeCell ref="H345:I345"/>
    <mergeCell ref="F347:G347"/>
    <mergeCell ref="H347:I347"/>
    <mergeCell ref="D345:E345"/>
    <mergeCell ref="F345:G345"/>
    <mergeCell ref="D346:E346"/>
    <mergeCell ref="F346:G346"/>
    <mergeCell ref="H346:I346"/>
    <mergeCell ref="B347:C347"/>
    <mergeCell ref="D347:E347"/>
    <mergeCell ref="B348:C348"/>
    <mergeCell ref="D348:E348"/>
    <mergeCell ref="F348:G348"/>
    <mergeCell ref="H348:I348"/>
    <mergeCell ref="D349:E349"/>
    <mergeCell ref="F349:G349"/>
    <mergeCell ref="H349:I349"/>
    <mergeCell ref="B349:C349"/>
    <mergeCell ref="B350:C350"/>
    <mergeCell ref="F350:G350"/>
    <mergeCell ref="H350:I350"/>
    <mergeCell ref="B353:I353"/>
    <mergeCell ref="H357:I357"/>
    <mergeCell ref="A365:I366"/>
    <mergeCell ref="D350:E350"/>
    <mergeCell ref="D375:F375"/>
    <mergeCell ref="G375:I375"/>
    <mergeCell ref="D376:F376"/>
    <mergeCell ref="G376:I376"/>
    <mergeCell ref="D377:F377"/>
    <mergeCell ref="G377:I377"/>
    <mergeCell ref="H358:I358"/>
    <mergeCell ref="H359:I359"/>
    <mergeCell ref="H360:I360"/>
    <mergeCell ref="H361:I361"/>
    <mergeCell ref="B361:C361"/>
    <mergeCell ref="D361:E361"/>
    <mergeCell ref="D357:E357"/>
    <mergeCell ref="B358:C358"/>
    <mergeCell ref="D358:E358"/>
    <mergeCell ref="B359:C359"/>
    <mergeCell ref="D359:E359"/>
    <mergeCell ref="B360:C360"/>
    <mergeCell ref="D360:E360"/>
    <mergeCell ref="D380:F380"/>
    <mergeCell ref="G380:I380"/>
    <mergeCell ref="B378:C378"/>
    <mergeCell ref="D378:F378"/>
    <mergeCell ref="G378:I378"/>
    <mergeCell ref="B379:C379"/>
    <mergeCell ref="D379:F379"/>
    <mergeCell ref="G379:I379"/>
    <mergeCell ref="B380:C380"/>
    <mergeCell ref="D383:F383"/>
    <mergeCell ref="G383:I383"/>
    <mergeCell ref="B381:C381"/>
    <mergeCell ref="D381:F381"/>
    <mergeCell ref="G381:I381"/>
    <mergeCell ref="B382:C382"/>
    <mergeCell ref="D382:F382"/>
    <mergeCell ref="G382:I382"/>
    <mergeCell ref="B383:C383"/>
  </mergeCells>
  <pageMargins left="0.7" right="0.7" top="0.75" bottom="0.75" header="0" footer="0"/>
  <pageSetup scale="59" fitToHeight="0"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I200"/>
  <sheetViews>
    <sheetView view="pageBreakPreview" zoomScaleNormal="100" zoomScaleSheetLayoutView="100" workbookViewId="0">
      <pane ySplit="6" topLeftCell="A7" activePane="bottomLeft" state="frozen"/>
      <selection activeCell="K515" sqref="K515:N515"/>
      <selection pane="bottomLeft" activeCell="G15" sqref="G15"/>
    </sheetView>
  </sheetViews>
  <sheetFormatPr defaultColWidth="12.6640625" defaultRowHeight="15" customHeight="1" x14ac:dyDescent="0.25"/>
  <cols>
    <col min="1" max="1" width="21.5546875" style="356" bestFit="1" customWidth="1"/>
    <col min="2" max="3" width="16.109375" style="659" customWidth="1"/>
    <col min="4" max="5" width="17.6640625" style="488" customWidth="1"/>
    <col min="6" max="6" width="11.44140625" style="488" hidden="1" customWidth="1"/>
    <col min="7" max="7" width="17.6640625" style="488" customWidth="1"/>
    <col min="8" max="8" width="18.109375" style="488" customWidth="1"/>
    <col min="9" max="9" width="1.44140625" style="322" customWidth="1"/>
    <col min="10" max="16384" width="12.6640625" style="322"/>
  </cols>
  <sheetData>
    <row r="1" spans="1:9" ht="12.75" customHeight="1" x14ac:dyDescent="0.25">
      <c r="A1" s="474" t="str">
        <f>Info!F6</f>
        <v>"АЗЕЙ" ХХК</v>
      </c>
      <c r="C1" s="660"/>
      <c r="D1" s="475"/>
      <c r="E1" s="475"/>
      <c r="F1" s="475"/>
      <c r="G1" s="475"/>
      <c r="H1" s="476" t="s">
        <v>668</v>
      </c>
      <c r="I1" s="477"/>
    </row>
    <row r="2" spans="1:9" ht="12.75" customHeight="1" x14ac:dyDescent="0.25">
      <c r="A2" s="474"/>
      <c r="B2" s="660"/>
      <c r="C2" s="660"/>
      <c r="D2" s="475"/>
      <c r="E2" s="475"/>
      <c r="F2" s="475"/>
      <c r="G2" s="475"/>
      <c r="H2" s="475"/>
      <c r="I2" s="477"/>
    </row>
    <row r="3" spans="1:9" ht="15.6" x14ac:dyDescent="0.3">
      <c r="A3" s="478"/>
      <c r="B3" s="661"/>
      <c r="C3" s="661" t="s">
        <v>669</v>
      </c>
      <c r="D3" s="479"/>
      <c r="E3" s="479"/>
      <c r="F3" s="479"/>
      <c r="G3" s="479"/>
      <c r="H3" s="480" t="s">
        <v>670</v>
      </c>
      <c r="I3" s="477"/>
    </row>
    <row r="4" spans="1:9" ht="12.75" customHeight="1" thickBot="1" x14ac:dyDescent="0.3">
      <c r="A4" s="474"/>
      <c r="B4" s="660"/>
      <c r="C4" s="660"/>
      <c r="D4" s="475"/>
      <c r="E4" s="475"/>
      <c r="F4" s="475"/>
      <c r="G4" s="475"/>
      <c r="H4" s="481">
        <f>Info!F9</f>
        <v>44926</v>
      </c>
      <c r="I4" s="477"/>
    </row>
    <row r="5" spans="1:9" ht="12.75" customHeight="1" x14ac:dyDescent="0.25">
      <c r="A5" s="482"/>
      <c r="B5" s="801" t="s">
        <v>389</v>
      </c>
      <c r="C5" s="802"/>
      <c r="D5" s="799" t="s">
        <v>671</v>
      </c>
      <c r="E5" s="800"/>
      <c r="F5" s="483"/>
      <c r="G5" s="803" t="s">
        <v>390</v>
      </c>
      <c r="H5" s="800"/>
      <c r="I5" s="477"/>
    </row>
    <row r="6" spans="1:9" ht="14.4" thickBot="1" x14ac:dyDescent="0.3">
      <c r="A6" s="484" t="s">
        <v>672</v>
      </c>
      <c r="B6" s="662" t="s">
        <v>673</v>
      </c>
      <c r="C6" s="663" t="s">
        <v>674</v>
      </c>
      <c r="D6" s="485" t="s">
        <v>675</v>
      </c>
      <c r="E6" s="486" t="s">
        <v>676</v>
      </c>
      <c r="F6" s="487" t="s">
        <v>375</v>
      </c>
      <c r="G6" s="485" t="s">
        <v>45</v>
      </c>
      <c r="H6" s="486" t="s">
        <v>46</v>
      </c>
      <c r="I6" s="477"/>
    </row>
    <row r="7" spans="1:9" ht="12.75" customHeight="1" x14ac:dyDescent="0.25">
      <c r="A7" s="356" t="s">
        <v>1005</v>
      </c>
      <c r="D7" s="488" t="e">
        <f>SUMIFS(GL!#REF!,GL!C:C,Table5[[#This Row],[Харилцагчид]])</f>
        <v>#REF!</v>
      </c>
      <c r="E7" s="488" t="e">
        <f>SUMIFS(GL!#REF!,GL!C:C,Table5[[#This Row],[Харилцагчид]])</f>
        <v>#REF!</v>
      </c>
      <c r="F7" s="488" t="e">
        <f>Table5[[#This Row],[ДТ]]+Table5[[#This Row],[Дебит]]-Table5[[#This Row],[КТ]]-Table5[[#This Row],[Кредит]]</f>
        <v>#REF!</v>
      </c>
      <c r="G7" s="488" t="e">
        <f>IF(Table5[[#This Row],[Зөрүү]]&gt;0,Table5[[#This Row],[Зөрүү]],0)</f>
        <v>#REF!</v>
      </c>
      <c r="H7" s="488" t="e">
        <f>IF(Table5[[#This Row],[Зөрүү]]&lt;0,-Table5[[#This Row],[Зөрүү]],0)</f>
        <v>#REF!</v>
      </c>
      <c r="I7" s="477"/>
    </row>
    <row r="8" spans="1:9" ht="12.75" customHeight="1" x14ac:dyDescent="0.25">
      <c r="A8" s="356" t="s">
        <v>1006</v>
      </c>
      <c r="D8" s="488" t="e">
        <f>SUMIFS(GL!#REF!,GL!C:C,Table5[[#This Row],[Харилцагчид]])</f>
        <v>#REF!</v>
      </c>
      <c r="E8" s="488" t="e">
        <f>SUMIFS(GL!#REF!,GL!C:C,Table5[[#This Row],[Харилцагчид]])</f>
        <v>#REF!</v>
      </c>
      <c r="F8" s="488" t="e">
        <f>Table5[[#This Row],[ДТ]]+Table5[[#This Row],[Дебит]]-Table5[[#This Row],[КТ]]-Table5[[#This Row],[Кредит]]</f>
        <v>#REF!</v>
      </c>
      <c r="G8" s="488" t="e">
        <f>IF(Table5[[#This Row],[Зөрүү]]&gt;0,Table5[[#This Row],[Зөрүү]],0)</f>
        <v>#REF!</v>
      </c>
      <c r="H8" s="488" t="e">
        <f>IF(Table5[[#This Row],[Зөрүү]]&lt;0,-Table5[[#This Row],[Зөрүү]],0)</f>
        <v>#REF!</v>
      </c>
      <c r="I8" s="477"/>
    </row>
    <row r="9" spans="1:9" ht="12.75" customHeight="1" x14ac:dyDescent="0.25">
      <c r="A9" s="356" t="s">
        <v>1005</v>
      </c>
      <c r="D9" s="488" t="e">
        <f>SUMIFS(GL!#REF!,GL!C:C,Table5[[#This Row],[Харилцагчид]])</f>
        <v>#REF!</v>
      </c>
      <c r="E9" s="488" t="e">
        <f>SUMIFS(GL!#REF!,GL!C:C,Table5[[#This Row],[Харилцагчид]])</f>
        <v>#REF!</v>
      </c>
      <c r="F9" s="488" t="e">
        <f>Table5[[#This Row],[ДТ]]+Table5[[#This Row],[Дебит]]-Table5[[#This Row],[КТ]]-Table5[[#This Row],[Кредит]]</f>
        <v>#REF!</v>
      </c>
      <c r="G9" s="488" t="e">
        <f>IF(Table5[[#This Row],[Зөрүү]]&gt;0,Table5[[#This Row],[Зөрүү]],0)</f>
        <v>#REF!</v>
      </c>
      <c r="H9" s="488" t="e">
        <f>IF(Table5[[#This Row],[Зөрүү]]&lt;0,-Table5[[#This Row],[Зөрүү]],0)</f>
        <v>#REF!</v>
      </c>
      <c r="I9" s="477"/>
    </row>
    <row r="10" spans="1:9" ht="12.75" customHeight="1" x14ac:dyDescent="0.25">
      <c r="A10" s="356" t="s">
        <v>1007</v>
      </c>
      <c r="D10" s="488" t="e">
        <f>SUMIFS(GL!#REF!,GL!C:C,Table5[[#This Row],[Харилцагчид]])</f>
        <v>#REF!</v>
      </c>
      <c r="E10" s="488" t="e">
        <f>SUMIFS(GL!#REF!,GL!C:C,Table5[[#This Row],[Харилцагчид]])</f>
        <v>#REF!</v>
      </c>
      <c r="F10" s="488" t="e">
        <f>Table5[[#This Row],[ДТ]]+Table5[[#This Row],[Дебит]]-Table5[[#This Row],[КТ]]-Table5[[#This Row],[Кредит]]</f>
        <v>#REF!</v>
      </c>
      <c r="G10" s="488" t="e">
        <f>IF(Table5[[#This Row],[Зөрүү]]&gt;0,Table5[[#This Row],[Зөрүү]],0)</f>
        <v>#REF!</v>
      </c>
      <c r="H10" s="488" t="e">
        <f>IF(Table5[[#This Row],[Зөрүү]]&lt;0,-Table5[[#This Row],[Зөрүү]],0)</f>
        <v>#REF!</v>
      </c>
      <c r="I10" s="477"/>
    </row>
    <row r="11" spans="1:9" ht="12.75" customHeight="1" x14ac:dyDescent="0.25">
      <c r="A11" s="356" t="s">
        <v>1002</v>
      </c>
      <c r="B11" s="659">
        <v>4500000</v>
      </c>
      <c r="D11" s="488" t="e">
        <f>SUMIFS(GL!#REF!,GL!C:C,Table5[[#This Row],[Харилцагчид]])</f>
        <v>#REF!</v>
      </c>
      <c r="E11" s="488" t="e">
        <f>SUMIFS(GL!#REF!,GL!C:C,Table5[[#This Row],[Харилцагчид]])</f>
        <v>#REF!</v>
      </c>
      <c r="F11" s="488" t="e">
        <f>Table5[[#This Row],[ДТ]]+Table5[[#This Row],[Дебит]]-Table5[[#This Row],[КТ]]-Table5[[#This Row],[Кредит]]</f>
        <v>#REF!</v>
      </c>
      <c r="G11" s="488" t="e">
        <f>IF(Table5[[#This Row],[Зөрүү]]&gt;0,Table5[[#This Row],[Зөрүү]],0)</f>
        <v>#REF!</v>
      </c>
      <c r="H11" s="488" t="e">
        <f>IF(Table5[[#This Row],[Зөрүү]]&lt;0,-Table5[[#This Row],[Зөрүү]],0)</f>
        <v>#REF!</v>
      </c>
      <c r="I11" s="477"/>
    </row>
    <row r="12" spans="1:9" ht="12.75" customHeight="1" x14ac:dyDescent="0.25">
      <c r="D12" s="488" t="e">
        <f>SUMIFS(GL!#REF!,GL!C:C,Table5[[#This Row],[Харилцагчид]])</f>
        <v>#REF!</v>
      </c>
      <c r="E12" s="488" t="e">
        <f>SUMIFS(GL!#REF!,GL!C:C,Table5[[#This Row],[Харилцагчид]])</f>
        <v>#REF!</v>
      </c>
      <c r="F12" s="488" t="e">
        <f>Table5[[#This Row],[ДТ]]+Table5[[#This Row],[Дебит]]-Table5[[#This Row],[КТ]]-Table5[[#This Row],[Кредит]]</f>
        <v>#REF!</v>
      </c>
      <c r="G12" s="488" t="e">
        <f>IF(Table5[[#This Row],[Зөрүү]]&gt;0,Table5[[#This Row],[Зөрүү]],0)</f>
        <v>#REF!</v>
      </c>
      <c r="H12" s="488" t="e">
        <f>IF(Table5[[#This Row],[Зөрүү]]&lt;0,-Table5[[#This Row],[Зөрүү]],0)</f>
        <v>#REF!</v>
      </c>
      <c r="I12" s="477"/>
    </row>
    <row r="13" spans="1:9" ht="12.75" customHeight="1" x14ac:dyDescent="0.25">
      <c r="D13" s="488" t="e">
        <f>SUMIFS(GL!#REF!,GL!C:C,Table5[[#This Row],[Харилцагчид]])</f>
        <v>#REF!</v>
      </c>
      <c r="E13" s="488" t="e">
        <f>SUMIFS(GL!#REF!,GL!C:C,Table5[[#This Row],[Харилцагчид]])</f>
        <v>#REF!</v>
      </c>
      <c r="F13" s="488" t="e">
        <f>Table5[[#This Row],[ДТ]]+Table5[[#This Row],[Дебит]]-Table5[[#This Row],[КТ]]-Table5[[#This Row],[Кредит]]</f>
        <v>#REF!</v>
      </c>
      <c r="G13" s="488" t="e">
        <f>IF(Table5[[#This Row],[Зөрүү]]&gt;0,Table5[[#This Row],[Зөрүү]],0)</f>
        <v>#REF!</v>
      </c>
      <c r="H13" s="488" t="e">
        <f>IF(Table5[[#This Row],[Зөрүү]]&lt;0,-Table5[[#This Row],[Зөрүү]],0)</f>
        <v>#REF!</v>
      </c>
      <c r="I13" s="477"/>
    </row>
    <row r="14" spans="1:9" ht="12.75" customHeight="1" x14ac:dyDescent="0.25">
      <c r="D14" s="488" t="e">
        <f>SUMIFS(GL!#REF!,GL!C:C,Table5[[#This Row],[Харилцагчид]])</f>
        <v>#REF!</v>
      </c>
      <c r="E14" s="488" t="e">
        <f>SUMIFS(GL!#REF!,GL!C:C,Table5[[#This Row],[Харилцагчид]])</f>
        <v>#REF!</v>
      </c>
      <c r="F14" s="488" t="e">
        <f>Table5[[#This Row],[ДТ]]+Table5[[#This Row],[Дебит]]-Table5[[#This Row],[КТ]]-Table5[[#This Row],[Кредит]]</f>
        <v>#REF!</v>
      </c>
      <c r="G14" s="488" t="e">
        <f>IF(Table5[[#This Row],[Зөрүү]]&gt;0,Table5[[#This Row],[Зөрүү]],0)</f>
        <v>#REF!</v>
      </c>
      <c r="H14" s="488" t="e">
        <f>IF(Table5[[#This Row],[Зөрүү]]&lt;0,-Table5[[#This Row],[Зөрүү]],0)</f>
        <v>#REF!</v>
      </c>
      <c r="I14" s="477"/>
    </row>
    <row r="15" spans="1:9" ht="12.75" customHeight="1" x14ac:dyDescent="0.25">
      <c r="D15" s="488" t="e">
        <f>SUMIFS(GL!#REF!,GL!C:C,Table5[[#This Row],[Харилцагчид]])</f>
        <v>#REF!</v>
      </c>
      <c r="E15" s="488" t="e">
        <f>SUMIFS(GL!#REF!,GL!C:C,Table5[[#This Row],[Харилцагчид]])</f>
        <v>#REF!</v>
      </c>
      <c r="F15" s="488" t="e">
        <f>Table5[[#This Row],[ДТ]]+Table5[[#This Row],[Дебит]]-Table5[[#This Row],[КТ]]-Table5[[#This Row],[Кредит]]</f>
        <v>#REF!</v>
      </c>
      <c r="G15" s="488" t="e">
        <f>IF(Table5[[#This Row],[Зөрүү]]&gt;0,Table5[[#This Row],[Зөрүү]],0)</f>
        <v>#REF!</v>
      </c>
      <c r="H15" s="488" t="e">
        <f>IF(Table5[[#This Row],[Зөрүү]]&lt;0,-Table5[[#This Row],[Зөрүү]],0)</f>
        <v>#REF!</v>
      </c>
      <c r="I15" s="477"/>
    </row>
    <row r="16" spans="1:9" ht="12.75" customHeight="1" x14ac:dyDescent="0.25">
      <c r="D16" s="488" t="e">
        <f>SUMIFS(GL!#REF!,GL!C:C,Table5[[#This Row],[Харилцагчид]])</f>
        <v>#REF!</v>
      </c>
      <c r="E16" s="488" t="e">
        <f>SUMIFS(GL!#REF!,GL!C:C,Table5[[#This Row],[Харилцагчид]])</f>
        <v>#REF!</v>
      </c>
      <c r="F16" s="488" t="e">
        <f>Table5[[#This Row],[ДТ]]+Table5[[#This Row],[Дебит]]-Table5[[#This Row],[КТ]]-Table5[[#This Row],[Кредит]]</f>
        <v>#REF!</v>
      </c>
      <c r="G16" s="488" t="e">
        <f>IF(Table5[[#This Row],[Зөрүү]]&gt;0,Table5[[#This Row],[Зөрүү]],0)</f>
        <v>#REF!</v>
      </c>
      <c r="H16" s="488" t="e">
        <f>IF(Table5[[#This Row],[Зөрүү]]&lt;0,-Table5[[#This Row],[Зөрүү]],0)</f>
        <v>#REF!</v>
      </c>
      <c r="I16" s="477"/>
    </row>
    <row r="17" spans="4:9" ht="12.75" customHeight="1" x14ac:dyDescent="0.25">
      <c r="D17" s="488" t="e">
        <f>SUMIFS(GL!#REF!,GL!C:C,Table5[[#This Row],[Харилцагчид]])</f>
        <v>#REF!</v>
      </c>
      <c r="E17" s="488" t="e">
        <f>SUMIFS(GL!#REF!,GL!C:C,Table5[[#This Row],[Харилцагчид]])</f>
        <v>#REF!</v>
      </c>
      <c r="F17" s="488" t="e">
        <f>Table5[[#This Row],[ДТ]]+Table5[[#This Row],[Дебит]]-Table5[[#This Row],[КТ]]-Table5[[#This Row],[Кредит]]</f>
        <v>#REF!</v>
      </c>
      <c r="G17" s="488" t="e">
        <f>IF(Table5[[#This Row],[Зөрүү]]&gt;0,Table5[[#This Row],[Зөрүү]],0)</f>
        <v>#REF!</v>
      </c>
      <c r="H17" s="488" t="e">
        <f>IF(Table5[[#This Row],[Зөрүү]]&lt;0,-Table5[[#This Row],[Зөрүү]],0)</f>
        <v>#REF!</v>
      </c>
      <c r="I17" s="477"/>
    </row>
    <row r="18" spans="4:9" ht="12.75" customHeight="1" x14ac:dyDescent="0.25">
      <c r="D18" s="488" t="e">
        <f>SUMIFS(GL!#REF!,GL!C:C,Table5[[#This Row],[Харилцагчид]])</f>
        <v>#REF!</v>
      </c>
      <c r="E18" s="488" t="e">
        <f>SUMIFS(GL!#REF!,GL!C:C,Table5[[#This Row],[Харилцагчид]])</f>
        <v>#REF!</v>
      </c>
      <c r="F18" s="488" t="e">
        <f>Table5[[#This Row],[ДТ]]+Table5[[#This Row],[Дебит]]-Table5[[#This Row],[КТ]]-Table5[[#This Row],[Кредит]]</f>
        <v>#REF!</v>
      </c>
      <c r="G18" s="488" t="e">
        <f>IF(Table5[[#This Row],[Зөрүү]]&gt;0,Table5[[#This Row],[Зөрүү]],0)</f>
        <v>#REF!</v>
      </c>
      <c r="H18" s="488" t="e">
        <f>IF(Table5[[#This Row],[Зөрүү]]&lt;0,-Table5[[#This Row],[Зөрүү]],0)</f>
        <v>#REF!</v>
      </c>
      <c r="I18" s="477"/>
    </row>
    <row r="19" spans="4:9" ht="12.75" customHeight="1" x14ac:dyDescent="0.25">
      <c r="D19" s="488" t="e">
        <f>SUMIFS(GL!#REF!,GL!C:C,Table5[[#This Row],[Харилцагчид]])</f>
        <v>#REF!</v>
      </c>
      <c r="E19" s="488" t="e">
        <f>SUMIFS(GL!#REF!,GL!C:C,Table5[[#This Row],[Харилцагчид]])</f>
        <v>#REF!</v>
      </c>
      <c r="F19" s="488" t="e">
        <f>Table5[[#This Row],[ДТ]]+Table5[[#This Row],[Дебит]]-Table5[[#This Row],[КТ]]-Table5[[#This Row],[Кредит]]</f>
        <v>#REF!</v>
      </c>
      <c r="G19" s="488" t="e">
        <f>IF(Table5[[#This Row],[Зөрүү]]&gt;0,Table5[[#This Row],[Зөрүү]],0)</f>
        <v>#REF!</v>
      </c>
      <c r="H19" s="488" t="e">
        <f>IF(Table5[[#This Row],[Зөрүү]]&lt;0,-Table5[[#This Row],[Зөрүү]],0)</f>
        <v>#REF!</v>
      </c>
      <c r="I19" s="477"/>
    </row>
    <row r="20" spans="4:9" ht="12.75" customHeight="1" x14ac:dyDescent="0.25">
      <c r="D20" s="488" t="e">
        <f>SUMIFS(GL!#REF!,GL!C:C,Table5[[#This Row],[Харилцагчид]])</f>
        <v>#REF!</v>
      </c>
      <c r="E20" s="488" t="e">
        <f>SUMIFS(GL!#REF!,GL!C:C,Table5[[#This Row],[Харилцагчид]])</f>
        <v>#REF!</v>
      </c>
      <c r="F20" s="488" t="e">
        <f>Table5[[#This Row],[ДТ]]+Table5[[#This Row],[Дебит]]-Table5[[#This Row],[КТ]]-Table5[[#This Row],[Кредит]]</f>
        <v>#REF!</v>
      </c>
      <c r="G20" s="488" t="e">
        <f>IF(Table5[[#This Row],[Зөрүү]]&gt;0,Table5[[#This Row],[Зөрүү]],0)</f>
        <v>#REF!</v>
      </c>
      <c r="H20" s="488" t="e">
        <f>IF(Table5[[#This Row],[Зөрүү]]&lt;0,-Table5[[#This Row],[Зөрүү]],0)</f>
        <v>#REF!</v>
      </c>
      <c r="I20" s="477"/>
    </row>
    <row r="21" spans="4:9" ht="12.75" customHeight="1" x14ac:dyDescent="0.25">
      <c r="D21" s="488" t="e">
        <f>SUMIFS(GL!#REF!,GL!C:C,Table5[[#This Row],[Харилцагчид]])</f>
        <v>#REF!</v>
      </c>
      <c r="E21" s="488" t="e">
        <f>SUMIFS(GL!#REF!,GL!C:C,Table5[[#This Row],[Харилцагчид]])</f>
        <v>#REF!</v>
      </c>
      <c r="F21" s="488" t="e">
        <f>Table5[[#This Row],[ДТ]]+Table5[[#This Row],[Дебит]]-Table5[[#This Row],[КТ]]-Table5[[#This Row],[Кредит]]</f>
        <v>#REF!</v>
      </c>
      <c r="G21" s="488" t="e">
        <f>IF(Table5[[#This Row],[Зөрүү]]&gt;0,Table5[[#This Row],[Зөрүү]],0)</f>
        <v>#REF!</v>
      </c>
      <c r="H21" s="488" t="e">
        <f>IF(Table5[[#This Row],[Зөрүү]]&lt;0,-Table5[[#This Row],[Зөрүү]],0)</f>
        <v>#REF!</v>
      </c>
      <c r="I21" s="477"/>
    </row>
    <row r="22" spans="4:9" ht="12.75" customHeight="1" x14ac:dyDescent="0.25">
      <c r="D22" s="488" t="e">
        <f>SUMIFS(GL!#REF!,GL!C:C,Table5[[#This Row],[Харилцагчид]])</f>
        <v>#REF!</v>
      </c>
      <c r="E22" s="488" t="e">
        <f>SUMIFS(GL!#REF!,GL!C:C,Table5[[#This Row],[Харилцагчид]])</f>
        <v>#REF!</v>
      </c>
      <c r="F22" s="488" t="e">
        <f>Table5[[#This Row],[ДТ]]+Table5[[#This Row],[Дебит]]-Table5[[#This Row],[КТ]]-Table5[[#This Row],[Кредит]]</f>
        <v>#REF!</v>
      </c>
      <c r="G22" s="488" t="e">
        <f>IF(Table5[[#This Row],[Зөрүү]]&gt;0,Table5[[#This Row],[Зөрүү]],0)</f>
        <v>#REF!</v>
      </c>
      <c r="H22" s="488" t="e">
        <f>IF(Table5[[#This Row],[Зөрүү]]&lt;0,-Table5[[#This Row],[Зөрүү]],0)</f>
        <v>#REF!</v>
      </c>
      <c r="I22" s="477"/>
    </row>
    <row r="23" spans="4:9" ht="12.75" customHeight="1" x14ac:dyDescent="0.25">
      <c r="D23" s="488" t="e">
        <f>SUMIFS(GL!#REF!,GL!C:C,Table5[[#This Row],[Харилцагчид]])</f>
        <v>#REF!</v>
      </c>
      <c r="E23" s="488" t="e">
        <f>SUMIFS(GL!#REF!,GL!C:C,Table5[[#This Row],[Харилцагчид]])</f>
        <v>#REF!</v>
      </c>
      <c r="F23" s="488" t="e">
        <f>Table5[[#This Row],[ДТ]]+Table5[[#This Row],[Дебит]]-Table5[[#This Row],[КТ]]-Table5[[#This Row],[Кредит]]</f>
        <v>#REF!</v>
      </c>
      <c r="G23" s="488" t="e">
        <f>IF(Table5[[#This Row],[Зөрүү]]&gt;0,Table5[[#This Row],[Зөрүү]],0)</f>
        <v>#REF!</v>
      </c>
      <c r="H23" s="488" t="e">
        <f>IF(Table5[[#This Row],[Зөрүү]]&lt;0,-Table5[[#This Row],[Зөрүү]],0)</f>
        <v>#REF!</v>
      </c>
      <c r="I23" s="477"/>
    </row>
    <row r="24" spans="4:9" ht="12.75" customHeight="1" x14ac:dyDescent="0.25">
      <c r="D24" s="488" t="e">
        <f>SUMIFS(GL!#REF!,GL!C:C,Table5[[#This Row],[Харилцагчид]])</f>
        <v>#REF!</v>
      </c>
      <c r="E24" s="488" t="e">
        <f>SUMIFS(GL!#REF!,GL!C:C,Table5[[#This Row],[Харилцагчид]])</f>
        <v>#REF!</v>
      </c>
      <c r="F24" s="488" t="e">
        <f>Table5[[#This Row],[ДТ]]+Table5[[#This Row],[Дебит]]-Table5[[#This Row],[КТ]]-Table5[[#This Row],[Кредит]]</f>
        <v>#REF!</v>
      </c>
      <c r="G24" s="488" t="e">
        <f>IF(Table5[[#This Row],[Зөрүү]]&gt;0,Table5[[#This Row],[Зөрүү]],0)</f>
        <v>#REF!</v>
      </c>
      <c r="H24" s="488" t="e">
        <f>IF(Table5[[#This Row],[Зөрүү]]&lt;0,-Table5[[#This Row],[Зөрүү]],0)</f>
        <v>#REF!</v>
      </c>
      <c r="I24" s="477"/>
    </row>
    <row r="25" spans="4:9" ht="12.75" customHeight="1" x14ac:dyDescent="0.25">
      <c r="D25" s="488" t="e">
        <f>SUMIFS(GL!#REF!,GL!C:C,Table5[[#This Row],[Харилцагчид]])</f>
        <v>#REF!</v>
      </c>
      <c r="E25" s="488" t="e">
        <f>SUMIFS(GL!#REF!,GL!C:C,Table5[[#This Row],[Харилцагчид]])</f>
        <v>#REF!</v>
      </c>
      <c r="F25" s="488" t="e">
        <f>Table5[[#This Row],[ДТ]]+Table5[[#This Row],[Дебит]]-Table5[[#This Row],[КТ]]-Table5[[#This Row],[Кредит]]</f>
        <v>#REF!</v>
      </c>
      <c r="G25" s="488" t="e">
        <f>IF(Table5[[#This Row],[Зөрүү]]&gt;0,Table5[[#This Row],[Зөрүү]],0)</f>
        <v>#REF!</v>
      </c>
      <c r="H25" s="488" t="e">
        <f>IF(Table5[[#This Row],[Зөрүү]]&lt;0,-Table5[[#This Row],[Зөрүү]],0)</f>
        <v>#REF!</v>
      </c>
      <c r="I25" s="477"/>
    </row>
    <row r="26" spans="4:9" ht="12.75" customHeight="1" x14ac:dyDescent="0.25">
      <c r="D26" s="488" t="e">
        <f>SUMIFS(GL!#REF!,GL!C:C,Table5[[#This Row],[Харилцагчид]])</f>
        <v>#REF!</v>
      </c>
      <c r="E26" s="488" t="e">
        <f>SUMIFS(GL!#REF!,GL!C:C,Table5[[#This Row],[Харилцагчид]])</f>
        <v>#REF!</v>
      </c>
      <c r="F26" s="488" t="e">
        <f>Table5[[#This Row],[ДТ]]+Table5[[#This Row],[Дебит]]-Table5[[#This Row],[КТ]]-Table5[[#This Row],[Кредит]]</f>
        <v>#REF!</v>
      </c>
      <c r="G26" s="488" t="e">
        <f>IF(Table5[[#This Row],[Зөрүү]]&gt;0,Table5[[#This Row],[Зөрүү]],0)</f>
        <v>#REF!</v>
      </c>
      <c r="H26" s="488" t="e">
        <f>IF(Table5[[#This Row],[Зөрүү]]&lt;0,-Table5[[#This Row],[Зөрүү]],0)</f>
        <v>#REF!</v>
      </c>
      <c r="I26" s="477"/>
    </row>
    <row r="27" spans="4:9" ht="12.75" customHeight="1" x14ac:dyDescent="0.25">
      <c r="D27" s="488" t="e">
        <f>SUMIFS(GL!#REF!,GL!C:C,Table5[[#This Row],[Харилцагчид]])</f>
        <v>#REF!</v>
      </c>
      <c r="E27" s="488" t="e">
        <f>SUMIFS(GL!#REF!,GL!C:C,Table5[[#This Row],[Харилцагчид]])</f>
        <v>#REF!</v>
      </c>
      <c r="F27" s="488" t="e">
        <f>Table5[[#This Row],[ДТ]]+Table5[[#This Row],[Дебит]]-Table5[[#This Row],[КТ]]-Table5[[#This Row],[Кредит]]</f>
        <v>#REF!</v>
      </c>
      <c r="G27" s="488" t="e">
        <f>IF(Table5[[#This Row],[Зөрүү]]&gt;0,Table5[[#This Row],[Зөрүү]],0)</f>
        <v>#REF!</v>
      </c>
      <c r="H27" s="488" t="e">
        <f>IF(Table5[[#This Row],[Зөрүү]]&lt;0,-Table5[[#This Row],[Зөрүү]],0)</f>
        <v>#REF!</v>
      </c>
      <c r="I27" s="477"/>
    </row>
    <row r="28" spans="4:9" ht="12.75" customHeight="1" x14ac:dyDescent="0.25">
      <c r="D28" s="488" t="e">
        <f>SUMIFS(GL!#REF!,GL!C:C,Table5[[#This Row],[Харилцагчид]])</f>
        <v>#REF!</v>
      </c>
      <c r="E28" s="488" t="e">
        <f>SUMIFS(GL!#REF!,GL!C:C,Table5[[#This Row],[Харилцагчид]])</f>
        <v>#REF!</v>
      </c>
      <c r="F28" s="488" t="e">
        <f>Table5[[#This Row],[ДТ]]+Table5[[#This Row],[Дебит]]-Table5[[#This Row],[КТ]]-Table5[[#This Row],[Кредит]]</f>
        <v>#REF!</v>
      </c>
      <c r="G28" s="488" t="e">
        <f>IF(Table5[[#This Row],[Зөрүү]]&gt;0,Table5[[#This Row],[Зөрүү]],0)</f>
        <v>#REF!</v>
      </c>
      <c r="H28" s="488" t="e">
        <f>IF(Table5[[#This Row],[Зөрүү]]&lt;0,-Table5[[#This Row],[Зөрүү]],0)</f>
        <v>#REF!</v>
      </c>
      <c r="I28" s="477"/>
    </row>
    <row r="29" spans="4:9" ht="12.75" customHeight="1" x14ac:dyDescent="0.25">
      <c r="D29" s="488" t="e">
        <f>SUMIFS(GL!#REF!,GL!C:C,Table5[[#This Row],[Харилцагчид]])</f>
        <v>#REF!</v>
      </c>
      <c r="E29" s="488" t="e">
        <f>SUMIFS(GL!#REF!,GL!C:C,Table5[[#This Row],[Харилцагчид]])</f>
        <v>#REF!</v>
      </c>
      <c r="F29" s="488" t="e">
        <f>Table5[[#This Row],[ДТ]]+Table5[[#This Row],[Дебит]]-Table5[[#This Row],[КТ]]-Table5[[#This Row],[Кредит]]</f>
        <v>#REF!</v>
      </c>
      <c r="G29" s="488" t="e">
        <f>IF(Table5[[#This Row],[Зөрүү]]&gt;0,Table5[[#This Row],[Зөрүү]],0)</f>
        <v>#REF!</v>
      </c>
      <c r="H29" s="488" t="e">
        <f>IF(Table5[[#This Row],[Зөрүү]]&lt;0,-Table5[[#This Row],[Зөрүү]],0)</f>
        <v>#REF!</v>
      </c>
      <c r="I29" s="477"/>
    </row>
    <row r="30" spans="4:9" ht="12.75" customHeight="1" x14ac:dyDescent="0.25">
      <c r="D30" s="488" t="e">
        <f>SUMIFS(GL!#REF!,GL!C:C,Table5[[#This Row],[Харилцагчид]])</f>
        <v>#REF!</v>
      </c>
      <c r="E30" s="488" t="e">
        <f>SUMIFS(GL!#REF!,GL!C:C,Table5[[#This Row],[Харилцагчид]])</f>
        <v>#REF!</v>
      </c>
      <c r="F30" s="488" t="e">
        <f>Table5[[#This Row],[ДТ]]+Table5[[#This Row],[Дебит]]-Table5[[#This Row],[КТ]]-Table5[[#This Row],[Кредит]]</f>
        <v>#REF!</v>
      </c>
      <c r="G30" s="488" t="e">
        <f>IF(Table5[[#This Row],[Зөрүү]]&gt;0,Table5[[#This Row],[Зөрүү]],0)</f>
        <v>#REF!</v>
      </c>
      <c r="H30" s="488" t="e">
        <f>IF(Table5[[#This Row],[Зөрүү]]&lt;0,-Table5[[#This Row],[Зөрүү]],0)</f>
        <v>#REF!</v>
      </c>
      <c r="I30" s="477"/>
    </row>
    <row r="31" spans="4:9" ht="12.75" customHeight="1" x14ac:dyDescent="0.25">
      <c r="D31" s="488" t="e">
        <f>SUMIFS(GL!#REF!,GL!C:C,Table5[[#This Row],[Харилцагчид]])</f>
        <v>#REF!</v>
      </c>
      <c r="E31" s="488" t="e">
        <f>SUMIFS(GL!#REF!,GL!C:C,Table5[[#This Row],[Харилцагчид]])</f>
        <v>#REF!</v>
      </c>
      <c r="F31" s="488" t="e">
        <f>Table5[[#This Row],[ДТ]]+Table5[[#This Row],[Дебит]]-Table5[[#This Row],[КТ]]-Table5[[#This Row],[Кредит]]</f>
        <v>#REF!</v>
      </c>
      <c r="G31" s="488" t="e">
        <f>IF(Table5[[#This Row],[Зөрүү]]&gt;0,Table5[[#This Row],[Зөрүү]],0)</f>
        <v>#REF!</v>
      </c>
      <c r="H31" s="488" t="e">
        <f>IF(Table5[[#This Row],[Зөрүү]]&lt;0,-Table5[[#This Row],[Зөрүү]],0)</f>
        <v>#REF!</v>
      </c>
      <c r="I31" s="477"/>
    </row>
    <row r="32" spans="4:9" ht="12.75" customHeight="1" x14ac:dyDescent="0.25">
      <c r="D32" s="488" t="e">
        <f>SUMIFS(GL!#REF!,GL!C:C,Table5[[#This Row],[Харилцагчид]])</f>
        <v>#REF!</v>
      </c>
      <c r="E32" s="488" t="e">
        <f>SUMIFS(GL!#REF!,GL!C:C,Table5[[#This Row],[Харилцагчид]])</f>
        <v>#REF!</v>
      </c>
      <c r="F32" s="488" t="e">
        <f>Table5[[#This Row],[ДТ]]+Table5[[#This Row],[Дебит]]-Table5[[#This Row],[КТ]]-Table5[[#This Row],[Кредит]]</f>
        <v>#REF!</v>
      </c>
      <c r="G32" s="488" t="e">
        <f>IF(Table5[[#This Row],[Зөрүү]]&gt;0,Table5[[#This Row],[Зөрүү]],0)</f>
        <v>#REF!</v>
      </c>
      <c r="H32" s="488" t="e">
        <f>IF(Table5[[#This Row],[Зөрүү]]&lt;0,-Table5[[#This Row],[Зөрүү]],0)</f>
        <v>#REF!</v>
      </c>
      <c r="I32" s="477"/>
    </row>
    <row r="33" spans="4:9" ht="12.75" customHeight="1" x14ac:dyDescent="0.25">
      <c r="D33" s="488" t="e">
        <f>SUMIFS(GL!#REF!,GL!C:C,Table5[[#This Row],[Харилцагчид]])</f>
        <v>#REF!</v>
      </c>
      <c r="E33" s="488" t="e">
        <f>SUMIFS(GL!#REF!,GL!C:C,Table5[[#This Row],[Харилцагчид]])</f>
        <v>#REF!</v>
      </c>
      <c r="F33" s="488" t="e">
        <f>Table5[[#This Row],[ДТ]]+Table5[[#This Row],[Дебит]]-Table5[[#This Row],[КТ]]-Table5[[#This Row],[Кредит]]</f>
        <v>#REF!</v>
      </c>
      <c r="G33" s="488" t="e">
        <f>IF(Table5[[#This Row],[Зөрүү]]&gt;0,Table5[[#This Row],[Зөрүү]],0)</f>
        <v>#REF!</v>
      </c>
      <c r="H33" s="488" t="e">
        <f>IF(Table5[[#This Row],[Зөрүү]]&lt;0,-Table5[[#This Row],[Зөрүү]],0)</f>
        <v>#REF!</v>
      </c>
      <c r="I33" s="477"/>
    </row>
    <row r="34" spans="4:9" ht="12.75" customHeight="1" x14ac:dyDescent="0.25">
      <c r="D34" s="488" t="e">
        <f>SUMIFS(GL!#REF!,GL!C:C,Table5[[#This Row],[Харилцагчид]])</f>
        <v>#REF!</v>
      </c>
      <c r="E34" s="488" t="e">
        <f>SUMIFS(GL!#REF!,GL!C:C,Table5[[#This Row],[Харилцагчид]])</f>
        <v>#REF!</v>
      </c>
      <c r="F34" s="488" t="e">
        <f>Table5[[#This Row],[ДТ]]+Table5[[#This Row],[Дебит]]-Table5[[#This Row],[КТ]]-Table5[[#This Row],[Кредит]]</f>
        <v>#REF!</v>
      </c>
      <c r="G34" s="488" t="e">
        <f>IF(Table5[[#This Row],[Зөрүү]]&gt;0,Table5[[#This Row],[Зөрүү]],0)</f>
        <v>#REF!</v>
      </c>
      <c r="H34" s="488" t="e">
        <f>IF(Table5[[#This Row],[Зөрүү]]&lt;0,-Table5[[#This Row],[Зөрүү]],0)</f>
        <v>#REF!</v>
      </c>
      <c r="I34" s="477"/>
    </row>
    <row r="35" spans="4:9" ht="12.75" customHeight="1" x14ac:dyDescent="0.25">
      <c r="D35" s="488" t="e">
        <f>SUMIFS(GL!#REF!,GL!C:C,Table5[[#This Row],[Харилцагчид]])</f>
        <v>#REF!</v>
      </c>
      <c r="E35" s="488" t="e">
        <f>SUMIFS(GL!#REF!,GL!C:C,Table5[[#This Row],[Харилцагчид]])</f>
        <v>#REF!</v>
      </c>
      <c r="F35" s="488" t="e">
        <f>Table5[[#This Row],[ДТ]]+Table5[[#This Row],[Дебит]]-Table5[[#This Row],[КТ]]-Table5[[#This Row],[Кредит]]</f>
        <v>#REF!</v>
      </c>
      <c r="G35" s="488" t="e">
        <f>IF(Table5[[#This Row],[Зөрүү]]&gt;0,Table5[[#This Row],[Зөрүү]],0)</f>
        <v>#REF!</v>
      </c>
      <c r="H35" s="488" t="e">
        <f>IF(Table5[[#This Row],[Зөрүү]]&lt;0,-Table5[[#This Row],[Зөрүү]],0)</f>
        <v>#REF!</v>
      </c>
      <c r="I35" s="477"/>
    </row>
    <row r="36" spans="4:9" ht="12.75" customHeight="1" x14ac:dyDescent="0.25">
      <c r="D36" s="488" t="e">
        <f>SUMIFS(GL!#REF!,GL!C:C,Table5[[#This Row],[Харилцагчид]])</f>
        <v>#REF!</v>
      </c>
      <c r="E36" s="488" t="e">
        <f>SUMIFS(GL!#REF!,GL!C:C,Table5[[#This Row],[Харилцагчид]])</f>
        <v>#REF!</v>
      </c>
      <c r="F36" s="488" t="e">
        <f>Table5[[#This Row],[ДТ]]+Table5[[#This Row],[Дебит]]-Table5[[#This Row],[КТ]]-Table5[[#This Row],[Кредит]]</f>
        <v>#REF!</v>
      </c>
      <c r="G36" s="488" t="e">
        <f>IF(Table5[[#This Row],[Зөрүү]]&gt;0,Table5[[#This Row],[Зөрүү]],0)</f>
        <v>#REF!</v>
      </c>
      <c r="H36" s="488" t="e">
        <f>IF(Table5[[#This Row],[Зөрүү]]&lt;0,-Table5[[#This Row],[Зөрүү]],0)</f>
        <v>#REF!</v>
      </c>
      <c r="I36" s="477"/>
    </row>
    <row r="37" spans="4:9" ht="12.75" customHeight="1" x14ac:dyDescent="0.25">
      <c r="D37" s="488" t="e">
        <f>SUMIFS(GL!#REF!,GL!C:C,Table5[[#This Row],[Харилцагчид]])</f>
        <v>#REF!</v>
      </c>
      <c r="E37" s="488" t="e">
        <f>SUMIFS(GL!#REF!,GL!C:C,Table5[[#This Row],[Харилцагчид]])</f>
        <v>#REF!</v>
      </c>
      <c r="F37" s="488" t="e">
        <f>Table5[[#This Row],[ДТ]]+Table5[[#This Row],[Дебит]]-Table5[[#This Row],[КТ]]-Table5[[#This Row],[Кредит]]</f>
        <v>#REF!</v>
      </c>
      <c r="G37" s="488" t="e">
        <f>IF(Table5[[#This Row],[Зөрүү]]&gt;0,Table5[[#This Row],[Зөрүү]],0)</f>
        <v>#REF!</v>
      </c>
      <c r="H37" s="488" t="e">
        <f>IF(Table5[[#This Row],[Зөрүү]]&lt;0,-Table5[[#This Row],[Зөрүү]],0)</f>
        <v>#REF!</v>
      </c>
      <c r="I37" s="477"/>
    </row>
    <row r="38" spans="4:9" ht="12.75" customHeight="1" x14ac:dyDescent="0.25">
      <c r="D38" s="488" t="e">
        <f>SUMIFS(GL!#REF!,GL!C:C,Table5[[#This Row],[Харилцагчид]])</f>
        <v>#REF!</v>
      </c>
      <c r="E38" s="488" t="e">
        <f>SUMIFS(GL!#REF!,GL!C:C,Table5[[#This Row],[Харилцагчид]])</f>
        <v>#REF!</v>
      </c>
      <c r="F38" s="488" t="e">
        <f>Table5[[#This Row],[ДТ]]+Table5[[#This Row],[Дебит]]-Table5[[#This Row],[КТ]]-Table5[[#This Row],[Кредит]]</f>
        <v>#REF!</v>
      </c>
      <c r="G38" s="488" t="e">
        <f>IF(Table5[[#This Row],[Зөрүү]]&gt;0,Table5[[#This Row],[Зөрүү]],0)</f>
        <v>#REF!</v>
      </c>
      <c r="H38" s="488" t="e">
        <f>IF(Table5[[#This Row],[Зөрүү]]&lt;0,-Table5[[#This Row],[Зөрүү]],0)</f>
        <v>#REF!</v>
      </c>
      <c r="I38" s="477"/>
    </row>
    <row r="39" spans="4:9" ht="12.75" customHeight="1" x14ac:dyDescent="0.25">
      <c r="D39" s="488" t="e">
        <f>SUMIFS(GL!#REF!,GL!C:C,Table5[[#This Row],[Харилцагчид]])</f>
        <v>#REF!</v>
      </c>
      <c r="E39" s="488" t="e">
        <f>SUMIFS(GL!#REF!,GL!C:C,Table5[[#This Row],[Харилцагчид]])</f>
        <v>#REF!</v>
      </c>
      <c r="F39" s="488" t="e">
        <f>Table5[[#This Row],[ДТ]]+Table5[[#This Row],[Дебит]]-Table5[[#This Row],[КТ]]-Table5[[#This Row],[Кредит]]</f>
        <v>#REF!</v>
      </c>
      <c r="G39" s="488" t="e">
        <f>IF(Table5[[#This Row],[Зөрүү]]&gt;0,Table5[[#This Row],[Зөрүү]],0)</f>
        <v>#REF!</v>
      </c>
      <c r="H39" s="488" t="e">
        <f>IF(Table5[[#This Row],[Зөрүү]]&lt;0,-Table5[[#This Row],[Зөрүү]],0)</f>
        <v>#REF!</v>
      </c>
      <c r="I39" s="477"/>
    </row>
    <row r="40" spans="4:9" ht="12.75" customHeight="1" x14ac:dyDescent="0.25">
      <c r="D40" s="488" t="e">
        <f>SUMIFS(GL!#REF!,GL!C:C,Table5[[#This Row],[Харилцагчид]])</f>
        <v>#REF!</v>
      </c>
      <c r="E40" s="488" t="e">
        <f>SUMIFS(GL!#REF!,GL!C:C,Table5[[#This Row],[Харилцагчид]])</f>
        <v>#REF!</v>
      </c>
      <c r="F40" s="488" t="e">
        <f>Table5[[#This Row],[ДТ]]+Table5[[#This Row],[Дебит]]-Table5[[#This Row],[КТ]]-Table5[[#This Row],[Кредит]]</f>
        <v>#REF!</v>
      </c>
      <c r="G40" s="488" t="e">
        <f>IF(Table5[[#This Row],[Зөрүү]]&gt;0,Table5[[#This Row],[Зөрүү]],0)</f>
        <v>#REF!</v>
      </c>
      <c r="H40" s="488" t="e">
        <f>IF(Table5[[#This Row],[Зөрүү]]&lt;0,-Table5[[#This Row],[Зөрүү]],0)</f>
        <v>#REF!</v>
      </c>
      <c r="I40" s="477"/>
    </row>
    <row r="41" spans="4:9" ht="12.75" customHeight="1" x14ac:dyDescent="0.25">
      <c r="D41" s="488" t="e">
        <f>SUMIFS(GL!#REF!,GL!C:C,Table5[[#This Row],[Харилцагчид]])</f>
        <v>#REF!</v>
      </c>
      <c r="E41" s="488" t="e">
        <f>SUMIFS(GL!#REF!,GL!C:C,Table5[[#This Row],[Харилцагчид]])</f>
        <v>#REF!</v>
      </c>
      <c r="F41" s="488" t="e">
        <f>Table5[[#This Row],[ДТ]]+Table5[[#This Row],[Дебит]]-Table5[[#This Row],[КТ]]-Table5[[#This Row],[Кредит]]</f>
        <v>#REF!</v>
      </c>
      <c r="G41" s="488" t="e">
        <f>IF(Table5[[#This Row],[Зөрүү]]&gt;0,Table5[[#This Row],[Зөрүү]],0)</f>
        <v>#REF!</v>
      </c>
      <c r="H41" s="488" t="e">
        <f>IF(Table5[[#This Row],[Зөрүү]]&lt;0,-Table5[[#This Row],[Зөрүү]],0)</f>
        <v>#REF!</v>
      </c>
      <c r="I41" s="477"/>
    </row>
    <row r="42" spans="4:9" ht="12.75" customHeight="1" x14ac:dyDescent="0.25">
      <c r="D42" s="488" t="e">
        <f>SUMIFS(GL!#REF!,GL!C:C,Table5[[#This Row],[Харилцагчид]])</f>
        <v>#REF!</v>
      </c>
      <c r="E42" s="488" t="e">
        <f>SUMIFS(GL!#REF!,GL!C:C,Table5[[#This Row],[Харилцагчид]])</f>
        <v>#REF!</v>
      </c>
      <c r="F42" s="488" t="e">
        <f>Table5[[#This Row],[ДТ]]+Table5[[#This Row],[Дебит]]-Table5[[#This Row],[КТ]]-Table5[[#This Row],[Кредит]]</f>
        <v>#REF!</v>
      </c>
      <c r="G42" s="488" t="e">
        <f>IF(Table5[[#This Row],[Зөрүү]]&gt;0,Table5[[#This Row],[Зөрүү]],0)</f>
        <v>#REF!</v>
      </c>
      <c r="H42" s="488" t="e">
        <f>IF(Table5[[#This Row],[Зөрүү]]&lt;0,-Table5[[#This Row],[Зөрүү]],0)</f>
        <v>#REF!</v>
      </c>
      <c r="I42" s="477"/>
    </row>
    <row r="43" spans="4:9" ht="12.75" customHeight="1" x14ac:dyDescent="0.25">
      <c r="D43" s="488" t="e">
        <f>SUMIFS(GL!#REF!,GL!C:C,Table5[[#This Row],[Харилцагчид]])</f>
        <v>#REF!</v>
      </c>
      <c r="E43" s="488" t="e">
        <f>SUMIFS(GL!#REF!,GL!C:C,Table5[[#This Row],[Харилцагчид]])</f>
        <v>#REF!</v>
      </c>
      <c r="F43" s="488" t="e">
        <f>Table5[[#This Row],[ДТ]]+Table5[[#This Row],[Дебит]]-Table5[[#This Row],[КТ]]-Table5[[#This Row],[Кредит]]</f>
        <v>#REF!</v>
      </c>
      <c r="G43" s="488" t="e">
        <f>IF(Table5[[#This Row],[Зөрүү]]&gt;0,Table5[[#This Row],[Зөрүү]],0)</f>
        <v>#REF!</v>
      </c>
      <c r="H43" s="488" t="e">
        <f>IF(Table5[[#This Row],[Зөрүү]]&lt;0,-Table5[[#This Row],[Зөрүү]],0)</f>
        <v>#REF!</v>
      </c>
      <c r="I43" s="477"/>
    </row>
    <row r="44" spans="4:9" ht="12.75" customHeight="1" x14ac:dyDescent="0.25">
      <c r="D44" s="488" t="e">
        <f>SUMIFS(GL!#REF!,GL!C:C,Table5[[#This Row],[Харилцагчид]])</f>
        <v>#REF!</v>
      </c>
      <c r="E44" s="488" t="e">
        <f>SUMIFS(GL!#REF!,GL!C:C,Table5[[#This Row],[Харилцагчид]])</f>
        <v>#REF!</v>
      </c>
      <c r="F44" s="488" t="e">
        <f>Table5[[#This Row],[ДТ]]+Table5[[#This Row],[Дебит]]-Table5[[#This Row],[КТ]]-Table5[[#This Row],[Кредит]]</f>
        <v>#REF!</v>
      </c>
      <c r="G44" s="488" t="e">
        <f>IF(Table5[[#This Row],[Зөрүү]]&gt;0,Table5[[#This Row],[Зөрүү]],0)</f>
        <v>#REF!</v>
      </c>
      <c r="H44" s="488" t="e">
        <f>IF(Table5[[#This Row],[Зөрүү]]&lt;0,-Table5[[#This Row],[Зөрүү]],0)</f>
        <v>#REF!</v>
      </c>
      <c r="I44" s="477"/>
    </row>
    <row r="45" spans="4:9" ht="12.75" customHeight="1" x14ac:dyDescent="0.25">
      <c r="D45" s="488" t="e">
        <f>SUMIFS(GL!#REF!,GL!C:C,Table5[[#This Row],[Харилцагчид]])</f>
        <v>#REF!</v>
      </c>
      <c r="E45" s="488" t="e">
        <f>SUMIFS(GL!#REF!,GL!C:C,Table5[[#This Row],[Харилцагчид]])</f>
        <v>#REF!</v>
      </c>
      <c r="F45" s="488" t="e">
        <f>Table5[[#This Row],[ДТ]]+Table5[[#This Row],[Дебит]]-Table5[[#This Row],[КТ]]-Table5[[#This Row],[Кредит]]</f>
        <v>#REF!</v>
      </c>
      <c r="G45" s="488" t="e">
        <f>IF(Table5[[#This Row],[Зөрүү]]&gt;0,Table5[[#This Row],[Зөрүү]],0)</f>
        <v>#REF!</v>
      </c>
      <c r="H45" s="488" t="e">
        <f>IF(Table5[[#This Row],[Зөрүү]]&lt;0,-Table5[[#This Row],[Зөрүү]],0)</f>
        <v>#REF!</v>
      </c>
      <c r="I45" s="477"/>
    </row>
    <row r="46" spans="4:9" ht="12.75" customHeight="1" x14ac:dyDescent="0.25">
      <c r="D46" s="488" t="e">
        <f>SUMIFS(GL!#REF!,GL!C:C,Table5[[#This Row],[Харилцагчид]])</f>
        <v>#REF!</v>
      </c>
      <c r="E46" s="488" t="e">
        <f>SUMIFS(GL!#REF!,GL!C:C,Table5[[#This Row],[Харилцагчид]])</f>
        <v>#REF!</v>
      </c>
      <c r="F46" s="488" t="e">
        <f>Table5[[#This Row],[ДТ]]+Table5[[#This Row],[Дебит]]-Table5[[#This Row],[КТ]]-Table5[[#This Row],[Кредит]]</f>
        <v>#REF!</v>
      </c>
      <c r="G46" s="488" t="e">
        <f>IF(Table5[[#This Row],[Зөрүү]]&gt;0,Table5[[#This Row],[Зөрүү]],0)</f>
        <v>#REF!</v>
      </c>
      <c r="H46" s="488" t="e">
        <f>IF(Table5[[#This Row],[Зөрүү]]&lt;0,-Table5[[#This Row],[Зөрүү]],0)</f>
        <v>#REF!</v>
      </c>
      <c r="I46" s="477"/>
    </row>
    <row r="47" spans="4:9" ht="12.75" customHeight="1" x14ac:dyDescent="0.25">
      <c r="D47" s="488" t="e">
        <f>SUMIFS(GL!#REF!,GL!C:C,Table5[[#This Row],[Харилцагчид]])</f>
        <v>#REF!</v>
      </c>
      <c r="E47" s="488" t="e">
        <f>SUMIFS(GL!#REF!,GL!C:C,Table5[[#This Row],[Харилцагчид]])</f>
        <v>#REF!</v>
      </c>
      <c r="F47" s="488" t="e">
        <f>Table5[[#This Row],[ДТ]]+Table5[[#This Row],[Дебит]]-Table5[[#This Row],[КТ]]-Table5[[#This Row],[Кредит]]</f>
        <v>#REF!</v>
      </c>
      <c r="G47" s="488" t="e">
        <f>IF(Table5[[#This Row],[Зөрүү]]&gt;0,Table5[[#This Row],[Зөрүү]],0)</f>
        <v>#REF!</v>
      </c>
      <c r="H47" s="488" t="e">
        <f>IF(Table5[[#This Row],[Зөрүү]]&lt;0,-Table5[[#This Row],[Зөрүү]],0)</f>
        <v>#REF!</v>
      </c>
      <c r="I47" s="477"/>
    </row>
    <row r="48" spans="4:9" ht="12.75" customHeight="1" x14ac:dyDescent="0.25">
      <c r="D48" s="488" t="e">
        <f>SUMIFS(GL!#REF!,GL!C:C,Table5[[#This Row],[Харилцагчид]])</f>
        <v>#REF!</v>
      </c>
      <c r="E48" s="488" t="e">
        <f>SUMIFS(GL!#REF!,GL!C:C,Table5[[#This Row],[Харилцагчид]])</f>
        <v>#REF!</v>
      </c>
      <c r="F48" s="488" t="e">
        <f>Table5[[#This Row],[ДТ]]+Table5[[#This Row],[Дебит]]-Table5[[#This Row],[КТ]]-Table5[[#This Row],[Кредит]]</f>
        <v>#REF!</v>
      </c>
      <c r="G48" s="488" t="e">
        <f>IF(Table5[[#This Row],[Зөрүү]]&gt;0,Table5[[#This Row],[Зөрүү]],0)</f>
        <v>#REF!</v>
      </c>
      <c r="H48" s="488" t="e">
        <f>IF(Table5[[#This Row],[Зөрүү]]&lt;0,-Table5[[#This Row],[Зөрүү]],0)</f>
        <v>#REF!</v>
      </c>
      <c r="I48" s="477"/>
    </row>
    <row r="49" spans="4:9" ht="12.75" customHeight="1" x14ac:dyDescent="0.25">
      <c r="D49" s="488" t="e">
        <f>SUMIFS(GL!#REF!,GL!C:C,Table5[[#This Row],[Харилцагчид]])</f>
        <v>#REF!</v>
      </c>
      <c r="E49" s="488" t="e">
        <f>SUMIFS(GL!#REF!,GL!C:C,Table5[[#This Row],[Харилцагчид]])</f>
        <v>#REF!</v>
      </c>
      <c r="F49" s="488" t="e">
        <f>Table5[[#This Row],[ДТ]]+Table5[[#This Row],[Дебит]]-Table5[[#This Row],[КТ]]-Table5[[#This Row],[Кредит]]</f>
        <v>#REF!</v>
      </c>
      <c r="G49" s="488" t="e">
        <f>IF(Table5[[#This Row],[Зөрүү]]&gt;0,Table5[[#This Row],[Зөрүү]],0)</f>
        <v>#REF!</v>
      </c>
      <c r="H49" s="488" t="e">
        <f>IF(Table5[[#This Row],[Зөрүү]]&lt;0,-Table5[[#This Row],[Зөрүү]],0)</f>
        <v>#REF!</v>
      </c>
      <c r="I49" s="477"/>
    </row>
    <row r="50" spans="4:9" ht="12.75" customHeight="1" x14ac:dyDescent="0.25">
      <c r="D50" s="488" t="e">
        <f>SUMIFS(GL!#REF!,GL!C:C,Table5[[#This Row],[Харилцагчид]])</f>
        <v>#REF!</v>
      </c>
      <c r="E50" s="488" t="e">
        <f>SUMIFS(GL!#REF!,GL!C:C,Table5[[#This Row],[Харилцагчид]])</f>
        <v>#REF!</v>
      </c>
      <c r="F50" s="488" t="e">
        <f>Table5[[#This Row],[ДТ]]+Table5[[#This Row],[Дебит]]-Table5[[#This Row],[КТ]]-Table5[[#This Row],[Кредит]]</f>
        <v>#REF!</v>
      </c>
      <c r="G50" s="488" t="e">
        <f>IF(Table5[[#This Row],[Зөрүү]]&gt;0,Table5[[#This Row],[Зөрүү]],0)</f>
        <v>#REF!</v>
      </c>
      <c r="H50" s="488" t="e">
        <f>IF(Table5[[#This Row],[Зөрүү]]&lt;0,-Table5[[#This Row],[Зөрүү]],0)</f>
        <v>#REF!</v>
      </c>
      <c r="I50" s="477"/>
    </row>
    <row r="51" spans="4:9" ht="12.75" customHeight="1" x14ac:dyDescent="0.25">
      <c r="D51" s="488" t="e">
        <f>SUMIFS(GL!#REF!,GL!C:C,Table5[[#This Row],[Харилцагчид]])</f>
        <v>#REF!</v>
      </c>
      <c r="E51" s="488" t="e">
        <f>SUMIFS(GL!#REF!,GL!C:C,Table5[[#This Row],[Харилцагчид]])</f>
        <v>#REF!</v>
      </c>
      <c r="F51" s="488" t="e">
        <f>Table5[[#This Row],[ДТ]]+Table5[[#This Row],[Дебит]]-Table5[[#This Row],[КТ]]-Table5[[#This Row],[Кредит]]</f>
        <v>#REF!</v>
      </c>
      <c r="G51" s="488" t="e">
        <f>IF(Table5[[#This Row],[Зөрүү]]&gt;0,Table5[[#This Row],[Зөрүү]],0)</f>
        <v>#REF!</v>
      </c>
      <c r="H51" s="488" t="e">
        <f>IF(Table5[[#This Row],[Зөрүү]]&lt;0,-Table5[[#This Row],[Зөрүү]],0)</f>
        <v>#REF!</v>
      </c>
      <c r="I51" s="477"/>
    </row>
    <row r="52" spans="4:9" ht="12.75" customHeight="1" x14ac:dyDescent="0.25">
      <c r="D52" s="488" t="e">
        <f>SUMIFS(GL!#REF!,GL!C:C,Table5[[#This Row],[Харилцагчид]])</f>
        <v>#REF!</v>
      </c>
      <c r="E52" s="488" t="e">
        <f>SUMIFS(GL!#REF!,GL!C:C,Table5[[#This Row],[Харилцагчид]])</f>
        <v>#REF!</v>
      </c>
      <c r="F52" s="488" t="e">
        <f>Table5[[#This Row],[ДТ]]+Table5[[#This Row],[Дебит]]-Table5[[#This Row],[КТ]]-Table5[[#This Row],[Кредит]]</f>
        <v>#REF!</v>
      </c>
      <c r="G52" s="488" t="e">
        <f>IF(Table5[[#This Row],[Зөрүү]]&gt;0,Table5[[#This Row],[Зөрүү]],0)</f>
        <v>#REF!</v>
      </c>
      <c r="H52" s="488" t="e">
        <f>IF(Table5[[#This Row],[Зөрүү]]&lt;0,-Table5[[#This Row],[Зөрүү]],0)</f>
        <v>#REF!</v>
      </c>
      <c r="I52" s="477"/>
    </row>
    <row r="53" spans="4:9" ht="12.75" customHeight="1" x14ac:dyDescent="0.25">
      <c r="D53" s="488" t="e">
        <f>SUMIFS(GL!#REF!,GL!C:C,Table5[[#This Row],[Харилцагчид]])</f>
        <v>#REF!</v>
      </c>
      <c r="E53" s="488" t="e">
        <f>SUMIFS(GL!#REF!,GL!C:C,Table5[[#This Row],[Харилцагчид]])</f>
        <v>#REF!</v>
      </c>
      <c r="F53" s="488" t="e">
        <f>Table5[[#This Row],[ДТ]]+Table5[[#This Row],[Дебит]]-Table5[[#This Row],[КТ]]-Table5[[#This Row],[Кредит]]</f>
        <v>#REF!</v>
      </c>
      <c r="G53" s="488" t="e">
        <f>IF(Table5[[#This Row],[Зөрүү]]&gt;0,Table5[[#This Row],[Зөрүү]],0)</f>
        <v>#REF!</v>
      </c>
      <c r="H53" s="488" t="e">
        <f>IF(Table5[[#This Row],[Зөрүү]]&lt;0,-Table5[[#This Row],[Зөрүү]],0)</f>
        <v>#REF!</v>
      </c>
      <c r="I53" s="477"/>
    </row>
    <row r="54" spans="4:9" ht="12.75" customHeight="1" x14ac:dyDescent="0.25">
      <c r="D54" s="488" t="e">
        <f>SUMIFS(GL!#REF!,GL!C:C,Table5[[#This Row],[Харилцагчид]])</f>
        <v>#REF!</v>
      </c>
      <c r="E54" s="488" t="e">
        <f>SUMIFS(GL!#REF!,GL!C:C,Table5[[#This Row],[Харилцагчид]])</f>
        <v>#REF!</v>
      </c>
      <c r="F54" s="488" t="e">
        <f>Table5[[#This Row],[ДТ]]+Table5[[#This Row],[Дебит]]-Table5[[#This Row],[КТ]]-Table5[[#This Row],[Кредит]]</f>
        <v>#REF!</v>
      </c>
      <c r="G54" s="488" t="e">
        <f>IF(Table5[[#This Row],[Зөрүү]]&gt;0,Table5[[#This Row],[Зөрүү]],0)</f>
        <v>#REF!</v>
      </c>
      <c r="H54" s="488" t="e">
        <f>IF(Table5[[#This Row],[Зөрүү]]&lt;0,-Table5[[#This Row],[Зөрүү]],0)</f>
        <v>#REF!</v>
      </c>
      <c r="I54" s="477"/>
    </row>
    <row r="55" spans="4:9" ht="12.75" customHeight="1" x14ac:dyDescent="0.25">
      <c r="D55" s="488" t="e">
        <f>SUMIFS(GL!#REF!,GL!C:C,Table5[[#This Row],[Харилцагчид]])</f>
        <v>#REF!</v>
      </c>
      <c r="E55" s="488" t="e">
        <f>SUMIFS(GL!#REF!,GL!C:C,Table5[[#This Row],[Харилцагчид]])</f>
        <v>#REF!</v>
      </c>
      <c r="F55" s="488" t="e">
        <f>Table5[[#This Row],[ДТ]]+Table5[[#This Row],[Дебит]]-Table5[[#This Row],[КТ]]-Table5[[#This Row],[Кредит]]</f>
        <v>#REF!</v>
      </c>
      <c r="G55" s="488" t="e">
        <f>IF(Table5[[#This Row],[Зөрүү]]&gt;0,Table5[[#This Row],[Зөрүү]],0)</f>
        <v>#REF!</v>
      </c>
      <c r="H55" s="488" t="e">
        <f>IF(Table5[[#This Row],[Зөрүү]]&lt;0,-Table5[[#This Row],[Зөрүү]],0)</f>
        <v>#REF!</v>
      </c>
      <c r="I55" s="477"/>
    </row>
    <row r="56" spans="4:9" ht="12.75" customHeight="1" x14ac:dyDescent="0.25">
      <c r="D56" s="488" t="e">
        <f>SUMIFS(GL!#REF!,GL!C:C,Table5[[#This Row],[Харилцагчид]])</f>
        <v>#REF!</v>
      </c>
      <c r="E56" s="488" t="e">
        <f>SUMIFS(GL!#REF!,GL!C:C,Table5[[#This Row],[Харилцагчид]])</f>
        <v>#REF!</v>
      </c>
      <c r="F56" s="488" t="e">
        <f>Table5[[#This Row],[ДТ]]+Table5[[#This Row],[Дебит]]-Table5[[#This Row],[КТ]]-Table5[[#This Row],[Кредит]]</f>
        <v>#REF!</v>
      </c>
      <c r="G56" s="488" t="e">
        <f>IF(Table5[[#This Row],[Зөрүү]]&gt;0,Table5[[#This Row],[Зөрүү]],0)</f>
        <v>#REF!</v>
      </c>
      <c r="H56" s="488" t="e">
        <f>IF(Table5[[#This Row],[Зөрүү]]&lt;0,-Table5[[#This Row],[Зөрүү]],0)</f>
        <v>#REF!</v>
      </c>
      <c r="I56" s="477"/>
    </row>
    <row r="57" spans="4:9" ht="12.75" customHeight="1" x14ac:dyDescent="0.25">
      <c r="D57" s="488" t="e">
        <f>SUMIFS(GL!#REF!,GL!C:C,Table5[[#This Row],[Харилцагчид]])</f>
        <v>#REF!</v>
      </c>
      <c r="E57" s="488" t="e">
        <f>SUMIFS(GL!#REF!,GL!C:C,Table5[[#This Row],[Харилцагчид]])</f>
        <v>#REF!</v>
      </c>
      <c r="F57" s="488" t="e">
        <f>Table5[[#This Row],[ДТ]]+Table5[[#This Row],[Дебит]]-Table5[[#This Row],[КТ]]-Table5[[#This Row],[Кредит]]</f>
        <v>#REF!</v>
      </c>
      <c r="G57" s="488" t="e">
        <f>IF(Table5[[#This Row],[Зөрүү]]&gt;0,Table5[[#This Row],[Зөрүү]],0)</f>
        <v>#REF!</v>
      </c>
      <c r="H57" s="488" t="e">
        <f>IF(Table5[[#This Row],[Зөрүү]]&lt;0,-Table5[[#This Row],[Зөрүү]],0)</f>
        <v>#REF!</v>
      </c>
      <c r="I57" s="477"/>
    </row>
    <row r="58" spans="4:9" ht="12.75" customHeight="1" x14ac:dyDescent="0.25">
      <c r="D58" s="488" t="e">
        <f>SUMIFS(GL!#REF!,GL!C:C,Table5[[#This Row],[Харилцагчид]])</f>
        <v>#REF!</v>
      </c>
      <c r="E58" s="488" t="e">
        <f>SUMIFS(GL!#REF!,GL!C:C,Table5[[#This Row],[Харилцагчид]])</f>
        <v>#REF!</v>
      </c>
      <c r="F58" s="488" t="e">
        <f>Table5[[#This Row],[ДТ]]+Table5[[#This Row],[Дебит]]-Table5[[#This Row],[КТ]]-Table5[[#This Row],[Кредит]]</f>
        <v>#REF!</v>
      </c>
      <c r="G58" s="488" t="e">
        <f>IF(Table5[[#This Row],[Зөрүү]]&gt;0,Table5[[#This Row],[Зөрүү]],0)</f>
        <v>#REF!</v>
      </c>
      <c r="H58" s="488" t="e">
        <f>IF(Table5[[#This Row],[Зөрүү]]&lt;0,-Table5[[#This Row],[Зөрүү]],0)</f>
        <v>#REF!</v>
      </c>
      <c r="I58" s="477"/>
    </row>
    <row r="59" spans="4:9" ht="12.75" customHeight="1" x14ac:dyDescent="0.25">
      <c r="D59" s="488" t="e">
        <f>SUMIFS(GL!#REF!,GL!C:C,Table5[[#This Row],[Харилцагчид]])</f>
        <v>#REF!</v>
      </c>
      <c r="E59" s="488" t="e">
        <f>SUMIFS(GL!#REF!,GL!C:C,Table5[[#This Row],[Харилцагчид]])</f>
        <v>#REF!</v>
      </c>
      <c r="F59" s="488" t="e">
        <f>Table5[[#This Row],[ДТ]]+Table5[[#This Row],[Дебит]]-Table5[[#This Row],[КТ]]-Table5[[#This Row],[Кредит]]</f>
        <v>#REF!</v>
      </c>
      <c r="G59" s="488" t="e">
        <f>IF(Table5[[#This Row],[Зөрүү]]&gt;0,Table5[[#This Row],[Зөрүү]],0)</f>
        <v>#REF!</v>
      </c>
      <c r="H59" s="488" t="e">
        <f>IF(Table5[[#This Row],[Зөрүү]]&lt;0,-Table5[[#This Row],[Зөрүү]],0)</f>
        <v>#REF!</v>
      </c>
      <c r="I59" s="477"/>
    </row>
    <row r="60" spans="4:9" ht="12.75" customHeight="1" x14ac:dyDescent="0.25">
      <c r="D60" s="488" t="e">
        <f>SUMIFS(GL!#REF!,GL!C:C,Table5[[#This Row],[Харилцагчид]])</f>
        <v>#REF!</v>
      </c>
      <c r="E60" s="488" t="e">
        <f>SUMIFS(GL!#REF!,GL!C:C,Table5[[#This Row],[Харилцагчид]])</f>
        <v>#REF!</v>
      </c>
      <c r="F60" s="488" t="e">
        <f>Table5[[#This Row],[ДТ]]+Table5[[#This Row],[Дебит]]-Table5[[#This Row],[КТ]]-Table5[[#This Row],[Кредит]]</f>
        <v>#REF!</v>
      </c>
      <c r="G60" s="488" t="e">
        <f>IF(Table5[[#This Row],[Зөрүү]]&gt;0,Table5[[#This Row],[Зөрүү]],0)</f>
        <v>#REF!</v>
      </c>
      <c r="H60" s="488" t="e">
        <f>IF(Table5[[#This Row],[Зөрүү]]&lt;0,-Table5[[#This Row],[Зөрүү]],0)</f>
        <v>#REF!</v>
      </c>
      <c r="I60" s="477"/>
    </row>
    <row r="61" spans="4:9" ht="12.75" customHeight="1" x14ac:dyDescent="0.25">
      <c r="D61" s="488" t="e">
        <f>SUMIFS(GL!#REF!,GL!C:C,Table5[[#This Row],[Харилцагчид]])</f>
        <v>#REF!</v>
      </c>
      <c r="E61" s="488" t="e">
        <f>SUMIFS(GL!#REF!,GL!C:C,Table5[[#This Row],[Харилцагчид]])</f>
        <v>#REF!</v>
      </c>
      <c r="F61" s="488" t="e">
        <f>Table5[[#This Row],[ДТ]]+Table5[[#This Row],[Дебит]]-Table5[[#This Row],[КТ]]-Table5[[#This Row],[Кредит]]</f>
        <v>#REF!</v>
      </c>
      <c r="G61" s="488" t="e">
        <f>IF(Table5[[#This Row],[Зөрүү]]&gt;0,Table5[[#This Row],[Зөрүү]],0)</f>
        <v>#REF!</v>
      </c>
      <c r="H61" s="488" t="e">
        <f>IF(Table5[[#This Row],[Зөрүү]]&lt;0,-Table5[[#This Row],[Зөрүү]],0)</f>
        <v>#REF!</v>
      </c>
      <c r="I61" s="477"/>
    </row>
    <row r="62" spans="4:9" ht="12.75" customHeight="1" x14ac:dyDescent="0.25">
      <c r="D62" s="488" t="e">
        <f>SUMIFS(GL!#REF!,GL!C:C,Table5[[#This Row],[Харилцагчид]])</f>
        <v>#REF!</v>
      </c>
      <c r="E62" s="488" t="e">
        <f>SUMIFS(GL!#REF!,GL!C:C,Table5[[#This Row],[Харилцагчид]])</f>
        <v>#REF!</v>
      </c>
      <c r="F62" s="488" t="e">
        <f>Table5[[#This Row],[ДТ]]+Table5[[#This Row],[Дебит]]-Table5[[#This Row],[КТ]]-Table5[[#This Row],[Кредит]]</f>
        <v>#REF!</v>
      </c>
      <c r="G62" s="488" t="e">
        <f>IF(Table5[[#This Row],[Зөрүү]]&gt;0,Table5[[#This Row],[Зөрүү]],0)</f>
        <v>#REF!</v>
      </c>
      <c r="H62" s="488" t="e">
        <f>IF(Table5[[#This Row],[Зөрүү]]&lt;0,-Table5[[#This Row],[Зөрүү]],0)</f>
        <v>#REF!</v>
      </c>
      <c r="I62" s="477"/>
    </row>
    <row r="63" spans="4:9" ht="12.75" customHeight="1" x14ac:dyDescent="0.25">
      <c r="D63" s="488" t="e">
        <f>SUMIFS(GL!#REF!,GL!C:C,Table5[[#This Row],[Харилцагчид]])</f>
        <v>#REF!</v>
      </c>
      <c r="E63" s="488" t="e">
        <f>SUMIFS(GL!#REF!,GL!C:C,Table5[[#This Row],[Харилцагчид]])</f>
        <v>#REF!</v>
      </c>
      <c r="F63" s="488" t="e">
        <f>Table5[[#This Row],[ДТ]]+Table5[[#This Row],[Дебит]]-Table5[[#This Row],[КТ]]-Table5[[#This Row],[Кредит]]</f>
        <v>#REF!</v>
      </c>
      <c r="G63" s="488" t="e">
        <f>IF(Table5[[#This Row],[Зөрүү]]&gt;0,Table5[[#This Row],[Зөрүү]],0)</f>
        <v>#REF!</v>
      </c>
      <c r="H63" s="488" t="e">
        <f>IF(Table5[[#This Row],[Зөрүү]]&lt;0,-Table5[[#This Row],[Зөрүү]],0)</f>
        <v>#REF!</v>
      </c>
      <c r="I63" s="477"/>
    </row>
    <row r="64" spans="4:9" ht="12.75" customHeight="1" x14ac:dyDescent="0.25">
      <c r="D64" s="488" t="e">
        <f>SUMIFS(GL!#REF!,GL!C:C,Table5[[#This Row],[Харилцагчид]])</f>
        <v>#REF!</v>
      </c>
      <c r="E64" s="488" t="e">
        <f>SUMIFS(GL!#REF!,GL!C:C,Table5[[#This Row],[Харилцагчид]])</f>
        <v>#REF!</v>
      </c>
      <c r="F64" s="488" t="e">
        <f>Table5[[#This Row],[ДТ]]+Table5[[#This Row],[Дебит]]-Table5[[#This Row],[КТ]]-Table5[[#This Row],[Кредит]]</f>
        <v>#REF!</v>
      </c>
      <c r="G64" s="488" t="e">
        <f>IF(Table5[[#This Row],[Зөрүү]]&gt;0,Table5[[#This Row],[Зөрүү]],0)</f>
        <v>#REF!</v>
      </c>
      <c r="H64" s="488" t="e">
        <f>IF(Table5[[#This Row],[Зөрүү]]&lt;0,-Table5[[#This Row],[Зөрүү]],0)</f>
        <v>#REF!</v>
      </c>
      <c r="I64" s="477"/>
    </row>
    <row r="65" spans="4:9" ht="12.75" customHeight="1" x14ac:dyDescent="0.25">
      <c r="D65" s="488" t="e">
        <f>SUMIFS(GL!#REF!,GL!C:C,Table5[[#This Row],[Харилцагчид]])</f>
        <v>#REF!</v>
      </c>
      <c r="E65" s="488" t="e">
        <f>SUMIFS(GL!#REF!,GL!C:C,Table5[[#This Row],[Харилцагчид]])</f>
        <v>#REF!</v>
      </c>
      <c r="F65" s="488" t="e">
        <f>Table5[[#This Row],[ДТ]]+Table5[[#This Row],[Дебит]]-Table5[[#This Row],[КТ]]-Table5[[#This Row],[Кредит]]</f>
        <v>#REF!</v>
      </c>
      <c r="G65" s="488" t="e">
        <f>IF(Table5[[#This Row],[Зөрүү]]&gt;0,Table5[[#This Row],[Зөрүү]],0)</f>
        <v>#REF!</v>
      </c>
      <c r="H65" s="488" t="e">
        <f>IF(Table5[[#This Row],[Зөрүү]]&lt;0,-Table5[[#This Row],[Зөрүү]],0)</f>
        <v>#REF!</v>
      </c>
      <c r="I65" s="477"/>
    </row>
    <row r="66" spans="4:9" ht="12.75" customHeight="1" x14ac:dyDescent="0.25">
      <c r="D66" s="488" t="e">
        <f>SUMIFS(GL!#REF!,GL!C:C,Table5[[#This Row],[Харилцагчид]])</f>
        <v>#REF!</v>
      </c>
      <c r="E66" s="488" t="e">
        <f>SUMIFS(GL!#REF!,GL!C:C,Table5[[#This Row],[Харилцагчид]])</f>
        <v>#REF!</v>
      </c>
      <c r="F66" s="488" t="e">
        <f>Table5[[#This Row],[ДТ]]+Table5[[#This Row],[Дебит]]-Table5[[#This Row],[КТ]]-Table5[[#This Row],[Кредит]]</f>
        <v>#REF!</v>
      </c>
      <c r="G66" s="488" t="e">
        <f>IF(Table5[[#This Row],[Зөрүү]]&gt;0,Table5[[#This Row],[Зөрүү]],0)</f>
        <v>#REF!</v>
      </c>
      <c r="H66" s="488" t="e">
        <f>IF(Table5[[#This Row],[Зөрүү]]&lt;0,-Table5[[#This Row],[Зөрүү]],0)</f>
        <v>#REF!</v>
      </c>
      <c r="I66" s="477"/>
    </row>
    <row r="67" spans="4:9" ht="12.75" customHeight="1" x14ac:dyDescent="0.25">
      <c r="D67" s="488" t="e">
        <f>SUMIFS(GL!#REF!,GL!C:C,Table5[[#This Row],[Харилцагчид]])</f>
        <v>#REF!</v>
      </c>
      <c r="E67" s="488" t="e">
        <f>SUMIFS(GL!#REF!,GL!C:C,Table5[[#This Row],[Харилцагчид]])</f>
        <v>#REF!</v>
      </c>
      <c r="F67" s="488" t="e">
        <f>Table5[[#This Row],[ДТ]]+Table5[[#This Row],[Дебит]]-Table5[[#This Row],[КТ]]-Table5[[#This Row],[Кредит]]</f>
        <v>#REF!</v>
      </c>
      <c r="G67" s="488" t="e">
        <f>IF(Table5[[#This Row],[Зөрүү]]&gt;0,Table5[[#This Row],[Зөрүү]],0)</f>
        <v>#REF!</v>
      </c>
      <c r="H67" s="488" t="e">
        <f>IF(Table5[[#This Row],[Зөрүү]]&lt;0,-Table5[[#This Row],[Зөрүү]],0)</f>
        <v>#REF!</v>
      </c>
      <c r="I67" s="477"/>
    </row>
    <row r="68" spans="4:9" ht="12.75" customHeight="1" x14ac:dyDescent="0.25">
      <c r="D68" s="488" t="e">
        <f>SUMIFS(GL!#REF!,GL!C:C,Table5[[#This Row],[Харилцагчид]])</f>
        <v>#REF!</v>
      </c>
      <c r="E68" s="488" t="e">
        <f>SUMIFS(GL!#REF!,GL!C:C,Table5[[#This Row],[Харилцагчид]])</f>
        <v>#REF!</v>
      </c>
      <c r="F68" s="488" t="e">
        <f>Table5[[#This Row],[ДТ]]+Table5[[#This Row],[Дебит]]-Table5[[#This Row],[КТ]]-Table5[[#This Row],[Кредит]]</f>
        <v>#REF!</v>
      </c>
      <c r="G68" s="488" t="e">
        <f>IF(Table5[[#This Row],[Зөрүү]]&gt;0,Table5[[#This Row],[Зөрүү]],0)</f>
        <v>#REF!</v>
      </c>
      <c r="H68" s="488" t="e">
        <f>IF(Table5[[#This Row],[Зөрүү]]&lt;0,-Table5[[#This Row],[Зөрүү]],0)</f>
        <v>#REF!</v>
      </c>
      <c r="I68" s="477"/>
    </row>
    <row r="69" spans="4:9" ht="12.75" customHeight="1" x14ac:dyDescent="0.25">
      <c r="D69" s="488" t="e">
        <f>SUMIFS(GL!#REF!,GL!C:C,Table5[[#This Row],[Харилцагчид]])</f>
        <v>#REF!</v>
      </c>
      <c r="E69" s="488" t="e">
        <f>SUMIFS(GL!#REF!,GL!C:C,Table5[[#This Row],[Харилцагчид]])</f>
        <v>#REF!</v>
      </c>
      <c r="F69" s="488" t="e">
        <f>Table5[[#This Row],[ДТ]]+Table5[[#This Row],[Дебит]]-Table5[[#This Row],[КТ]]-Table5[[#This Row],[Кредит]]</f>
        <v>#REF!</v>
      </c>
      <c r="G69" s="488" t="e">
        <f>IF(Table5[[#This Row],[Зөрүү]]&gt;0,Table5[[#This Row],[Зөрүү]],0)</f>
        <v>#REF!</v>
      </c>
      <c r="H69" s="488" t="e">
        <f>IF(Table5[[#This Row],[Зөрүү]]&lt;0,-Table5[[#This Row],[Зөрүү]],0)</f>
        <v>#REF!</v>
      </c>
      <c r="I69" s="477"/>
    </row>
    <row r="70" spans="4:9" ht="12.75" customHeight="1" x14ac:dyDescent="0.25">
      <c r="D70" s="488" t="e">
        <f>SUMIFS(GL!#REF!,GL!C:C,Table5[[#This Row],[Харилцагчид]])</f>
        <v>#REF!</v>
      </c>
      <c r="E70" s="488" t="e">
        <f>SUMIFS(GL!#REF!,GL!C:C,Table5[[#This Row],[Харилцагчид]])</f>
        <v>#REF!</v>
      </c>
      <c r="F70" s="488" t="e">
        <f>Table5[[#This Row],[ДТ]]+Table5[[#This Row],[Дебит]]-Table5[[#This Row],[КТ]]-Table5[[#This Row],[Кредит]]</f>
        <v>#REF!</v>
      </c>
      <c r="G70" s="488" t="e">
        <f>IF(Table5[[#This Row],[Зөрүү]]&gt;0,Table5[[#This Row],[Зөрүү]],0)</f>
        <v>#REF!</v>
      </c>
      <c r="H70" s="488" t="e">
        <f>IF(Table5[[#This Row],[Зөрүү]]&lt;0,-Table5[[#This Row],[Зөрүү]],0)</f>
        <v>#REF!</v>
      </c>
      <c r="I70" s="477"/>
    </row>
    <row r="71" spans="4:9" ht="12.75" customHeight="1" x14ac:dyDescent="0.25">
      <c r="D71" s="488" t="e">
        <f>SUMIFS(GL!#REF!,GL!C:C,Table5[[#This Row],[Харилцагчид]])</f>
        <v>#REF!</v>
      </c>
      <c r="E71" s="488" t="e">
        <f>SUMIFS(GL!#REF!,GL!C:C,Table5[[#This Row],[Харилцагчид]])</f>
        <v>#REF!</v>
      </c>
      <c r="F71" s="488" t="e">
        <f>Table5[[#This Row],[ДТ]]+Table5[[#This Row],[Дебит]]-Table5[[#This Row],[КТ]]-Table5[[#This Row],[Кредит]]</f>
        <v>#REF!</v>
      </c>
      <c r="G71" s="488" t="e">
        <f>IF(Table5[[#This Row],[Зөрүү]]&gt;0,Table5[[#This Row],[Зөрүү]],0)</f>
        <v>#REF!</v>
      </c>
      <c r="H71" s="488" t="e">
        <f>IF(Table5[[#This Row],[Зөрүү]]&lt;0,-Table5[[#This Row],[Зөрүү]],0)</f>
        <v>#REF!</v>
      </c>
      <c r="I71" s="477"/>
    </row>
    <row r="72" spans="4:9" ht="12.75" customHeight="1" x14ac:dyDescent="0.25">
      <c r="D72" s="488" t="e">
        <f>SUMIFS(GL!#REF!,GL!C:C,Table5[[#This Row],[Харилцагчид]])</f>
        <v>#REF!</v>
      </c>
      <c r="E72" s="488" t="e">
        <f>SUMIFS(GL!#REF!,GL!C:C,Table5[[#This Row],[Харилцагчид]])</f>
        <v>#REF!</v>
      </c>
      <c r="F72" s="488" t="e">
        <f>Table5[[#This Row],[ДТ]]+Table5[[#This Row],[Дебит]]-Table5[[#This Row],[КТ]]-Table5[[#This Row],[Кредит]]</f>
        <v>#REF!</v>
      </c>
      <c r="G72" s="488" t="e">
        <f>IF(Table5[[#This Row],[Зөрүү]]&gt;0,Table5[[#This Row],[Зөрүү]],0)</f>
        <v>#REF!</v>
      </c>
      <c r="H72" s="488" t="e">
        <f>IF(Table5[[#This Row],[Зөрүү]]&lt;0,-Table5[[#This Row],[Зөрүү]],0)</f>
        <v>#REF!</v>
      </c>
      <c r="I72" s="477"/>
    </row>
    <row r="73" spans="4:9" ht="12.75" customHeight="1" x14ac:dyDescent="0.25">
      <c r="D73" s="488" t="e">
        <f>SUMIFS(GL!#REF!,GL!C:C,Table5[[#This Row],[Харилцагчид]])</f>
        <v>#REF!</v>
      </c>
      <c r="E73" s="488" t="e">
        <f>SUMIFS(GL!#REF!,GL!C:C,Table5[[#This Row],[Харилцагчид]])</f>
        <v>#REF!</v>
      </c>
      <c r="F73" s="488" t="e">
        <f>Table5[[#This Row],[ДТ]]+Table5[[#This Row],[Дебит]]-Table5[[#This Row],[КТ]]-Table5[[#This Row],[Кредит]]</f>
        <v>#REF!</v>
      </c>
      <c r="G73" s="488" t="e">
        <f>IF(Table5[[#This Row],[Зөрүү]]&gt;0,Table5[[#This Row],[Зөрүү]],0)</f>
        <v>#REF!</v>
      </c>
      <c r="H73" s="488" t="e">
        <f>IF(Table5[[#This Row],[Зөрүү]]&lt;0,-Table5[[#This Row],[Зөрүү]],0)</f>
        <v>#REF!</v>
      </c>
      <c r="I73" s="477"/>
    </row>
    <row r="74" spans="4:9" ht="12.75" customHeight="1" x14ac:dyDescent="0.25">
      <c r="D74" s="488" t="e">
        <f>SUMIFS(GL!#REF!,GL!C:C,Table5[[#This Row],[Харилцагчид]])</f>
        <v>#REF!</v>
      </c>
      <c r="E74" s="488" t="e">
        <f>SUMIFS(GL!#REF!,GL!C:C,Table5[[#This Row],[Харилцагчид]])</f>
        <v>#REF!</v>
      </c>
      <c r="F74" s="488" t="e">
        <f>Table5[[#This Row],[ДТ]]+Table5[[#This Row],[Дебит]]-Table5[[#This Row],[КТ]]-Table5[[#This Row],[Кредит]]</f>
        <v>#REF!</v>
      </c>
      <c r="G74" s="488" t="e">
        <f>IF(Table5[[#This Row],[Зөрүү]]&gt;0,Table5[[#This Row],[Зөрүү]],0)</f>
        <v>#REF!</v>
      </c>
      <c r="H74" s="488" t="e">
        <f>IF(Table5[[#This Row],[Зөрүү]]&lt;0,-Table5[[#This Row],[Зөрүү]],0)</f>
        <v>#REF!</v>
      </c>
      <c r="I74" s="477"/>
    </row>
    <row r="75" spans="4:9" ht="12.75" customHeight="1" x14ac:dyDescent="0.25">
      <c r="D75" s="488" t="e">
        <f>SUMIFS(GL!#REF!,GL!C:C,Table5[[#This Row],[Харилцагчид]])</f>
        <v>#REF!</v>
      </c>
      <c r="E75" s="488" t="e">
        <f>SUMIFS(GL!#REF!,GL!C:C,Table5[[#This Row],[Харилцагчид]])</f>
        <v>#REF!</v>
      </c>
      <c r="F75" s="488" t="e">
        <f>Table5[[#This Row],[ДТ]]+Table5[[#This Row],[Дебит]]-Table5[[#This Row],[КТ]]-Table5[[#This Row],[Кредит]]</f>
        <v>#REF!</v>
      </c>
      <c r="G75" s="488" t="e">
        <f>IF(Table5[[#This Row],[Зөрүү]]&gt;0,Table5[[#This Row],[Зөрүү]],0)</f>
        <v>#REF!</v>
      </c>
      <c r="H75" s="488" t="e">
        <f>IF(Table5[[#This Row],[Зөрүү]]&lt;0,-Table5[[#This Row],[Зөрүү]],0)</f>
        <v>#REF!</v>
      </c>
      <c r="I75" s="477"/>
    </row>
    <row r="76" spans="4:9" ht="12.75" customHeight="1" x14ac:dyDescent="0.25">
      <c r="D76" s="488" t="e">
        <f>SUMIFS(GL!#REF!,GL!C:C,Table5[[#This Row],[Харилцагчид]])</f>
        <v>#REF!</v>
      </c>
      <c r="E76" s="488" t="e">
        <f>SUMIFS(GL!#REF!,GL!C:C,Table5[[#This Row],[Харилцагчид]])</f>
        <v>#REF!</v>
      </c>
      <c r="F76" s="488" t="e">
        <f>Table5[[#This Row],[ДТ]]+Table5[[#This Row],[Дебит]]-Table5[[#This Row],[КТ]]-Table5[[#This Row],[Кредит]]</f>
        <v>#REF!</v>
      </c>
      <c r="G76" s="488" t="e">
        <f>IF(Table5[[#This Row],[Зөрүү]]&gt;0,Table5[[#This Row],[Зөрүү]],0)</f>
        <v>#REF!</v>
      </c>
      <c r="H76" s="488" t="e">
        <f>IF(Table5[[#This Row],[Зөрүү]]&lt;0,-Table5[[#This Row],[Зөрүү]],0)</f>
        <v>#REF!</v>
      </c>
      <c r="I76" s="477"/>
    </row>
    <row r="77" spans="4:9" ht="12.75" customHeight="1" x14ac:dyDescent="0.25">
      <c r="D77" s="488" t="e">
        <f>SUMIFS(GL!#REF!,GL!C:C,Table5[[#This Row],[Харилцагчид]])</f>
        <v>#REF!</v>
      </c>
      <c r="E77" s="488" t="e">
        <f>SUMIFS(GL!#REF!,GL!C:C,Table5[[#This Row],[Харилцагчид]])</f>
        <v>#REF!</v>
      </c>
      <c r="F77" s="488" t="e">
        <f>Table5[[#This Row],[ДТ]]+Table5[[#This Row],[Дебит]]-Table5[[#This Row],[КТ]]-Table5[[#This Row],[Кредит]]</f>
        <v>#REF!</v>
      </c>
      <c r="G77" s="488" t="e">
        <f>IF(Table5[[#This Row],[Зөрүү]]&gt;0,Table5[[#This Row],[Зөрүү]],0)</f>
        <v>#REF!</v>
      </c>
      <c r="H77" s="488" t="e">
        <f>IF(Table5[[#This Row],[Зөрүү]]&lt;0,-Table5[[#This Row],[Зөрүү]],0)</f>
        <v>#REF!</v>
      </c>
      <c r="I77" s="477"/>
    </row>
    <row r="78" spans="4:9" ht="12.75" customHeight="1" x14ac:dyDescent="0.25">
      <c r="D78" s="488" t="e">
        <f>SUMIFS(GL!#REF!,GL!C:C,Table5[[#This Row],[Харилцагчид]])</f>
        <v>#REF!</v>
      </c>
      <c r="E78" s="488" t="e">
        <f>SUMIFS(GL!#REF!,GL!C:C,Table5[[#This Row],[Харилцагчид]])</f>
        <v>#REF!</v>
      </c>
      <c r="F78" s="488" t="e">
        <f>Table5[[#This Row],[ДТ]]+Table5[[#This Row],[Дебит]]-Table5[[#This Row],[КТ]]-Table5[[#This Row],[Кредит]]</f>
        <v>#REF!</v>
      </c>
      <c r="G78" s="488" t="e">
        <f>IF(Table5[[#This Row],[Зөрүү]]&gt;0,Table5[[#This Row],[Зөрүү]],0)</f>
        <v>#REF!</v>
      </c>
      <c r="H78" s="488" t="e">
        <f>IF(Table5[[#This Row],[Зөрүү]]&lt;0,-Table5[[#This Row],[Зөрүү]],0)</f>
        <v>#REF!</v>
      </c>
      <c r="I78" s="477"/>
    </row>
    <row r="79" spans="4:9" ht="12.75" customHeight="1" x14ac:dyDescent="0.25">
      <c r="D79" s="488" t="e">
        <f>SUMIFS(GL!#REF!,GL!C:C,Table5[[#This Row],[Харилцагчид]])</f>
        <v>#REF!</v>
      </c>
      <c r="E79" s="488" t="e">
        <f>SUMIFS(GL!#REF!,GL!C:C,Table5[[#This Row],[Харилцагчид]])</f>
        <v>#REF!</v>
      </c>
      <c r="F79" s="488" t="e">
        <f>Table5[[#This Row],[ДТ]]+Table5[[#This Row],[Дебит]]-Table5[[#This Row],[КТ]]-Table5[[#This Row],[Кредит]]</f>
        <v>#REF!</v>
      </c>
      <c r="G79" s="488" t="e">
        <f>IF(Table5[[#This Row],[Зөрүү]]&gt;0,Table5[[#This Row],[Зөрүү]],0)</f>
        <v>#REF!</v>
      </c>
      <c r="H79" s="488" t="e">
        <f>IF(Table5[[#This Row],[Зөрүү]]&lt;0,-Table5[[#This Row],[Зөрүү]],0)</f>
        <v>#REF!</v>
      </c>
      <c r="I79" s="477"/>
    </row>
    <row r="80" spans="4:9" ht="12.75" customHeight="1" x14ac:dyDescent="0.25">
      <c r="D80" s="488" t="e">
        <f>SUMIFS(GL!#REF!,GL!C:C,Table5[[#This Row],[Харилцагчид]])</f>
        <v>#REF!</v>
      </c>
      <c r="E80" s="488" t="e">
        <f>SUMIFS(GL!#REF!,GL!C:C,Table5[[#This Row],[Харилцагчид]])</f>
        <v>#REF!</v>
      </c>
      <c r="F80" s="488" t="e">
        <f>Table5[[#This Row],[ДТ]]+Table5[[#This Row],[Дебит]]-Table5[[#This Row],[КТ]]-Table5[[#This Row],[Кредит]]</f>
        <v>#REF!</v>
      </c>
      <c r="G80" s="488" t="e">
        <f>IF(Table5[[#This Row],[Зөрүү]]&gt;0,Table5[[#This Row],[Зөрүү]],0)</f>
        <v>#REF!</v>
      </c>
      <c r="H80" s="488" t="e">
        <f>IF(Table5[[#This Row],[Зөрүү]]&lt;0,-Table5[[#This Row],[Зөрүү]],0)</f>
        <v>#REF!</v>
      </c>
      <c r="I80" s="477"/>
    </row>
    <row r="81" spans="4:9" ht="12.75" customHeight="1" x14ac:dyDescent="0.25">
      <c r="D81" s="488" t="e">
        <f>SUMIFS(GL!#REF!,GL!C:C,Table5[[#This Row],[Харилцагчид]])</f>
        <v>#REF!</v>
      </c>
      <c r="E81" s="488" t="e">
        <f>SUMIFS(GL!#REF!,GL!C:C,Table5[[#This Row],[Харилцагчид]])</f>
        <v>#REF!</v>
      </c>
      <c r="F81" s="488" t="e">
        <f>Table5[[#This Row],[ДТ]]+Table5[[#This Row],[Дебит]]-Table5[[#This Row],[КТ]]-Table5[[#This Row],[Кредит]]</f>
        <v>#REF!</v>
      </c>
      <c r="G81" s="488" t="e">
        <f>IF(Table5[[#This Row],[Зөрүү]]&gt;0,Table5[[#This Row],[Зөрүү]],0)</f>
        <v>#REF!</v>
      </c>
      <c r="H81" s="488" t="e">
        <f>IF(Table5[[#This Row],[Зөрүү]]&lt;0,-Table5[[#This Row],[Зөрүү]],0)</f>
        <v>#REF!</v>
      </c>
      <c r="I81" s="477"/>
    </row>
    <row r="82" spans="4:9" ht="12.75" customHeight="1" x14ac:dyDescent="0.25">
      <c r="D82" s="488" t="e">
        <f>SUMIFS(GL!#REF!,GL!C:C,Table5[[#This Row],[Харилцагчид]])</f>
        <v>#REF!</v>
      </c>
      <c r="E82" s="488" t="e">
        <f>SUMIFS(GL!#REF!,GL!C:C,Table5[[#This Row],[Харилцагчид]])</f>
        <v>#REF!</v>
      </c>
      <c r="F82" s="488" t="e">
        <f>Table5[[#This Row],[ДТ]]+Table5[[#This Row],[Дебит]]-Table5[[#This Row],[КТ]]-Table5[[#This Row],[Кредит]]</f>
        <v>#REF!</v>
      </c>
      <c r="G82" s="488" t="e">
        <f>IF(Table5[[#This Row],[Зөрүү]]&gt;0,Table5[[#This Row],[Зөрүү]],0)</f>
        <v>#REF!</v>
      </c>
      <c r="H82" s="488" t="e">
        <f>IF(Table5[[#This Row],[Зөрүү]]&lt;0,-Table5[[#This Row],[Зөрүү]],0)</f>
        <v>#REF!</v>
      </c>
      <c r="I82" s="477"/>
    </row>
    <row r="83" spans="4:9" ht="12.75" customHeight="1" x14ac:dyDescent="0.25">
      <c r="D83" s="488" t="e">
        <f>SUMIFS(GL!#REF!,GL!C:C,Table5[[#This Row],[Харилцагчид]])</f>
        <v>#REF!</v>
      </c>
      <c r="E83" s="488" t="e">
        <f>SUMIFS(GL!#REF!,GL!C:C,Table5[[#This Row],[Харилцагчид]])</f>
        <v>#REF!</v>
      </c>
      <c r="F83" s="488" t="e">
        <f>Table5[[#This Row],[ДТ]]+Table5[[#This Row],[Дебит]]-Table5[[#This Row],[КТ]]-Table5[[#This Row],[Кредит]]</f>
        <v>#REF!</v>
      </c>
      <c r="G83" s="488" t="e">
        <f>IF(Table5[[#This Row],[Зөрүү]]&gt;0,Table5[[#This Row],[Зөрүү]],0)</f>
        <v>#REF!</v>
      </c>
      <c r="H83" s="488" t="e">
        <f>IF(Table5[[#This Row],[Зөрүү]]&lt;0,-Table5[[#This Row],[Зөрүү]],0)</f>
        <v>#REF!</v>
      </c>
      <c r="I83" s="477"/>
    </row>
    <row r="84" spans="4:9" ht="12.75" customHeight="1" x14ac:dyDescent="0.25">
      <c r="D84" s="488" t="e">
        <f>SUMIFS(GL!#REF!,GL!C:C,Table5[[#This Row],[Харилцагчид]])</f>
        <v>#REF!</v>
      </c>
      <c r="E84" s="488" t="e">
        <f>SUMIFS(GL!#REF!,GL!C:C,Table5[[#This Row],[Харилцагчид]])</f>
        <v>#REF!</v>
      </c>
      <c r="F84" s="488" t="e">
        <f>Table5[[#This Row],[ДТ]]+Table5[[#This Row],[Дебит]]-Table5[[#This Row],[КТ]]-Table5[[#This Row],[Кредит]]</f>
        <v>#REF!</v>
      </c>
      <c r="G84" s="488" t="e">
        <f>IF(Table5[[#This Row],[Зөрүү]]&gt;0,Table5[[#This Row],[Зөрүү]],0)</f>
        <v>#REF!</v>
      </c>
      <c r="H84" s="488" t="e">
        <f>IF(Table5[[#This Row],[Зөрүү]]&lt;0,-Table5[[#This Row],[Зөрүү]],0)</f>
        <v>#REF!</v>
      </c>
      <c r="I84" s="477"/>
    </row>
    <row r="85" spans="4:9" ht="12.75" customHeight="1" x14ac:dyDescent="0.25">
      <c r="D85" s="488" t="e">
        <f>SUMIFS(GL!#REF!,GL!C:C,Table5[[#This Row],[Харилцагчид]])</f>
        <v>#REF!</v>
      </c>
      <c r="E85" s="488" t="e">
        <f>SUMIFS(GL!#REF!,GL!C:C,Table5[[#This Row],[Харилцагчид]])</f>
        <v>#REF!</v>
      </c>
      <c r="F85" s="488" t="e">
        <f>Table5[[#This Row],[ДТ]]+Table5[[#This Row],[Дебит]]-Table5[[#This Row],[КТ]]-Table5[[#This Row],[Кредит]]</f>
        <v>#REF!</v>
      </c>
      <c r="G85" s="488" t="e">
        <f>IF(Table5[[#This Row],[Зөрүү]]&gt;0,Table5[[#This Row],[Зөрүү]],0)</f>
        <v>#REF!</v>
      </c>
      <c r="H85" s="488" t="e">
        <f>IF(Table5[[#This Row],[Зөрүү]]&lt;0,-Table5[[#This Row],[Зөрүү]],0)</f>
        <v>#REF!</v>
      </c>
      <c r="I85" s="477"/>
    </row>
    <row r="86" spans="4:9" ht="12.75" customHeight="1" x14ac:dyDescent="0.25">
      <c r="D86" s="488" t="e">
        <f>SUMIFS(GL!#REF!,GL!C:C,Table5[[#This Row],[Харилцагчид]])</f>
        <v>#REF!</v>
      </c>
      <c r="E86" s="488" t="e">
        <f>SUMIFS(GL!#REF!,GL!C:C,Table5[[#This Row],[Харилцагчид]])</f>
        <v>#REF!</v>
      </c>
      <c r="F86" s="488" t="e">
        <f>Table5[[#This Row],[ДТ]]+Table5[[#This Row],[Дебит]]-Table5[[#This Row],[КТ]]-Table5[[#This Row],[Кредит]]</f>
        <v>#REF!</v>
      </c>
      <c r="G86" s="488" t="e">
        <f>IF(Table5[[#This Row],[Зөрүү]]&gt;0,Table5[[#This Row],[Зөрүү]],0)</f>
        <v>#REF!</v>
      </c>
      <c r="H86" s="488" t="e">
        <f>IF(Table5[[#This Row],[Зөрүү]]&lt;0,-Table5[[#This Row],[Зөрүү]],0)</f>
        <v>#REF!</v>
      </c>
      <c r="I86" s="477"/>
    </row>
    <row r="87" spans="4:9" ht="12.75" customHeight="1" x14ac:dyDescent="0.25">
      <c r="D87" s="488" t="e">
        <f>SUMIFS(GL!#REF!,GL!C:C,Table5[[#This Row],[Харилцагчид]])</f>
        <v>#REF!</v>
      </c>
      <c r="E87" s="488" t="e">
        <f>SUMIFS(GL!#REF!,GL!C:C,Table5[[#This Row],[Харилцагчид]])</f>
        <v>#REF!</v>
      </c>
      <c r="F87" s="488" t="e">
        <f>Table5[[#This Row],[ДТ]]+Table5[[#This Row],[Дебит]]-Table5[[#This Row],[КТ]]-Table5[[#This Row],[Кредит]]</f>
        <v>#REF!</v>
      </c>
      <c r="G87" s="488" t="e">
        <f>IF(Table5[[#This Row],[Зөрүү]]&gt;0,Table5[[#This Row],[Зөрүү]],0)</f>
        <v>#REF!</v>
      </c>
      <c r="H87" s="488" t="e">
        <f>IF(Table5[[#This Row],[Зөрүү]]&lt;0,-Table5[[#This Row],[Зөрүү]],0)</f>
        <v>#REF!</v>
      </c>
      <c r="I87" s="477"/>
    </row>
    <row r="88" spans="4:9" ht="12.75" customHeight="1" x14ac:dyDescent="0.25">
      <c r="D88" s="488" t="e">
        <f>SUMIFS(GL!#REF!,GL!C:C,Table5[[#This Row],[Харилцагчид]])</f>
        <v>#REF!</v>
      </c>
      <c r="E88" s="488" t="e">
        <f>SUMIFS(GL!#REF!,GL!C:C,Table5[[#This Row],[Харилцагчид]])</f>
        <v>#REF!</v>
      </c>
      <c r="F88" s="488" t="e">
        <f>Table5[[#This Row],[ДТ]]+Table5[[#This Row],[Дебит]]-Table5[[#This Row],[КТ]]-Table5[[#This Row],[Кредит]]</f>
        <v>#REF!</v>
      </c>
      <c r="G88" s="488" t="e">
        <f>IF(Table5[[#This Row],[Зөрүү]]&gt;0,Table5[[#This Row],[Зөрүү]],0)</f>
        <v>#REF!</v>
      </c>
      <c r="H88" s="488" t="e">
        <f>IF(Table5[[#This Row],[Зөрүү]]&lt;0,-Table5[[#This Row],[Зөрүү]],0)</f>
        <v>#REF!</v>
      </c>
      <c r="I88" s="477"/>
    </row>
    <row r="89" spans="4:9" ht="12.75" customHeight="1" x14ac:dyDescent="0.25">
      <c r="D89" s="488" t="e">
        <f>SUMIFS(GL!#REF!,GL!C:C,Table5[[#This Row],[Харилцагчид]])</f>
        <v>#REF!</v>
      </c>
      <c r="E89" s="488" t="e">
        <f>SUMIFS(GL!#REF!,GL!C:C,Table5[[#This Row],[Харилцагчид]])</f>
        <v>#REF!</v>
      </c>
      <c r="F89" s="488" t="e">
        <f>Table5[[#This Row],[ДТ]]+Table5[[#This Row],[Дебит]]-Table5[[#This Row],[КТ]]-Table5[[#This Row],[Кредит]]</f>
        <v>#REF!</v>
      </c>
      <c r="G89" s="488" t="e">
        <f>IF(Table5[[#This Row],[Зөрүү]]&gt;0,Table5[[#This Row],[Зөрүү]],0)</f>
        <v>#REF!</v>
      </c>
      <c r="H89" s="488" t="e">
        <f>IF(Table5[[#This Row],[Зөрүү]]&lt;0,-Table5[[#This Row],[Зөрүү]],0)</f>
        <v>#REF!</v>
      </c>
      <c r="I89" s="477"/>
    </row>
    <row r="90" spans="4:9" ht="12.75" customHeight="1" x14ac:dyDescent="0.25">
      <c r="D90" s="488" t="e">
        <f>SUMIFS(GL!#REF!,GL!C:C,Table5[[#This Row],[Харилцагчид]])</f>
        <v>#REF!</v>
      </c>
      <c r="E90" s="488" t="e">
        <f>SUMIFS(GL!#REF!,GL!C:C,Table5[[#This Row],[Харилцагчид]])</f>
        <v>#REF!</v>
      </c>
      <c r="F90" s="488" t="e">
        <f>Table5[[#This Row],[ДТ]]+Table5[[#This Row],[Дебит]]-Table5[[#This Row],[КТ]]-Table5[[#This Row],[Кредит]]</f>
        <v>#REF!</v>
      </c>
      <c r="G90" s="488" t="e">
        <f>IF(Table5[[#This Row],[Зөрүү]]&gt;0,Table5[[#This Row],[Зөрүү]],0)</f>
        <v>#REF!</v>
      </c>
      <c r="H90" s="488" t="e">
        <f>IF(Table5[[#This Row],[Зөрүү]]&lt;0,-Table5[[#This Row],[Зөрүү]],0)</f>
        <v>#REF!</v>
      </c>
      <c r="I90" s="477"/>
    </row>
    <row r="91" spans="4:9" ht="12.75" customHeight="1" x14ac:dyDescent="0.25">
      <c r="D91" s="488" t="e">
        <f>SUMIFS(GL!#REF!,GL!C:C,Table5[[#This Row],[Харилцагчид]])</f>
        <v>#REF!</v>
      </c>
      <c r="E91" s="488" t="e">
        <f>SUMIFS(GL!#REF!,GL!C:C,Table5[[#This Row],[Харилцагчид]])</f>
        <v>#REF!</v>
      </c>
      <c r="F91" s="488" t="e">
        <f>Table5[[#This Row],[ДТ]]+Table5[[#This Row],[Дебит]]-Table5[[#This Row],[КТ]]-Table5[[#This Row],[Кредит]]</f>
        <v>#REF!</v>
      </c>
      <c r="G91" s="488" t="e">
        <f>IF(Table5[[#This Row],[Зөрүү]]&gt;0,Table5[[#This Row],[Зөрүү]],0)</f>
        <v>#REF!</v>
      </c>
      <c r="H91" s="488" t="e">
        <f>IF(Table5[[#This Row],[Зөрүү]]&lt;0,-Table5[[#This Row],[Зөрүү]],0)</f>
        <v>#REF!</v>
      </c>
      <c r="I91" s="477"/>
    </row>
    <row r="92" spans="4:9" ht="12.75" customHeight="1" x14ac:dyDescent="0.25">
      <c r="D92" s="488" t="e">
        <f>SUMIFS(GL!#REF!,GL!C:C,Table5[[#This Row],[Харилцагчид]])</f>
        <v>#REF!</v>
      </c>
      <c r="E92" s="488" t="e">
        <f>SUMIFS(GL!#REF!,GL!C:C,Table5[[#This Row],[Харилцагчид]])</f>
        <v>#REF!</v>
      </c>
      <c r="F92" s="488" t="e">
        <f>Table5[[#This Row],[ДТ]]+Table5[[#This Row],[Дебит]]-Table5[[#This Row],[КТ]]-Table5[[#This Row],[Кредит]]</f>
        <v>#REF!</v>
      </c>
      <c r="G92" s="488" t="e">
        <f>IF(Table5[[#This Row],[Зөрүү]]&gt;0,Table5[[#This Row],[Зөрүү]],0)</f>
        <v>#REF!</v>
      </c>
      <c r="H92" s="488" t="e">
        <f>IF(Table5[[#This Row],[Зөрүү]]&lt;0,-Table5[[#This Row],[Зөрүү]],0)</f>
        <v>#REF!</v>
      </c>
      <c r="I92" s="477"/>
    </row>
    <row r="93" spans="4:9" ht="12.75" customHeight="1" x14ac:dyDescent="0.25">
      <c r="D93" s="488" t="e">
        <f>SUMIFS(GL!#REF!,GL!C:C,Table5[[#This Row],[Харилцагчид]])</f>
        <v>#REF!</v>
      </c>
      <c r="E93" s="488" t="e">
        <f>SUMIFS(GL!#REF!,GL!C:C,Table5[[#This Row],[Харилцагчид]])</f>
        <v>#REF!</v>
      </c>
      <c r="F93" s="488" t="e">
        <f>Table5[[#This Row],[ДТ]]+Table5[[#This Row],[Дебит]]-Table5[[#This Row],[КТ]]-Table5[[#This Row],[Кредит]]</f>
        <v>#REF!</v>
      </c>
      <c r="G93" s="488" t="e">
        <f>IF(Table5[[#This Row],[Зөрүү]]&gt;0,Table5[[#This Row],[Зөрүү]],0)</f>
        <v>#REF!</v>
      </c>
      <c r="H93" s="488" t="e">
        <f>IF(Table5[[#This Row],[Зөрүү]]&lt;0,-Table5[[#This Row],[Зөрүү]],0)</f>
        <v>#REF!</v>
      </c>
      <c r="I93" s="477"/>
    </row>
    <row r="94" spans="4:9" ht="12.75" customHeight="1" x14ac:dyDescent="0.25">
      <c r="D94" s="488" t="e">
        <f>SUMIFS(GL!#REF!,GL!C:C,Table5[[#This Row],[Харилцагчид]])</f>
        <v>#REF!</v>
      </c>
      <c r="E94" s="488" t="e">
        <f>SUMIFS(GL!#REF!,GL!C:C,Table5[[#This Row],[Харилцагчид]])</f>
        <v>#REF!</v>
      </c>
      <c r="F94" s="488" t="e">
        <f>Table5[[#This Row],[ДТ]]+Table5[[#This Row],[Дебит]]-Table5[[#This Row],[КТ]]-Table5[[#This Row],[Кредит]]</f>
        <v>#REF!</v>
      </c>
      <c r="G94" s="488" t="e">
        <f>IF(Table5[[#This Row],[Зөрүү]]&gt;0,Table5[[#This Row],[Зөрүү]],0)</f>
        <v>#REF!</v>
      </c>
      <c r="H94" s="488" t="e">
        <f>IF(Table5[[#This Row],[Зөрүү]]&lt;0,-Table5[[#This Row],[Зөрүү]],0)</f>
        <v>#REF!</v>
      </c>
      <c r="I94" s="477"/>
    </row>
    <row r="95" spans="4:9" ht="12.75" customHeight="1" x14ac:dyDescent="0.25">
      <c r="D95" s="488" t="e">
        <f>SUMIFS(GL!#REF!,GL!C:C,Table5[[#This Row],[Харилцагчид]])</f>
        <v>#REF!</v>
      </c>
      <c r="E95" s="488" t="e">
        <f>SUMIFS(GL!#REF!,GL!C:C,Table5[[#This Row],[Харилцагчид]])</f>
        <v>#REF!</v>
      </c>
      <c r="F95" s="488" t="e">
        <f>Table5[[#This Row],[ДТ]]+Table5[[#This Row],[Дебит]]-Table5[[#This Row],[КТ]]-Table5[[#This Row],[Кредит]]</f>
        <v>#REF!</v>
      </c>
      <c r="G95" s="488" t="e">
        <f>IF(Table5[[#This Row],[Зөрүү]]&gt;0,Table5[[#This Row],[Зөрүү]],0)</f>
        <v>#REF!</v>
      </c>
      <c r="H95" s="488" t="e">
        <f>IF(Table5[[#This Row],[Зөрүү]]&lt;0,-Table5[[#This Row],[Зөрүү]],0)</f>
        <v>#REF!</v>
      </c>
      <c r="I95" s="477"/>
    </row>
    <row r="96" spans="4:9" ht="12.75" customHeight="1" x14ac:dyDescent="0.25">
      <c r="D96" s="488" t="e">
        <f>SUMIFS(GL!#REF!,GL!C:C,Table5[[#This Row],[Харилцагчид]])</f>
        <v>#REF!</v>
      </c>
      <c r="E96" s="488" t="e">
        <f>SUMIFS(GL!#REF!,GL!C:C,Table5[[#This Row],[Харилцагчид]])</f>
        <v>#REF!</v>
      </c>
      <c r="F96" s="488" t="e">
        <f>Table5[[#This Row],[ДТ]]+Table5[[#This Row],[Дебит]]-Table5[[#This Row],[КТ]]-Table5[[#This Row],[Кредит]]</f>
        <v>#REF!</v>
      </c>
      <c r="G96" s="488" t="e">
        <f>IF(Table5[[#This Row],[Зөрүү]]&gt;0,Table5[[#This Row],[Зөрүү]],0)</f>
        <v>#REF!</v>
      </c>
      <c r="H96" s="488" t="e">
        <f>IF(Table5[[#This Row],[Зөрүү]]&lt;0,-Table5[[#This Row],[Зөрүү]],0)</f>
        <v>#REF!</v>
      </c>
      <c r="I96" s="477"/>
    </row>
    <row r="97" spans="4:9" ht="12.75" customHeight="1" x14ac:dyDescent="0.25">
      <c r="D97" s="488" t="e">
        <f>SUMIFS(GL!#REF!,GL!C:C,Table5[[#This Row],[Харилцагчид]])</f>
        <v>#REF!</v>
      </c>
      <c r="E97" s="488" t="e">
        <f>SUMIFS(GL!#REF!,GL!C:C,Table5[[#This Row],[Харилцагчид]])</f>
        <v>#REF!</v>
      </c>
      <c r="F97" s="488" t="e">
        <f>Table5[[#This Row],[ДТ]]+Table5[[#This Row],[Дебит]]-Table5[[#This Row],[КТ]]-Table5[[#This Row],[Кредит]]</f>
        <v>#REF!</v>
      </c>
      <c r="G97" s="488" t="e">
        <f>IF(Table5[[#This Row],[Зөрүү]]&gt;0,Table5[[#This Row],[Зөрүү]],0)</f>
        <v>#REF!</v>
      </c>
      <c r="H97" s="488" t="e">
        <f>IF(Table5[[#This Row],[Зөрүү]]&lt;0,-Table5[[#This Row],[Зөрүү]],0)</f>
        <v>#REF!</v>
      </c>
      <c r="I97" s="477"/>
    </row>
    <row r="98" spans="4:9" ht="12.75" customHeight="1" x14ac:dyDescent="0.25">
      <c r="D98" s="488" t="e">
        <f>SUMIFS(GL!#REF!,GL!C:C,Table5[[#This Row],[Харилцагчид]])</f>
        <v>#REF!</v>
      </c>
      <c r="E98" s="488" t="e">
        <f>SUMIFS(GL!#REF!,GL!C:C,Table5[[#This Row],[Харилцагчид]])</f>
        <v>#REF!</v>
      </c>
      <c r="F98" s="488" t="e">
        <f>Table5[[#This Row],[ДТ]]+Table5[[#This Row],[Дебит]]-Table5[[#This Row],[КТ]]-Table5[[#This Row],[Кредит]]</f>
        <v>#REF!</v>
      </c>
      <c r="G98" s="488" t="e">
        <f>IF(Table5[[#This Row],[Зөрүү]]&gt;0,Table5[[#This Row],[Зөрүү]],0)</f>
        <v>#REF!</v>
      </c>
      <c r="H98" s="488" t="e">
        <f>IF(Table5[[#This Row],[Зөрүү]]&lt;0,-Table5[[#This Row],[Зөрүү]],0)</f>
        <v>#REF!</v>
      </c>
      <c r="I98" s="477"/>
    </row>
    <row r="99" spans="4:9" ht="12.75" customHeight="1" x14ac:dyDescent="0.25">
      <c r="D99" s="488" t="e">
        <f>SUMIFS(GL!#REF!,GL!C:C,Table5[[#This Row],[Харилцагчид]])</f>
        <v>#REF!</v>
      </c>
      <c r="E99" s="488" t="e">
        <f>SUMIFS(GL!#REF!,GL!C:C,Table5[[#This Row],[Харилцагчид]])</f>
        <v>#REF!</v>
      </c>
      <c r="F99" s="488" t="e">
        <f>Table5[[#This Row],[ДТ]]+Table5[[#This Row],[Дебит]]-Table5[[#This Row],[КТ]]-Table5[[#This Row],[Кредит]]</f>
        <v>#REF!</v>
      </c>
      <c r="G99" s="488" t="e">
        <f>IF(Table5[[#This Row],[Зөрүү]]&gt;0,Table5[[#This Row],[Зөрүү]],0)</f>
        <v>#REF!</v>
      </c>
      <c r="H99" s="488" t="e">
        <f>IF(Table5[[#This Row],[Зөрүү]]&lt;0,-Table5[[#This Row],[Зөрүү]],0)</f>
        <v>#REF!</v>
      </c>
      <c r="I99" s="477"/>
    </row>
    <row r="100" spans="4:9" ht="12.75" customHeight="1" x14ac:dyDescent="0.25">
      <c r="D100" s="488" t="e">
        <f>SUMIFS(GL!#REF!,GL!C:C,Table5[[#This Row],[Харилцагчид]])</f>
        <v>#REF!</v>
      </c>
      <c r="E100" s="488" t="e">
        <f>SUMIFS(GL!#REF!,GL!C:C,Table5[[#This Row],[Харилцагчид]])</f>
        <v>#REF!</v>
      </c>
      <c r="F100" s="488" t="e">
        <f>Table5[[#This Row],[ДТ]]+Table5[[#This Row],[Дебит]]-Table5[[#This Row],[КТ]]-Table5[[#This Row],[Кредит]]</f>
        <v>#REF!</v>
      </c>
      <c r="G100" s="488" t="e">
        <f>IF(Table5[[#This Row],[Зөрүү]]&gt;0,Table5[[#This Row],[Зөрүү]],0)</f>
        <v>#REF!</v>
      </c>
      <c r="H100" s="488" t="e">
        <f>IF(Table5[[#This Row],[Зөрүү]]&lt;0,-Table5[[#This Row],[Зөрүү]],0)</f>
        <v>#REF!</v>
      </c>
      <c r="I100" s="477"/>
    </row>
    <row r="101" spans="4:9" ht="12.75" customHeight="1" x14ac:dyDescent="0.25">
      <c r="D101" s="488" t="e">
        <f>SUMIFS(GL!#REF!,GL!C:C,Table5[[#This Row],[Харилцагчид]])</f>
        <v>#REF!</v>
      </c>
      <c r="E101" s="488" t="e">
        <f>SUMIFS(GL!#REF!,GL!C:C,Table5[[#This Row],[Харилцагчид]])</f>
        <v>#REF!</v>
      </c>
      <c r="F101" s="488" t="e">
        <f>Table5[[#This Row],[ДТ]]+Table5[[#This Row],[Дебит]]-Table5[[#This Row],[КТ]]-Table5[[#This Row],[Кредит]]</f>
        <v>#REF!</v>
      </c>
      <c r="G101" s="488" t="e">
        <f>IF(Table5[[#This Row],[Зөрүү]]&gt;0,Table5[[#This Row],[Зөрүү]],0)</f>
        <v>#REF!</v>
      </c>
      <c r="H101" s="488" t="e">
        <f>IF(Table5[[#This Row],[Зөрүү]]&lt;0,-Table5[[#This Row],[Зөрүү]],0)</f>
        <v>#REF!</v>
      </c>
      <c r="I101" s="477"/>
    </row>
    <row r="102" spans="4:9" ht="12.75" customHeight="1" x14ac:dyDescent="0.25">
      <c r="D102" s="488" t="e">
        <f>SUMIFS(GL!#REF!,GL!C:C,Table5[[#This Row],[Харилцагчид]])</f>
        <v>#REF!</v>
      </c>
      <c r="E102" s="488" t="e">
        <f>SUMIFS(GL!#REF!,GL!C:C,Table5[[#This Row],[Харилцагчид]])</f>
        <v>#REF!</v>
      </c>
      <c r="F102" s="488" t="e">
        <f>Table5[[#This Row],[ДТ]]+Table5[[#This Row],[Дебит]]-Table5[[#This Row],[КТ]]-Table5[[#This Row],[Кредит]]</f>
        <v>#REF!</v>
      </c>
      <c r="G102" s="488" t="e">
        <f>IF(Table5[[#This Row],[Зөрүү]]&gt;0,Table5[[#This Row],[Зөрүү]],0)</f>
        <v>#REF!</v>
      </c>
      <c r="H102" s="488" t="e">
        <f>IF(Table5[[#This Row],[Зөрүү]]&lt;0,-Table5[[#This Row],[Зөрүү]],0)</f>
        <v>#REF!</v>
      </c>
      <c r="I102" s="477"/>
    </row>
    <row r="103" spans="4:9" ht="12.75" customHeight="1" x14ac:dyDescent="0.25">
      <c r="D103" s="488" t="e">
        <f>SUMIFS(GL!#REF!,GL!C:C,Table5[[#This Row],[Харилцагчид]])</f>
        <v>#REF!</v>
      </c>
      <c r="E103" s="488" t="e">
        <f>SUMIFS(GL!#REF!,GL!C:C,Table5[[#This Row],[Харилцагчид]])</f>
        <v>#REF!</v>
      </c>
      <c r="F103" s="488" t="e">
        <f>Table5[[#This Row],[ДТ]]+Table5[[#This Row],[Дебит]]-Table5[[#This Row],[КТ]]-Table5[[#This Row],[Кредит]]</f>
        <v>#REF!</v>
      </c>
      <c r="G103" s="488" t="e">
        <f>IF(Table5[[#This Row],[Зөрүү]]&gt;0,Table5[[#This Row],[Зөрүү]],0)</f>
        <v>#REF!</v>
      </c>
      <c r="H103" s="488" t="e">
        <f>IF(Table5[[#This Row],[Зөрүү]]&lt;0,-Table5[[#This Row],[Зөрүү]],0)</f>
        <v>#REF!</v>
      </c>
      <c r="I103" s="477"/>
    </row>
    <row r="104" spans="4:9" ht="12.75" customHeight="1" x14ac:dyDescent="0.25">
      <c r="D104" s="488" t="e">
        <f>SUMIFS(GL!#REF!,GL!C:C,Table5[[#This Row],[Харилцагчид]])</f>
        <v>#REF!</v>
      </c>
      <c r="E104" s="488" t="e">
        <f>SUMIFS(GL!#REF!,GL!C:C,Table5[[#This Row],[Харилцагчид]])</f>
        <v>#REF!</v>
      </c>
      <c r="F104" s="488" t="e">
        <f>Table5[[#This Row],[ДТ]]+Table5[[#This Row],[Дебит]]-Table5[[#This Row],[КТ]]-Table5[[#This Row],[Кредит]]</f>
        <v>#REF!</v>
      </c>
      <c r="G104" s="488" t="e">
        <f>IF(Table5[[#This Row],[Зөрүү]]&gt;0,Table5[[#This Row],[Зөрүү]],0)</f>
        <v>#REF!</v>
      </c>
      <c r="H104" s="488" t="e">
        <f>IF(Table5[[#This Row],[Зөрүү]]&lt;0,-Table5[[#This Row],[Зөрүү]],0)</f>
        <v>#REF!</v>
      </c>
      <c r="I104" s="477"/>
    </row>
    <row r="105" spans="4:9" ht="12.75" customHeight="1" x14ac:dyDescent="0.25">
      <c r="D105" s="488" t="e">
        <f>SUMIFS(GL!#REF!,GL!C:C,Table5[[#This Row],[Харилцагчид]])</f>
        <v>#REF!</v>
      </c>
      <c r="E105" s="488" t="e">
        <f>SUMIFS(GL!#REF!,GL!C:C,Table5[[#This Row],[Харилцагчид]])</f>
        <v>#REF!</v>
      </c>
      <c r="F105" s="488" t="e">
        <f>Table5[[#This Row],[ДТ]]+Table5[[#This Row],[Дебит]]-Table5[[#This Row],[КТ]]-Table5[[#This Row],[Кредит]]</f>
        <v>#REF!</v>
      </c>
      <c r="G105" s="488" t="e">
        <f>IF(Table5[[#This Row],[Зөрүү]]&gt;0,Table5[[#This Row],[Зөрүү]],0)</f>
        <v>#REF!</v>
      </c>
      <c r="H105" s="488" t="e">
        <f>IF(Table5[[#This Row],[Зөрүү]]&lt;0,-Table5[[#This Row],[Зөрүү]],0)</f>
        <v>#REF!</v>
      </c>
      <c r="I105" s="477"/>
    </row>
    <row r="106" spans="4:9" ht="12.75" customHeight="1" x14ac:dyDescent="0.25">
      <c r="D106" s="488" t="e">
        <f>SUMIFS(GL!#REF!,GL!C:C,Table5[[#This Row],[Харилцагчид]])</f>
        <v>#REF!</v>
      </c>
      <c r="E106" s="488" t="e">
        <f>SUMIFS(GL!#REF!,GL!C:C,Table5[[#This Row],[Харилцагчид]])</f>
        <v>#REF!</v>
      </c>
      <c r="F106" s="488" t="e">
        <f>Table5[[#This Row],[ДТ]]+Table5[[#This Row],[Дебит]]-Table5[[#This Row],[КТ]]-Table5[[#This Row],[Кредит]]</f>
        <v>#REF!</v>
      </c>
      <c r="G106" s="488" t="e">
        <f>IF(Table5[[#This Row],[Зөрүү]]&gt;0,Table5[[#This Row],[Зөрүү]],0)</f>
        <v>#REF!</v>
      </c>
      <c r="H106" s="488" t="e">
        <f>IF(Table5[[#This Row],[Зөрүү]]&lt;0,-Table5[[#This Row],[Зөрүү]],0)</f>
        <v>#REF!</v>
      </c>
      <c r="I106" s="477"/>
    </row>
    <row r="107" spans="4:9" ht="12.75" customHeight="1" x14ac:dyDescent="0.25">
      <c r="D107" s="488" t="e">
        <f>SUMIFS(GL!#REF!,GL!C:C,Table5[[#This Row],[Харилцагчид]])</f>
        <v>#REF!</v>
      </c>
      <c r="E107" s="488" t="e">
        <f>SUMIFS(GL!#REF!,GL!C:C,Table5[[#This Row],[Харилцагчид]])</f>
        <v>#REF!</v>
      </c>
      <c r="F107" s="488" t="e">
        <f>Table5[[#This Row],[ДТ]]+Table5[[#This Row],[Дебит]]-Table5[[#This Row],[КТ]]-Table5[[#This Row],[Кредит]]</f>
        <v>#REF!</v>
      </c>
      <c r="G107" s="488" t="e">
        <f>IF(Table5[[#This Row],[Зөрүү]]&gt;0,Table5[[#This Row],[Зөрүү]],0)</f>
        <v>#REF!</v>
      </c>
      <c r="H107" s="488" t="e">
        <f>IF(Table5[[#This Row],[Зөрүү]]&lt;0,-Table5[[#This Row],[Зөрүү]],0)</f>
        <v>#REF!</v>
      </c>
      <c r="I107" s="477"/>
    </row>
    <row r="108" spans="4:9" ht="12.75" customHeight="1" x14ac:dyDescent="0.25">
      <c r="D108" s="488" t="e">
        <f>SUMIFS(GL!#REF!,GL!C:C,Table5[[#This Row],[Харилцагчид]])</f>
        <v>#REF!</v>
      </c>
      <c r="E108" s="488" t="e">
        <f>SUMIFS(GL!#REF!,GL!C:C,Table5[[#This Row],[Харилцагчид]])</f>
        <v>#REF!</v>
      </c>
      <c r="F108" s="488" t="e">
        <f>Table5[[#This Row],[ДТ]]+Table5[[#This Row],[Дебит]]-Table5[[#This Row],[КТ]]-Table5[[#This Row],[Кредит]]</f>
        <v>#REF!</v>
      </c>
      <c r="G108" s="488" t="e">
        <f>IF(Table5[[#This Row],[Зөрүү]]&gt;0,Table5[[#This Row],[Зөрүү]],0)</f>
        <v>#REF!</v>
      </c>
      <c r="H108" s="488" t="e">
        <f>IF(Table5[[#This Row],[Зөрүү]]&lt;0,-Table5[[#This Row],[Зөрүү]],0)</f>
        <v>#REF!</v>
      </c>
      <c r="I108" s="477"/>
    </row>
    <row r="109" spans="4:9" ht="12.75" customHeight="1" x14ac:dyDescent="0.25">
      <c r="D109" s="488" t="e">
        <f>SUMIFS(GL!#REF!,GL!C:C,Table5[[#This Row],[Харилцагчид]])</f>
        <v>#REF!</v>
      </c>
      <c r="E109" s="488" t="e">
        <f>SUMIFS(GL!#REF!,GL!C:C,Table5[[#This Row],[Харилцагчид]])</f>
        <v>#REF!</v>
      </c>
      <c r="F109" s="488" t="e">
        <f>Table5[[#This Row],[ДТ]]+Table5[[#This Row],[Дебит]]-Table5[[#This Row],[КТ]]-Table5[[#This Row],[Кредит]]</f>
        <v>#REF!</v>
      </c>
      <c r="G109" s="488" t="e">
        <f>IF(Table5[[#This Row],[Зөрүү]]&gt;0,Table5[[#This Row],[Зөрүү]],0)</f>
        <v>#REF!</v>
      </c>
      <c r="H109" s="488" t="e">
        <f>IF(Table5[[#This Row],[Зөрүү]]&lt;0,-Table5[[#This Row],[Зөрүү]],0)</f>
        <v>#REF!</v>
      </c>
      <c r="I109" s="477"/>
    </row>
    <row r="110" spans="4:9" ht="12.75" customHeight="1" x14ac:dyDescent="0.25">
      <c r="D110" s="488" t="e">
        <f>SUMIFS(GL!#REF!,GL!C:C,Table5[[#This Row],[Харилцагчид]])</f>
        <v>#REF!</v>
      </c>
      <c r="E110" s="488" t="e">
        <f>SUMIFS(GL!#REF!,GL!C:C,Table5[[#This Row],[Харилцагчид]])</f>
        <v>#REF!</v>
      </c>
      <c r="F110" s="488" t="e">
        <f>Table5[[#This Row],[ДТ]]+Table5[[#This Row],[Дебит]]-Table5[[#This Row],[КТ]]-Table5[[#This Row],[Кредит]]</f>
        <v>#REF!</v>
      </c>
      <c r="G110" s="488" t="e">
        <f>IF(Table5[[#This Row],[Зөрүү]]&gt;0,Table5[[#This Row],[Зөрүү]],0)</f>
        <v>#REF!</v>
      </c>
      <c r="H110" s="488" t="e">
        <f>IF(Table5[[#This Row],[Зөрүү]]&lt;0,-Table5[[#This Row],[Зөрүү]],0)</f>
        <v>#REF!</v>
      </c>
      <c r="I110" s="477"/>
    </row>
    <row r="111" spans="4:9" ht="12.75" customHeight="1" x14ac:dyDescent="0.25">
      <c r="D111" s="488" t="e">
        <f>SUMIFS(GL!#REF!,GL!C:C,Table5[[#This Row],[Харилцагчид]])</f>
        <v>#REF!</v>
      </c>
      <c r="E111" s="488" t="e">
        <f>SUMIFS(GL!#REF!,GL!C:C,Table5[[#This Row],[Харилцагчид]])</f>
        <v>#REF!</v>
      </c>
      <c r="F111" s="488" t="e">
        <f>Table5[[#This Row],[ДТ]]+Table5[[#This Row],[Дебит]]-Table5[[#This Row],[КТ]]-Table5[[#This Row],[Кредит]]</f>
        <v>#REF!</v>
      </c>
      <c r="G111" s="488" t="e">
        <f>IF(Table5[[#This Row],[Зөрүү]]&gt;0,Table5[[#This Row],[Зөрүү]],0)</f>
        <v>#REF!</v>
      </c>
      <c r="H111" s="488" t="e">
        <f>IF(Table5[[#This Row],[Зөрүү]]&lt;0,-Table5[[#This Row],[Зөрүү]],0)</f>
        <v>#REF!</v>
      </c>
      <c r="I111" s="477"/>
    </row>
    <row r="112" spans="4:9" ht="12.75" customHeight="1" x14ac:dyDescent="0.25">
      <c r="D112" s="488" t="e">
        <f>SUMIFS(GL!#REF!,GL!C:C,Table5[[#This Row],[Харилцагчид]])</f>
        <v>#REF!</v>
      </c>
      <c r="E112" s="488" t="e">
        <f>SUMIFS(GL!#REF!,GL!C:C,Table5[[#This Row],[Харилцагчид]])</f>
        <v>#REF!</v>
      </c>
      <c r="F112" s="488" t="e">
        <f>Table5[[#This Row],[ДТ]]+Table5[[#This Row],[Дебит]]-Table5[[#This Row],[КТ]]-Table5[[#This Row],[Кредит]]</f>
        <v>#REF!</v>
      </c>
      <c r="G112" s="488" t="e">
        <f>IF(Table5[[#This Row],[Зөрүү]]&gt;0,Table5[[#This Row],[Зөрүү]],0)</f>
        <v>#REF!</v>
      </c>
      <c r="H112" s="488" t="e">
        <f>IF(Table5[[#This Row],[Зөрүү]]&lt;0,-Table5[[#This Row],[Зөрүү]],0)</f>
        <v>#REF!</v>
      </c>
      <c r="I112" s="477"/>
    </row>
    <row r="113" spans="4:9" ht="12.75" customHeight="1" x14ac:dyDescent="0.25">
      <c r="D113" s="488" t="e">
        <f>SUMIFS(GL!#REF!,GL!C:C,Table5[[#This Row],[Харилцагчид]])</f>
        <v>#REF!</v>
      </c>
      <c r="E113" s="488" t="e">
        <f>SUMIFS(GL!#REF!,GL!C:C,Table5[[#This Row],[Харилцагчид]])</f>
        <v>#REF!</v>
      </c>
      <c r="F113" s="488" t="e">
        <f>Table5[[#This Row],[ДТ]]+Table5[[#This Row],[Дебит]]-Table5[[#This Row],[КТ]]-Table5[[#This Row],[Кредит]]</f>
        <v>#REF!</v>
      </c>
      <c r="G113" s="488" t="e">
        <f>IF(Table5[[#This Row],[Зөрүү]]&gt;0,Table5[[#This Row],[Зөрүү]],0)</f>
        <v>#REF!</v>
      </c>
      <c r="H113" s="488" t="e">
        <f>IF(Table5[[#This Row],[Зөрүү]]&lt;0,-Table5[[#This Row],[Зөрүү]],0)</f>
        <v>#REF!</v>
      </c>
      <c r="I113" s="477"/>
    </row>
    <row r="114" spans="4:9" ht="12.75" customHeight="1" x14ac:dyDescent="0.25">
      <c r="D114" s="488" t="e">
        <f>SUMIFS(GL!#REF!,GL!C:C,Table5[[#This Row],[Харилцагчид]])</f>
        <v>#REF!</v>
      </c>
      <c r="E114" s="488" t="e">
        <f>SUMIFS(GL!#REF!,GL!C:C,Table5[[#This Row],[Харилцагчид]])</f>
        <v>#REF!</v>
      </c>
      <c r="F114" s="488" t="e">
        <f>Table5[[#This Row],[ДТ]]+Table5[[#This Row],[Дебит]]-Table5[[#This Row],[КТ]]-Table5[[#This Row],[Кредит]]</f>
        <v>#REF!</v>
      </c>
      <c r="G114" s="488" t="e">
        <f>IF(Table5[[#This Row],[Зөрүү]]&gt;0,Table5[[#This Row],[Зөрүү]],0)</f>
        <v>#REF!</v>
      </c>
      <c r="H114" s="488" t="e">
        <f>IF(Table5[[#This Row],[Зөрүү]]&lt;0,-Table5[[#This Row],[Зөрүү]],0)</f>
        <v>#REF!</v>
      </c>
      <c r="I114" s="477"/>
    </row>
    <row r="115" spans="4:9" ht="12.75" customHeight="1" x14ac:dyDescent="0.25">
      <c r="D115" s="488" t="e">
        <f>SUMIFS(GL!#REF!,GL!C:C,Table5[[#This Row],[Харилцагчид]])</f>
        <v>#REF!</v>
      </c>
      <c r="E115" s="488" t="e">
        <f>SUMIFS(GL!#REF!,GL!C:C,Table5[[#This Row],[Харилцагчид]])</f>
        <v>#REF!</v>
      </c>
      <c r="F115" s="488" t="e">
        <f>Table5[[#This Row],[ДТ]]+Table5[[#This Row],[Дебит]]-Table5[[#This Row],[КТ]]-Table5[[#This Row],[Кредит]]</f>
        <v>#REF!</v>
      </c>
      <c r="G115" s="488" t="e">
        <f>IF(Table5[[#This Row],[Зөрүү]]&gt;0,Table5[[#This Row],[Зөрүү]],0)</f>
        <v>#REF!</v>
      </c>
      <c r="H115" s="488" t="e">
        <f>IF(Table5[[#This Row],[Зөрүү]]&lt;0,-Table5[[#This Row],[Зөрүү]],0)</f>
        <v>#REF!</v>
      </c>
      <c r="I115" s="477"/>
    </row>
    <row r="116" spans="4:9" ht="12.75" customHeight="1" x14ac:dyDescent="0.25">
      <c r="D116" s="488" t="e">
        <f>SUMIFS(GL!#REF!,GL!C:C,Table5[[#This Row],[Харилцагчид]])</f>
        <v>#REF!</v>
      </c>
      <c r="E116" s="488" t="e">
        <f>SUMIFS(GL!#REF!,GL!C:C,Table5[[#This Row],[Харилцагчид]])</f>
        <v>#REF!</v>
      </c>
      <c r="F116" s="488" t="e">
        <f>Table5[[#This Row],[ДТ]]+Table5[[#This Row],[Дебит]]-Table5[[#This Row],[КТ]]-Table5[[#This Row],[Кредит]]</f>
        <v>#REF!</v>
      </c>
      <c r="G116" s="488" t="e">
        <f>IF(Table5[[#This Row],[Зөрүү]]&gt;0,Table5[[#This Row],[Зөрүү]],0)</f>
        <v>#REF!</v>
      </c>
      <c r="H116" s="488" t="e">
        <f>IF(Table5[[#This Row],[Зөрүү]]&lt;0,-Table5[[#This Row],[Зөрүү]],0)</f>
        <v>#REF!</v>
      </c>
      <c r="I116" s="477"/>
    </row>
    <row r="117" spans="4:9" ht="12.75" customHeight="1" x14ac:dyDescent="0.25">
      <c r="D117" s="488" t="e">
        <f>SUMIFS(GL!#REF!,GL!C:C,Table5[[#This Row],[Харилцагчид]])</f>
        <v>#REF!</v>
      </c>
      <c r="E117" s="488" t="e">
        <f>SUMIFS(GL!#REF!,GL!C:C,Table5[[#This Row],[Харилцагчид]])</f>
        <v>#REF!</v>
      </c>
      <c r="F117" s="488" t="e">
        <f>Table5[[#This Row],[ДТ]]+Table5[[#This Row],[Дебит]]-Table5[[#This Row],[КТ]]-Table5[[#This Row],[Кредит]]</f>
        <v>#REF!</v>
      </c>
      <c r="G117" s="488" t="e">
        <f>IF(Table5[[#This Row],[Зөрүү]]&gt;0,Table5[[#This Row],[Зөрүү]],0)</f>
        <v>#REF!</v>
      </c>
      <c r="H117" s="488" t="e">
        <f>IF(Table5[[#This Row],[Зөрүү]]&lt;0,-Table5[[#This Row],[Зөрүү]],0)</f>
        <v>#REF!</v>
      </c>
      <c r="I117" s="477"/>
    </row>
    <row r="118" spans="4:9" ht="12.75" customHeight="1" x14ac:dyDescent="0.25">
      <c r="D118" s="488" t="e">
        <f>SUMIFS(GL!#REF!,GL!C:C,Table5[[#This Row],[Харилцагчид]])</f>
        <v>#REF!</v>
      </c>
      <c r="E118" s="488" t="e">
        <f>SUMIFS(GL!#REF!,GL!C:C,Table5[[#This Row],[Харилцагчид]])</f>
        <v>#REF!</v>
      </c>
      <c r="F118" s="488" t="e">
        <f>Table5[[#This Row],[ДТ]]+Table5[[#This Row],[Дебит]]-Table5[[#This Row],[КТ]]-Table5[[#This Row],[Кредит]]</f>
        <v>#REF!</v>
      </c>
      <c r="G118" s="488" t="e">
        <f>IF(Table5[[#This Row],[Зөрүү]]&gt;0,Table5[[#This Row],[Зөрүү]],0)</f>
        <v>#REF!</v>
      </c>
      <c r="H118" s="488" t="e">
        <f>IF(Table5[[#This Row],[Зөрүү]]&lt;0,-Table5[[#This Row],[Зөрүү]],0)</f>
        <v>#REF!</v>
      </c>
      <c r="I118" s="477"/>
    </row>
    <row r="119" spans="4:9" ht="12.75" customHeight="1" x14ac:dyDescent="0.25">
      <c r="D119" s="488" t="e">
        <f>SUMIFS(GL!#REF!,GL!C:C,Table5[[#This Row],[Харилцагчид]])</f>
        <v>#REF!</v>
      </c>
      <c r="E119" s="488" t="e">
        <f>SUMIFS(GL!#REF!,GL!C:C,Table5[[#This Row],[Харилцагчид]])</f>
        <v>#REF!</v>
      </c>
      <c r="F119" s="488" t="e">
        <f>Table5[[#This Row],[ДТ]]+Table5[[#This Row],[Дебит]]-Table5[[#This Row],[КТ]]-Table5[[#This Row],[Кредит]]</f>
        <v>#REF!</v>
      </c>
      <c r="G119" s="488" t="e">
        <f>IF(Table5[[#This Row],[Зөрүү]]&gt;0,Table5[[#This Row],[Зөрүү]],0)</f>
        <v>#REF!</v>
      </c>
      <c r="H119" s="488" t="e">
        <f>IF(Table5[[#This Row],[Зөрүү]]&lt;0,-Table5[[#This Row],[Зөрүү]],0)</f>
        <v>#REF!</v>
      </c>
      <c r="I119" s="477"/>
    </row>
    <row r="120" spans="4:9" ht="12.75" customHeight="1" x14ac:dyDescent="0.25">
      <c r="D120" s="488" t="e">
        <f>SUMIFS(GL!#REF!,GL!C:C,Table5[[#This Row],[Харилцагчид]])</f>
        <v>#REF!</v>
      </c>
      <c r="E120" s="488" t="e">
        <f>SUMIFS(GL!#REF!,GL!C:C,Table5[[#This Row],[Харилцагчид]])</f>
        <v>#REF!</v>
      </c>
      <c r="F120" s="488" t="e">
        <f>Table5[[#This Row],[ДТ]]+Table5[[#This Row],[Дебит]]-Table5[[#This Row],[КТ]]-Table5[[#This Row],[Кредит]]</f>
        <v>#REF!</v>
      </c>
      <c r="G120" s="488" t="e">
        <f>IF(Table5[[#This Row],[Зөрүү]]&gt;0,Table5[[#This Row],[Зөрүү]],0)</f>
        <v>#REF!</v>
      </c>
      <c r="H120" s="488" t="e">
        <f>IF(Table5[[#This Row],[Зөрүү]]&lt;0,-Table5[[#This Row],[Зөрүү]],0)</f>
        <v>#REF!</v>
      </c>
      <c r="I120" s="477"/>
    </row>
    <row r="121" spans="4:9" ht="12.75" customHeight="1" x14ac:dyDescent="0.25">
      <c r="D121" s="488" t="e">
        <f>SUMIFS(GL!#REF!,GL!C:C,Table5[[#This Row],[Харилцагчид]])</f>
        <v>#REF!</v>
      </c>
      <c r="E121" s="488" t="e">
        <f>SUMIFS(GL!#REF!,GL!C:C,Table5[[#This Row],[Харилцагчид]])</f>
        <v>#REF!</v>
      </c>
      <c r="F121" s="488" t="e">
        <f>Table5[[#This Row],[ДТ]]+Table5[[#This Row],[Дебит]]-Table5[[#This Row],[КТ]]-Table5[[#This Row],[Кредит]]</f>
        <v>#REF!</v>
      </c>
      <c r="G121" s="488" t="e">
        <f>IF(Table5[[#This Row],[Зөрүү]]&gt;0,Table5[[#This Row],[Зөрүү]],0)</f>
        <v>#REF!</v>
      </c>
      <c r="H121" s="488" t="e">
        <f>IF(Table5[[#This Row],[Зөрүү]]&lt;0,-Table5[[#This Row],[Зөрүү]],0)</f>
        <v>#REF!</v>
      </c>
      <c r="I121" s="477"/>
    </row>
    <row r="122" spans="4:9" ht="12.75" customHeight="1" x14ac:dyDescent="0.25">
      <c r="D122" s="488" t="e">
        <f>SUMIFS(GL!#REF!,GL!C:C,Table5[[#This Row],[Харилцагчид]])</f>
        <v>#REF!</v>
      </c>
      <c r="E122" s="488" t="e">
        <f>SUMIFS(GL!#REF!,GL!C:C,Table5[[#This Row],[Харилцагчид]])</f>
        <v>#REF!</v>
      </c>
      <c r="F122" s="488" t="e">
        <f>Table5[[#This Row],[ДТ]]+Table5[[#This Row],[Дебит]]-Table5[[#This Row],[КТ]]-Table5[[#This Row],[Кредит]]</f>
        <v>#REF!</v>
      </c>
      <c r="G122" s="488" t="e">
        <f>IF(Table5[[#This Row],[Зөрүү]]&gt;0,Table5[[#This Row],[Зөрүү]],0)</f>
        <v>#REF!</v>
      </c>
      <c r="H122" s="488" t="e">
        <f>IF(Table5[[#This Row],[Зөрүү]]&lt;0,-Table5[[#This Row],[Зөрүү]],0)</f>
        <v>#REF!</v>
      </c>
      <c r="I122" s="477"/>
    </row>
    <row r="123" spans="4:9" ht="12.75" customHeight="1" x14ac:dyDescent="0.25">
      <c r="D123" s="488" t="e">
        <f>SUMIFS(GL!#REF!,GL!C:C,Table5[[#This Row],[Харилцагчид]])</f>
        <v>#REF!</v>
      </c>
      <c r="E123" s="488" t="e">
        <f>SUMIFS(GL!#REF!,GL!C:C,Table5[[#This Row],[Харилцагчид]])</f>
        <v>#REF!</v>
      </c>
      <c r="F123" s="488" t="e">
        <f>Table5[[#This Row],[ДТ]]+Table5[[#This Row],[Дебит]]-Table5[[#This Row],[КТ]]-Table5[[#This Row],[Кредит]]</f>
        <v>#REF!</v>
      </c>
      <c r="G123" s="488" t="e">
        <f>IF(Table5[[#This Row],[Зөрүү]]&gt;0,Table5[[#This Row],[Зөрүү]],0)</f>
        <v>#REF!</v>
      </c>
      <c r="H123" s="488" t="e">
        <f>IF(Table5[[#This Row],[Зөрүү]]&lt;0,-Table5[[#This Row],[Зөрүү]],0)</f>
        <v>#REF!</v>
      </c>
      <c r="I123" s="477"/>
    </row>
    <row r="124" spans="4:9" ht="12.75" customHeight="1" x14ac:dyDescent="0.25">
      <c r="D124" s="488" t="e">
        <f>SUMIFS(GL!#REF!,GL!C:C,Table5[[#This Row],[Харилцагчид]])</f>
        <v>#REF!</v>
      </c>
      <c r="E124" s="488" t="e">
        <f>SUMIFS(GL!#REF!,GL!C:C,Table5[[#This Row],[Харилцагчид]])</f>
        <v>#REF!</v>
      </c>
      <c r="F124" s="488" t="e">
        <f>Table5[[#This Row],[ДТ]]+Table5[[#This Row],[Дебит]]-Table5[[#This Row],[КТ]]-Table5[[#This Row],[Кредит]]</f>
        <v>#REF!</v>
      </c>
      <c r="G124" s="488" t="e">
        <f>IF(Table5[[#This Row],[Зөрүү]]&gt;0,Table5[[#This Row],[Зөрүү]],0)</f>
        <v>#REF!</v>
      </c>
      <c r="H124" s="488" t="e">
        <f>IF(Table5[[#This Row],[Зөрүү]]&lt;0,-Table5[[#This Row],[Зөрүү]],0)</f>
        <v>#REF!</v>
      </c>
      <c r="I124" s="477"/>
    </row>
    <row r="125" spans="4:9" ht="12.75" customHeight="1" x14ac:dyDescent="0.25">
      <c r="D125" s="488" t="e">
        <f>SUMIFS(GL!#REF!,GL!C:C,Table5[[#This Row],[Харилцагчид]])</f>
        <v>#REF!</v>
      </c>
      <c r="E125" s="488" t="e">
        <f>SUMIFS(GL!#REF!,GL!C:C,Table5[[#This Row],[Харилцагчид]])</f>
        <v>#REF!</v>
      </c>
      <c r="F125" s="488" t="e">
        <f>Table5[[#This Row],[ДТ]]+Table5[[#This Row],[Дебит]]-Table5[[#This Row],[КТ]]-Table5[[#This Row],[Кредит]]</f>
        <v>#REF!</v>
      </c>
      <c r="G125" s="488" t="e">
        <f>IF(Table5[[#This Row],[Зөрүү]]&gt;0,Table5[[#This Row],[Зөрүү]],0)</f>
        <v>#REF!</v>
      </c>
      <c r="H125" s="488" t="e">
        <f>IF(Table5[[#This Row],[Зөрүү]]&lt;0,-Table5[[#This Row],[Зөрүү]],0)</f>
        <v>#REF!</v>
      </c>
      <c r="I125" s="477"/>
    </row>
    <row r="126" spans="4:9" ht="12.75" customHeight="1" x14ac:dyDescent="0.25">
      <c r="D126" s="488" t="e">
        <f>SUMIFS(GL!#REF!,GL!C:C,Table5[[#This Row],[Харилцагчид]])</f>
        <v>#REF!</v>
      </c>
      <c r="E126" s="488" t="e">
        <f>SUMIFS(GL!#REF!,GL!C:C,Table5[[#This Row],[Харилцагчид]])</f>
        <v>#REF!</v>
      </c>
      <c r="F126" s="488" t="e">
        <f>Table5[[#This Row],[ДТ]]+Table5[[#This Row],[Дебит]]-Table5[[#This Row],[КТ]]-Table5[[#This Row],[Кредит]]</f>
        <v>#REF!</v>
      </c>
      <c r="G126" s="488" t="e">
        <f>IF(Table5[[#This Row],[Зөрүү]]&gt;0,Table5[[#This Row],[Зөрүү]],0)</f>
        <v>#REF!</v>
      </c>
      <c r="H126" s="488" t="e">
        <f>IF(Table5[[#This Row],[Зөрүү]]&lt;0,-Table5[[#This Row],[Зөрүү]],0)</f>
        <v>#REF!</v>
      </c>
      <c r="I126" s="477"/>
    </row>
    <row r="127" spans="4:9" ht="12.75" customHeight="1" x14ac:dyDescent="0.25">
      <c r="D127" s="488" t="e">
        <f>SUMIFS(GL!#REF!,GL!C:C,Table5[[#This Row],[Харилцагчид]])</f>
        <v>#REF!</v>
      </c>
      <c r="E127" s="488" t="e">
        <f>SUMIFS(GL!#REF!,GL!C:C,Table5[[#This Row],[Харилцагчид]])</f>
        <v>#REF!</v>
      </c>
      <c r="F127" s="488" t="e">
        <f>Table5[[#This Row],[ДТ]]+Table5[[#This Row],[Дебит]]-Table5[[#This Row],[КТ]]-Table5[[#This Row],[Кредит]]</f>
        <v>#REF!</v>
      </c>
      <c r="G127" s="488" t="e">
        <f>IF(Table5[[#This Row],[Зөрүү]]&gt;0,Table5[[#This Row],[Зөрүү]],0)</f>
        <v>#REF!</v>
      </c>
      <c r="H127" s="488" t="e">
        <f>IF(Table5[[#This Row],[Зөрүү]]&lt;0,-Table5[[#This Row],[Зөрүү]],0)</f>
        <v>#REF!</v>
      </c>
      <c r="I127" s="477"/>
    </row>
    <row r="128" spans="4:9" ht="12.75" customHeight="1" x14ac:dyDescent="0.25">
      <c r="D128" s="488" t="e">
        <f>SUMIFS(GL!#REF!,GL!C:C,Table5[[#This Row],[Харилцагчид]])</f>
        <v>#REF!</v>
      </c>
      <c r="E128" s="488" t="e">
        <f>SUMIFS(GL!#REF!,GL!C:C,Table5[[#This Row],[Харилцагчид]])</f>
        <v>#REF!</v>
      </c>
      <c r="F128" s="488" t="e">
        <f>Table5[[#This Row],[ДТ]]+Table5[[#This Row],[Дебит]]-Table5[[#This Row],[КТ]]-Table5[[#This Row],[Кредит]]</f>
        <v>#REF!</v>
      </c>
      <c r="G128" s="488" t="e">
        <f>IF(Table5[[#This Row],[Зөрүү]]&gt;0,Table5[[#This Row],[Зөрүү]],0)</f>
        <v>#REF!</v>
      </c>
      <c r="H128" s="488" t="e">
        <f>IF(Table5[[#This Row],[Зөрүү]]&lt;0,-Table5[[#This Row],[Зөрүү]],0)</f>
        <v>#REF!</v>
      </c>
      <c r="I128" s="477"/>
    </row>
    <row r="129" spans="4:9" ht="12.75" customHeight="1" x14ac:dyDescent="0.25">
      <c r="D129" s="488" t="e">
        <f>SUMIFS(GL!#REF!,GL!C:C,Table5[[#This Row],[Харилцагчид]])</f>
        <v>#REF!</v>
      </c>
      <c r="E129" s="488" t="e">
        <f>SUMIFS(GL!#REF!,GL!C:C,Table5[[#This Row],[Харилцагчид]])</f>
        <v>#REF!</v>
      </c>
      <c r="F129" s="488" t="e">
        <f>Table5[[#This Row],[ДТ]]+Table5[[#This Row],[Дебит]]-Table5[[#This Row],[КТ]]-Table5[[#This Row],[Кредит]]</f>
        <v>#REF!</v>
      </c>
      <c r="G129" s="488" t="e">
        <f>IF(Table5[[#This Row],[Зөрүү]]&gt;0,Table5[[#This Row],[Зөрүү]],0)</f>
        <v>#REF!</v>
      </c>
      <c r="H129" s="488" t="e">
        <f>IF(Table5[[#This Row],[Зөрүү]]&lt;0,-Table5[[#This Row],[Зөрүү]],0)</f>
        <v>#REF!</v>
      </c>
      <c r="I129" s="477"/>
    </row>
    <row r="130" spans="4:9" ht="12.75" customHeight="1" x14ac:dyDescent="0.25">
      <c r="D130" s="488" t="e">
        <f>SUMIFS(GL!#REF!,GL!C:C,Table5[[#This Row],[Харилцагчид]])</f>
        <v>#REF!</v>
      </c>
      <c r="E130" s="488" t="e">
        <f>SUMIFS(GL!#REF!,GL!C:C,Table5[[#This Row],[Харилцагчид]])</f>
        <v>#REF!</v>
      </c>
      <c r="F130" s="488" t="e">
        <f>Table5[[#This Row],[ДТ]]+Table5[[#This Row],[Дебит]]-Table5[[#This Row],[КТ]]-Table5[[#This Row],[Кредит]]</f>
        <v>#REF!</v>
      </c>
      <c r="G130" s="488" t="e">
        <f>IF(Table5[[#This Row],[Зөрүү]]&gt;0,Table5[[#This Row],[Зөрүү]],0)</f>
        <v>#REF!</v>
      </c>
      <c r="H130" s="488" t="e">
        <f>IF(Table5[[#This Row],[Зөрүү]]&lt;0,-Table5[[#This Row],[Зөрүү]],0)</f>
        <v>#REF!</v>
      </c>
      <c r="I130" s="477"/>
    </row>
    <row r="131" spans="4:9" ht="12.75" customHeight="1" x14ac:dyDescent="0.25">
      <c r="D131" s="488" t="e">
        <f>SUMIFS(GL!#REF!,GL!C:C,Table5[[#This Row],[Харилцагчид]])</f>
        <v>#REF!</v>
      </c>
      <c r="E131" s="488" t="e">
        <f>SUMIFS(GL!#REF!,GL!C:C,Table5[[#This Row],[Харилцагчид]])</f>
        <v>#REF!</v>
      </c>
      <c r="F131" s="488" t="e">
        <f>Table5[[#This Row],[ДТ]]+Table5[[#This Row],[Дебит]]-Table5[[#This Row],[КТ]]-Table5[[#This Row],[Кредит]]</f>
        <v>#REF!</v>
      </c>
      <c r="G131" s="488" t="e">
        <f>IF(Table5[[#This Row],[Зөрүү]]&gt;0,Table5[[#This Row],[Зөрүү]],0)</f>
        <v>#REF!</v>
      </c>
      <c r="H131" s="488" t="e">
        <f>IF(Table5[[#This Row],[Зөрүү]]&lt;0,-Table5[[#This Row],[Зөрүү]],0)</f>
        <v>#REF!</v>
      </c>
      <c r="I131" s="477"/>
    </row>
    <row r="132" spans="4:9" ht="12.75" customHeight="1" x14ac:dyDescent="0.25">
      <c r="D132" s="488" t="e">
        <f>SUMIFS(GL!#REF!,GL!C:C,Table5[[#This Row],[Харилцагчид]])</f>
        <v>#REF!</v>
      </c>
      <c r="E132" s="488" t="e">
        <f>SUMIFS(GL!#REF!,GL!C:C,Table5[[#This Row],[Харилцагчид]])</f>
        <v>#REF!</v>
      </c>
      <c r="F132" s="488" t="e">
        <f>Table5[[#This Row],[ДТ]]+Table5[[#This Row],[Дебит]]-Table5[[#This Row],[КТ]]-Table5[[#This Row],[Кредит]]</f>
        <v>#REF!</v>
      </c>
      <c r="G132" s="488" t="e">
        <f>IF(Table5[[#This Row],[Зөрүү]]&gt;0,Table5[[#This Row],[Зөрүү]],0)</f>
        <v>#REF!</v>
      </c>
      <c r="H132" s="488" t="e">
        <f>IF(Table5[[#This Row],[Зөрүү]]&lt;0,-Table5[[#This Row],[Зөрүү]],0)</f>
        <v>#REF!</v>
      </c>
      <c r="I132" s="477"/>
    </row>
    <row r="133" spans="4:9" ht="12.75" customHeight="1" x14ac:dyDescent="0.25">
      <c r="D133" s="488" t="e">
        <f>SUMIFS(GL!#REF!,GL!C:C,Table5[[#This Row],[Харилцагчид]])</f>
        <v>#REF!</v>
      </c>
      <c r="E133" s="488" t="e">
        <f>SUMIFS(GL!#REF!,GL!C:C,Table5[[#This Row],[Харилцагчид]])</f>
        <v>#REF!</v>
      </c>
      <c r="F133" s="488" t="e">
        <f>Table5[[#This Row],[ДТ]]+Table5[[#This Row],[Дебит]]-Table5[[#This Row],[КТ]]-Table5[[#This Row],[Кредит]]</f>
        <v>#REF!</v>
      </c>
      <c r="G133" s="488" t="e">
        <f>IF(Table5[[#This Row],[Зөрүү]]&gt;0,Table5[[#This Row],[Зөрүү]],0)</f>
        <v>#REF!</v>
      </c>
      <c r="H133" s="488" t="e">
        <f>IF(Table5[[#This Row],[Зөрүү]]&lt;0,-Table5[[#This Row],[Зөрүү]],0)</f>
        <v>#REF!</v>
      </c>
      <c r="I133" s="477"/>
    </row>
    <row r="134" spans="4:9" ht="12.75" customHeight="1" x14ac:dyDescent="0.25">
      <c r="D134" s="488" t="e">
        <f>SUMIFS(GL!#REF!,GL!C:C,Table5[[#This Row],[Харилцагчид]])</f>
        <v>#REF!</v>
      </c>
      <c r="E134" s="488" t="e">
        <f>SUMIFS(GL!#REF!,GL!C:C,Table5[[#This Row],[Харилцагчид]])</f>
        <v>#REF!</v>
      </c>
      <c r="F134" s="488" t="e">
        <f>Table5[[#This Row],[ДТ]]+Table5[[#This Row],[Дебит]]-Table5[[#This Row],[КТ]]-Table5[[#This Row],[Кредит]]</f>
        <v>#REF!</v>
      </c>
      <c r="G134" s="488" t="e">
        <f>IF(Table5[[#This Row],[Зөрүү]]&gt;0,Table5[[#This Row],[Зөрүү]],0)</f>
        <v>#REF!</v>
      </c>
      <c r="H134" s="488" t="e">
        <f>IF(Table5[[#This Row],[Зөрүү]]&lt;0,-Table5[[#This Row],[Зөрүү]],0)</f>
        <v>#REF!</v>
      </c>
      <c r="I134" s="477"/>
    </row>
    <row r="135" spans="4:9" ht="12.75" customHeight="1" x14ac:dyDescent="0.25">
      <c r="D135" s="488" t="e">
        <f>SUMIFS(GL!#REF!,GL!C:C,Table5[[#This Row],[Харилцагчид]])</f>
        <v>#REF!</v>
      </c>
      <c r="E135" s="488" t="e">
        <f>SUMIFS(GL!#REF!,GL!C:C,Table5[[#This Row],[Харилцагчид]])</f>
        <v>#REF!</v>
      </c>
      <c r="F135" s="488" t="e">
        <f>Table5[[#This Row],[ДТ]]+Table5[[#This Row],[Дебит]]-Table5[[#This Row],[КТ]]-Table5[[#This Row],[Кредит]]</f>
        <v>#REF!</v>
      </c>
      <c r="G135" s="488" t="e">
        <f>IF(Table5[[#This Row],[Зөрүү]]&gt;0,Table5[[#This Row],[Зөрүү]],0)</f>
        <v>#REF!</v>
      </c>
      <c r="H135" s="488" t="e">
        <f>IF(Table5[[#This Row],[Зөрүү]]&lt;0,-Table5[[#This Row],[Зөрүү]],0)</f>
        <v>#REF!</v>
      </c>
      <c r="I135" s="477"/>
    </row>
    <row r="136" spans="4:9" ht="12.75" customHeight="1" x14ac:dyDescent="0.25">
      <c r="D136" s="488" t="e">
        <f>SUMIFS(GL!#REF!,GL!C:C,Table5[[#This Row],[Харилцагчид]])</f>
        <v>#REF!</v>
      </c>
      <c r="E136" s="488" t="e">
        <f>SUMIFS(GL!#REF!,GL!C:C,Table5[[#This Row],[Харилцагчид]])</f>
        <v>#REF!</v>
      </c>
      <c r="F136" s="488" t="e">
        <f>Table5[[#This Row],[ДТ]]+Table5[[#This Row],[Дебит]]-Table5[[#This Row],[КТ]]-Table5[[#This Row],[Кредит]]</f>
        <v>#REF!</v>
      </c>
      <c r="G136" s="488" t="e">
        <f>IF(Table5[[#This Row],[Зөрүү]]&gt;0,Table5[[#This Row],[Зөрүү]],0)</f>
        <v>#REF!</v>
      </c>
      <c r="H136" s="488" t="e">
        <f>IF(Table5[[#This Row],[Зөрүү]]&lt;0,-Table5[[#This Row],[Зөрүү]],0)</f>
        <v>#REF!</v>
      </c>
      <c r="I136" s="477"/>
    </row>
    <row r="137" spans="4:9" ht="12.75" customHeight="1" x14ac:dyDescent="0.25">
      <c r="D137" s="488" t="e">
        <f>SUMIFS(GL!#REF!,GL!C:C,Table5[[#This Row],[Харилцагчид]])</f>
        <v>#REF!</v>
      </c>
      <c r="E137" s="488" t="e">
        <f>SUMIFS(GL!#REF!,GL!C:C,Table5[[#This Row],[Харилцагчид]])</f>
        <v>#REF!</v>
      </c>
      <c r="F137" s="488" t="e">
        <f>Table5[[#This Row],[ДТ]]+Table5[[#This Row],[Дебит]]-Table5[[#This Row],[КТ]]-Table5[[#This Row],[Кредит]]</f>
        <v>#REF!</v>
      </c>
      <c r="G137" s="488" t="e">
        <f>IF(Table5[[#This Row],[Зөрүү]]&gt;0,Table5[[#This Row],[Зөрүү]],0)</f>
        <v>#REF!</v>
      </c>
      <c r="H137" s="488" t="e">
        <f>IF(Table5[[#This Row],[Зөрүү]]&lt;0,-Table5[[#This Row],[Зөрүү]],0)</f>
        <v>#REF!</v>
      </c>
      <c r="I137" s="477"/>
    </row>
    <row r="138" spans="4:9" ht="12.75" customHeight="1" x14ac:dyDescent="0.25">
      <c r="D138" s="488" t="e">
        <f>SUMIFS(GL!#REF!,GL!C:C,Table5[[#This Row],[Харилцагчид]])</f>
        <v>#REF!</v>
      </c>
      <c r="E138" s="488" t="e">
        <f>SUMIFS(GL!#REF!,GL!C:C,Table5[[#This Row],[Харилцагчид]])</f>
        <v>#REF!</v>
      </c>
      <c r="F138" s="488" t="e">
        <f>Table5[[#This Row],[ДТ]]+Table5[[#This Row],[Дебит]]-Table5[[#This Row],[КТ]]-Table5[[#This Row],[Кредит]]</f>
        <v>#REF!</v>
      </c>
      <c r="G138" s="488" t="e">
        <f>IF(Table5[[#This Row],[Зөрүү]]&gt;0,Table5[[#This Row],[Зөрүү]],0)</f>
        <v>#REF!</v>
      </c>
      <c r="H138" s="488" t="e">
        <f>IF(Table5[[#This Row],[Зөрүү]]&lt;0,-Table5[[#This Row],[Зөрүү]],0)</f>
        <v>#REF!</v>
      </c>
      <c r="I138" s="477"/>
    </row>
    <row r="139" spans="4:9" ht="12.75" customHeight="1" x14ac:dyDescent="0.25">
      <c r="D139" s="488" t="e">
        <f>SUMIFS(GL!#REF!,GL!C:C,Table5[[#This Row],[Харилцагчид]])</f>
        <v>#REF!</v>
      </c>
      <c r="E139" s="488" t="e">
        <f>SUMIFS(GL!#REF!,GL!C:C,Table5[[#This Row],[Харилцагчид]])</f>
        <v>#REF!</v>
      </c>
      <c r="F139" s="488" t="e">
        <f>Table5[[#This Row],[ДТ]]+Table5[[#This Row],[Дебит]]-Table5[[#This Row],[КТ]]-Table5[[#This Row],[Кредит]]</f>
        <v>#REF!</v>
      </c>
      <c r="G139" s="488" t="e">
        <f>IF(Table5[[#This Row],[Зөрүү]]&gt;0,Table5[[#This Row],[Зөрүү]],0)</f>
        <v>#REF!</v>
      </c>
      <c r="H139" s="488" t="e">
        <f>IF(Table5[[#This Row],[Зөрүү]]&lt;0,-Table5[[#This Row],[Зөрүү]],0)</f>
        <v>#REF!</v>
      </c>
      <c r="I139" s="477"/>
    </row>
    <row r="140" spans="4:9" ht="12.75" customHeight="1" x14ac:dyDescent="0.25">
      <c r="D140" s="488" t="e">
        <f>SUMIFS(GL!#REF!,GL!C:C,Table5[[#This Row],[Харилцагчид]])</f>
        <v>#REF!</v>
      </c>
      <c r="E140" s="488" t="e">
        <f>SUMIFS(GL!#REF!,GL!C:C,Table5[[#This Row],[Харилцагчид]])</f>
        <v>#REF!</v>
      </c>
      <c r="F140" s="488" t="e">
        <f>Table5[[#This Row],[ДТ]]+Table5[[#This Row],[Дебит]]-Table5[[#This Row],[КТ]]-Table5[[#This Row],[Кредит]]</f>
        <v>#REF!</v>
      </c>
      <c r="G140" s="488" t="e">
        <f>IF(Table5[[#This Row],[Зөрүү]]&gt;0,Table5[[#This Row],[Зөрүү]],0)</f>
        <v>#REF!</v>
      </c>
      <c r="H140" s="488" t="e">
        <f>IF(Table5[[#This Row],[Зөрүү]]&lt;0,-Table5[[#This Row],[Зөрүү]],0)</f>
        <v>#REF!</v>
      </c>
      <c r="I140" s="477"/>
    </row>
    <row r="141" spans="4:9" ht="12.75" customHeight="1" x14ac:dyDescent="0.25">
      <c r="D141" s="488" t="e">
        <f>SUMIFS(GL!#REF!,GL!C:C,Table5[[#This Row],[Харилцагчид]])</f>
        <v>#REF!</v>
      </c>
      <c r="E141" s="488" t="e">
        <f>SUMIFS(GL!#REF!,GL!C:C,Table5[[#This Row],[Харилцагчид]])</f>
        <v>#REF!</v>
      </c>
      <c r="F141" s="488" t="e">
        <f>Table5[[#This Row],[ДТ]]+Table5[[#This Row],[Дебит]]-Table5[[#This Row],[КТ]]-Table5[[#This Row],[Кредит]]</f>
        <v>#REF!</v>
      </c>
      <c r="G141" s="488" t="e">
        <f>IF(Table5[[#This Row],[Зөрүү]]&gt;0,Table5[[#This Row],[Зөрүү]],0)</f>
        <v>#REF!</v>
      </c>
      <c r="H141" s="488" t="e">
        <f>IF(Table5[[#This Row],[Зөрүү]]&lt;0,-Table5[[#This Row],[Зөрүү]],0)</f>
        <v>#REF!</v>
      </c>
      <c r="I141" s="477"/>
    </row>
    <row r="142" spans="4:9" ht="12.75" customHeight="1" x14ac:dyDescent="0.25">
      <c r="D142" s="488" t="e">
        <f>SUMIFS(GL!#REF!,GL!C:C,Table5[[#This Row],[Харилцагчид]])</f>
        <v>#REF!</v>
      </c>
      <c r="E142" s="488" t="e">
        <f>SUMIFS(GL!#REF!,GL!C:C,Table5[[#This Row],[Харилцагчид]])</f>
        <v>#REF!</v>
      </c>
      <c r="F142" s="488" t="e">
        <f>Table5[[#This Row],[ДТ]]+Table5[[#This Row],[Дебит]]-Table5[[#This Row],[КТ]]-Table5[[#This Row],[Кредит]]</f>
        <v>#REF!</v>
      </c>
      <c r="G142" s="488" t="e">
        <f>IF(Table5[[#This Row],[Зөрүү]]&gt;0,Table5[[#This Row],[Зөрүү]],0)</f>
        <v>#REF!</v>
      </c>
      <c r="H142" s="488" t="e">
        <f>IF(Table5[[#This Row],[Зөрүү]]&lt;0,-Table5[[#This Row],[Зөрүү]],0)</f>
        <v>#REF!</v>
      </c>
      <c r="I142" s="477"/>
    </row>
    <row r="143" spans="4:9" ht="12.75" customHeight="1" x14ac:dyDescent="0.25">
      <c r="D143" s="488" t="e">
        <f>SUMIFS(GL!#REF!,GL!C:C,Table5[[#This Row],[Харилцагчид]])</f>
        <v>#REF!</v>
      </c>
      <c r="E143" s="488" t="e">
        <f>SUMIFS(GL!#REF!,GL!C:C,Table5[[#This Row],[Харилцагчид]])</f>
        <v>#REF!</v>
      </c>
      <c r="F143" s="488" t="e">
        <f>Table5[[#This Row],[ДТ]]+Table5[[#This Row],[Дебит]]-Table5[[#This Row],[КТ]]-Table5[[#This Row],[Кредит]]</f>
        <v>#REF!</v>
      </c>
      <c r="G143" s="488" t="e">
        <f>IF(Table5[[#This Row],[Зөрүү]]&gt;0,Table5[[#This Row],[Зөрүү]],0)</f>
        <v>#REF!</v>
      </c>
      <c r="H143" s="488" t="e">
        <f>IF(Table5[[#This Row],[Зөрүү]]&lt;0,-Table5[[#This Row],[Зөрүү]],0)</f>
        <v>#REF!</v>
      </c>
      <c r="I143" s="477"/>
    </row>
    <row r="144" spans="4:9" ht="12.75" customHeight="1" x14ac:dyDescent="0.25">
      <c r="D144" s="488" t="e">
        <f>SUMIFS(GL!#REF!,GL!C:C,Table5[[#This Row],[Харилцагчид]])</f>
        <v>#REF!</v>
      </c>
      <c r="E144" s="488" t="e">
        <f>SUMIFS(GL!#REF!,GL!C:C,Table5[[#This Row],[Харилцагчид]])</f>
        <v>#REF!</v>
      </c>
      <c r="F144" s="488" t="e">
        <f>Table5[[#This Row],[ДТ]]+Table5[[#This Row],[Дебит]]-Table5[[#This Row],[КТ]]-Table5[[#This Row],[Кредит]]</f>
        <v>#REF!</v>
      </c>
      <c r="G144" s="488" t="e">
        <f>IF(Table5[[#This Row],[Зөрүү]]&gt;0,Table5[[#This Row],[Зөрүү]],0)</f>
        <v>#REF!</v>
      </c>
      <c r="H144" s="488" t="e">
        <f>IF(Table5[[#This Row],[Зөрүү]]&lt;0,-Table5[[#This Row],[Зөрүү]],0)</f>
        <v>#REF!</v>
      </c>
      <c r="I144" s="477"/>
    </row>
    <row r="145" spans="4:9" ht="12.75" customHeight="1" x14ac:dyDescent="0.25">
      <c r="D145" s="488" t="e">
        <f>SUMIFS(GL!#REF!,GL!C:C,Table5[[#This Row],[Харилцагчид]])</f>
        <v>#REF!</v>
      </c>
      <c r="E145" s="488" t="e">
        <f>SUMIFS(GL!#REF!,GL!C:C,Table5[[#This Row],[Харилцагчид]])</f>
        <v>#REF!</v>
      </c>
      <c r="F145" s="488" t="e">
        <f>Table5[[#This Row],[ДТ]]+Table5[[#This Row],[Дебит]]-Table5[[#This Row],[КТ]]-Table5[[#This Row],[Кредит]]</f>
        <v>#REF!</v>
      </c>
      <c r="G145" s="488" t="e">
        <f>IF(Table5[[#This Row],[Зөрүү]]&gt;0,Table5[[#This Row],[Зөрүү]],0)</f>
        <v>#REF!</v>
      </c>
      <c r="H145" s="488" t="e">
        <f>IF(Table5[[#This Row],[Зөрүү]]&lt;0,-Table5[[#This Row],[Зөрүү]],0)</f>
        <v>#REF!</v>
      </c>
      <c r="I145" s="477"/>
    </row>
    <row r="146" spans="4:9" ht="12.75" customHeight="1" x14ac:dyDescent="0.25">
      <c r="D146" s="488" t="e">
        <f>SUMIFS(GL!#REF!,GL!C:C,Table5[[#This Row],[Харилцагчид]])</f>
        <v>#REF!</v>
      </c>
      <c r="E146" s="488" t="e">
        <f>SUMIFS(GL!#REF!,GL!C:C,Table5[[#This Row],[Харилцагчид]])</f>
        <v>#REF!</v>
      </c>
      <c r="F146" s="488" t="e">
        <f>Table5[[#This Row],[ДТ]]+Table5[[#This Row],[Дебит]]-Table5[[#This Row],[КТ]]-Table5[[#This Row],[Кредит]]</f>
        <v>#REF!</v>
      </c>
      <c r="G146" s="488" t="e">
        <f>IF(Table5[[#This Row],[Зөрүү]]&gt;0,Table5[[#This Row],[Зөрүү]],0)</f>
        <v>#REF!</v>
      </c>
      <c r="H146" s="488" t="e">
        <f>IF(Table5[[#This Row],[Зөрүү]]&lt;0,-Table5[[#This Row],[Зөрүү]],0)</f>
        <v>#REF!</v>
      </c>
      <c r="I146" s="477"/>
    </row>
    <row r="147" spans="4:9" ht="12.75" customHeight="1" x14ac:dyDescent="0.25">
      <c r="D147" s="488" t="e">
        <f>SUMIFS(GL!#REF!,GL!C:C,Table5[[#This Row],[Харилцагчид]])</f>
        <v>#REF!</v>
      </c>
      <c r="E147" s="488" t="e">
        <f>SUMIFS(GL!#REF!,GL!C:C,Table5[[#This Row],[Харилцагчид]])</f>
        <v>#REF!</v>
      </c>
      <c r="F147" s="488" t="e">
        <f>Table5[[#This Row],[ДТ]]+Table5[[#This Row],[Дебит]]-Table5[[#This Row],[КТ]]-Table5[[#This Row],[Кредит]]</f>
        <v>#REF!</v>
      </c>
      <c r="G147" s="488" t="e">
        <f>IF(Table5[[#This Row],[Зөрүү]]&gt;0,Table5[[#This Row],[Зөрүү]],0)</f>
        <v>#REF!</v>
      </c>
      <c r="H147" s="488" t="e">
        <f>IF(Table5[[#This Row],[Зөрүү]]&lt;0,-Table5[[#This Row],[Зөрүү]],0)</f>
        <v>#REF!</v>
      </c>
      <c r="I147" s="477"/>
    </row>
    <row r="148" spans="4:9" ht="12.75" customHeight="1" x14ac:dyDescent="0.25">
      <c r="D148" s="488" t="e">
        <f>SUMIFS(GL!#REF!,GL!C:C,Table5[[#This Row],[Харилцагчид]])</f>
        <v>#REF!</v>
      </c>
      <c r="E148" s="488" t="e">
        <f>SUMIFS(GL!#REF!,GL!C:C,Table5[[#This Row],[Харилцагчид]])</f>
        <v>#REF!</v>
      </c>
      <c r="F148" s="488" t="e">
        <f>Table5[[#This Row],[ДТ]]+Table5[[#This Row],[Дебит]]-Table5[[#This Row],[КТ]]-Table5[[#This Row],[Кредит]]</f>
        <v>#REF!</v>
      </c>
      <c r="G148" s="488" t="e">
        <f>IF(Table5[[#This Row],[Зөрүү]]&gt;0,Table5[[#This Row],[Зөрүү]],0)</f>
        <v>#REF!</v>
      </c>
      <c r="H148" s="488" t="e">
        <f>IF(Table5[[#This Row],[Зөрүү]]&lt;0,-Table5[[#This Row],[Зөрүү]],0)</f>
        <v>#REF!</v>
      </c>
      <c r="I148" s="477"/>
    </row>
    <row r="149" spans="4:9" ht="12.75" customHeight="1" x14ac:dyDescent="0.25">
      <c r="D149" s="488" t="e">
        <f>SUMIFS(GL!#REF!,GL!C:C,Table5[[#This Row],[Харилцагчид]])</f>
        <v>#REF!</v>
      </c>
      <c r="E149" s="488" t="e">
        <f>SUMIFS(GL!#REF!,GL!C:C,Table5[[#This Row],[Харилцагчид]])</f>
        <v>#REF!</v>
      </c>
      <c r="F149" s="488" t="e">
        <f>Table5[[#This Row],[ДТ]]+Table5[[#This Row],[Дебит]]-Table5[[#This Row],[КТ]]-Table5[[#This Row],[Кредит]]</f>
        <v>#REF!</v>
      </c>
      <c r="G149" s="488" t="e">
        <f>IF(Table5[[#This Row],[Зөрүү]]&gt;0,Table5[[#This Row],[Зөрүү]],0)</f>
        <v>#REF!</v>
      </c>
      <c r="H149" s="488" t="e">
        <f>IF(Table5[[#This Row],[Зөрүү]]&lt;0,-Table5[[#This Row],[Зөрүү]],0)</f>
        <v>#REF!</v>
      </c>
      <c r="I149" s="477"/>
    </row>
    <row r="150" spans="4:9" ht="12.75" customHeight="1" x14ac:dyDescent="0.25">
      <c r="D150" s="488" t="e">
        <f>SUMIFS(GL!#REF!,GL!C:C,Table5[[#This Row],[Харилцагчид]])</f>
        <v>#REF!</v>
      </c>
      <c r="E150" s="488" t="e">
        <f>SUMIFS(GL!#REF!,GL!C:C,Table5[[#This Row],[Харилцагчид]])</f>
        <v>#REF!</v>
      </c>
      <c r="F150" s="488" t="e">
        <f>Table5[[#This Row],[ДТ]]+Table5[[#This Row],[Дебит]]-Table5[[#This Row],[КТ]]-Table5[[#This Row],[Кредит]]</f>
        <v>#REF!</v>
      </c>
      <c r="G150" s="488" t="e">
        <f>IF(Table5[[#This Row],[Зөрүү]]&gt;0,Table5[[#This Row],[Зөрүү]],0)</f>
        <v>#REF!</v>
      </c>
      <c r="H150" s="488" t="e">
        <f>IF(Table5[[#This Row],[Зөрүү]]&lt;0,-Table5[[#This Row],[Зөрүү]],0)</f>
        <v>#REF!</v>
      </c>
      <c r="I150" s="477"/>
    </row>
    <row r="151" spans="4:9" ht="12.75" customHeight="1" x14ac:dyDescent="0.25">
      <c r="D151" s="488" t="e">
        <f>SUMIFS(GL!#REF!,GL!C:C,Table5[[#This Row],[Харилцагчид]])</f>
        <v>#REF!</v>
      </c>
      <c r="E151" s="488" t="e">
        <f>SUMIFS(GL!#REF!,GL!C:C,Table5[[#This Row],[Харилцагчид]])</f>
        <v>#REF!</v>
      </c>
      <c r="F151" s="488" t="e">
        <f>Table5[[#This Row],[ДТ]]+Table5[[#This Row],[Дебит]]-Table5[[#This Row],[КТ]]-Table5[[#This Row],[Кредит]]</f>
        <v>#REF!</v>
      </c>
      <c r="G151" s="488" t="e">
        <f>IF(Table5[[#This Row],[Зөрүү]]&gt;0,Table5[[#This Row],[Зөрүү]],0)</f>
        <v>#REF!</v>
      </c>
      <c r="H151" s="488" t="e">
        <f>IF(Table5[[#This Row],[Зөрүү]]&lt;0,-Table5[[#This Row],[Зөрүү]],0)</f>
        <v>#REF!</v>
      </c>
      <c r="I151" s="477"/>
    </row>
    <row r="152" spans="4:9" ht="12.75" customHeight="1" x14ac:dyDescent="0.25">
      <c r="D152" s="488" t="e">
        <f>SUMIFS(GL!#REF!,GL!C:C,Table5[[#This Row],[Харилцагчид]])</f>
        <v>#REF!</v>
      </c>
      <c r="E152" s="488" t="e">
        <f>SUMIFS(GL!#REF!,GL!C:C,Table5[[#This Row],[Харилцагчид]])</f>
        <v>#REF!</v>
      </c>
      <c r="F152" s="488" t="e">
        <f>Table5[[#This Row],[ДТ]]+Table5[[#This Row],[Дебит]]-Table5[[#This Row],[КТ]]-Table5[[#This Row],[Кредит]]</f>
        <v>#REF!</v>
      </c>
      <c r="G152" s="488" t="e">
        <f>IF(Table5[[#This Row],[Зөрүү]]&gt;0,Table5[[#This Row],[Зөрүү]],0)</f>
        <v>#REF!</v>
      </c>
      <c r="H152" s="488" t="e">
        <f>IF(Table5[[#This Row],[Зөрүү]]&lt;0,-Table5[[#This Row],[Зөрүү]],0)</f>
        <v>#REF!</v>
      </c>
      <c r="I152" s="477"/>
    </row>
    <row r="153" spans="4:9" ht="12.75" customHeight="1" x14ac:dyDescent="0.25">
      <c r="D153" s="488" t="e">
        <f>SUMIFS(GL!#REF!,GL!C:C,Table5[[#This Row],[Харилцагчид]])</f>
        <v>#REF!</v>
      </c>
      <c r="E153" s="488" t="e">
        <f>SUMIFS(GL!#REF!,GL!C:C,Table5[[#This Row],[Харилцагчид]])</f>
        <v>#REF!</v>
      </c>
      <c r="F153" s="488" t="e">
        <f>Table5[[#This Row],[ДТ]]+Table5[[#This Row],[Дебит]]-Table5[[#This Row],[КТ]]-Table5[[#This Row],[Кредит]]</f>
        <v>#REF!</v>
      </c>
      <c r="G153" s="488" t="e">
        <f>IF(Table5[[#This Row],[Зөрүү]]&gt;0,Table5[[#This Row],[Зөрүү]],0)</f>
        <v>#REF!</v>
      </c>
      <c r="H153" s="488" t="e">
        <f>IF(Table5[[#This Row],[Зөрүү]]&lt;0,-Table5[[#This Row],[Зөрүү]],0)</f>
        <v>#REF!</v>
      </c>
      <c r="I153" s="477"/>
    </row>
    <row r="154" spans="4:9" ht="12.75" customHeight="1" x14ac:dyDescent="0.25">
      <c r="D154" s="488" t="e">
        <f>SUMIFS(GL!#REF!,GL!C:C,Table5[[#This Row],[Харилцагчид]])</f>
        <v>#REF!</v>
      </c>
      <c r="E154" s="488" t="e">
        <f>SUMIFS(GL!#REF!,GL!C:C,Table5[[#This Row],[Харилцагчид]])</f>
        <v>#REF!</v>
      </c>
      <c r="F154" s="488" t="e">
        <f>Table5[[#This Row],[ДТ]]+Table5[[#This Row],[Дебит]]-Table5[[#This Row],[КТ]]-Table5[[#This Row],[Кредит]]</f>
        <v>#REF!</v>
      </c>
      <c r="G154" s="488" t="e">
        <f>IF(Table5[[#This Row],[Зөрүү]]&gt;0,Table5[[#This Row],[Зөрүү]],0)</f>
        <v>#REF!</v>
      </c>
      <c r="H154" s="488" t="e">
        <f>IF(Table5[[#This Row],[Зөрүү]]&lt;0,-Table5[[#This Row],[Зөрүү]],0)</f>
        <v>#REF!</v>
      </c>
      <c r="I154" s="477"/>
    </row>
    <row r="155" spans="4:9" ht="12.75" customHeight="1" x14ac:dyDescent="0.25">
      <c r="D155" s="488" t="e">
        <f>SUMIFS(GL!#REF!,GL!C:C,Table5[[#This Row],[Харилцагчид]])</f>
        <v>#REF!</v>
      </c>
      <c r="E155" s="488" t="e">
        <f>SUMIFS(GL!#REF!,GL!C:C,Table5[[#This Row],[Харилцагчид]])</f>
        <v>#REF!</v>
      </c>
      <c r="F155" s="488" t="e">
        <f>Table5[[#This Row],[ДТ]]+Table5[[#This Row],[Дебит]]-Table5[[#This Row],[КТ]]-Table5[[#This Row],[Кредит]]</f>
        <v>#REF!</v>
      </c>
      <c r="G155" s="488" t="e">
        <f>IF(Table5[[#This Row],[Зөрүү]]&gt;0,Table5[[#This Row],[Зөрүү]],0)</f>
        <v>#REF!</v>
      </c>
      <c r="H155" s="488" t="e">
        <f>IF(Table5[[#This Row],[Зөрүү]]&lt;0,-Table5[[#This Row],[Зөрүү]],0)</f>
        <v>#REF!</v>
      </c>
      <c r="I155" s="477"/>
    </row>
    <row r="156" spans="4:9" ht="12.75" customHeight="1" x14ac:dyDescent="0.25">
      <c r="D156" s="488" t="e">
        <f>SUMIFS(GL!#REF!,GL!C:C,Table5[[#This Row],[Харилцагчид]])</f>
        <v>#REF!</v>
      </c>
      <c r="E156" s="488" t="e">
        <f>SUMIFS(GL!#REF!,GL!C:C,Table5[[#This Row],[Харилцагчид]])</f>
        <v>#REF!</v>
      </c>
      <c r="F156" s="488" t="e">
        <f>Table5[[#This Row],[ДТ]]+Table5[[#This Row],[Дебит]]-Table5[[#This Row],[КТ]]-Table5[[#This Row],[Кредит]]</f>
        <v>#REF!</v>
      </c>
      <c r="G156" s="488" t="e">
        <f>IF(Table5[[#This Row],[Зөрүү]]&gt;0,Table5[[#This Row],[Зөрүү]],0)</f>
        <v>#REF!</v>
      </c>
      <c r="H156" s="488" t="e">
        <f>IF(Table5[[#This Row],[Зөрүү]]&lt;0,-Table5[[#This Row],[Зөрүү]],0)</f>
        <v>#REF!</v>
      </c>
      <c r="I156" s="477"/>
    </row>
    <row r="157" spans="4:9" ht="12.75" customHeight="1" x14ac:dyDescent="0.25">
      <c r="D157" s="488" t="e">
        <f>SUMIFS(GL!#REF!,GL!C:C,Table5[[#This Row],[Харилцагчид]])</f>
        <v>#REF!</v>
      </c>
      <c r="E157" s="488" t="e">
        <f>SUMIFS(GL!#REF!,GL!C:C,Table5[[#This Row],[Харилцагчид]])</f>
        <v>#REF!</v>
      </c>
      <c r="F157" s="488" t="e">
        <f>Table5[[#This Row],[ДТ]]+Table5[[#This Row],[Дебит]]-Table5[[#This Row],[КТ]]-Table5[[#This Row],[Кредит]]</f>
        <v>#REF!</v>
      </c>
      <c r="G157" s="488" t="e">
        <f>IF(Table5[[#This Row],[Зөрүү]]&gt;0,Table5[[#This Row],[Зөрүү]],0)</f>
        <v>#REF!</v>
      </c>
      <c r="H157" s="488" t="e">
        <f>IF(Table5[[#This Row],[Зөрүү]]&lt;0,-Table5[[#This Row],[Зөрүү]],0)</f>
        <v>#REF!</v>
      </c>
      <c r="I157" s="477"/>
    </row>
    <row r="158" spans="4:9" ht="12.75" customHeight="1" x14ac:dyDescent="0.25">
      <c r="D158" s="488" t="e">
        <f>SUMIFS(GL!#REF!,GL!C:C,Table5[[#This Row],[Харилцагчид]])</f>
        <v>#REF!</v>
      </c>
      <c r="E158" s="488" t="e">
        <f>SUMIFS(GL!#REF!,GL!C:C,Table5[[#This Row],[Харилцагчид]])</f>
        <v>#REF!</v>
      </c>
      <c r="F158" s="488" t="e">
        <f>Table5[[#This Row],[ДТ]]+Table5[[#This Row],[Дебит]]-Table5[[#This Row],[КТ]]-Table5[[#This Row],[Кредит]]</f>
        <v>#REF!</v>
      </c>
      <c r="G158" s="488" t="e">
        <f>IF(Table5[[#This Row],[Зөрүү]]&gt;0,Table5[[#This Row],[Зөрүү]],0)</f>
        <v>#REF!</v>
      </c>
      <c r="H158" s="488" t="e">
        <f>IF(Table5[[#This Row],[Зөрүү]]&lt;0,-Table5[[#This Row],[Зөрүү]],0)</f>
        <v>#REF!</v>
      </c>
      <c r="I158" s="477"/>
    </row>
    <row r="159" spans="4:9" ht="12.75" customHeight="1" x14ac:dyDescent="0.25">
      <c r="D159" s="488" t="e">
        <f>SUMIFS(GL!#REF!,GL!C:C,Table5[[#This Row],[Харилцагчид]])</f>
        <v>#REF!</v>
      </c>
      <c r="E159" s="488" t="e">
        <f>SUMIFS(GL!#REF!,GL!C:C,Table5[[#This Row],[Харилцагчид]])</f>
        <v>#REF!</v>
      </c>
      <c r="F159" s="488" t="e">
        <f>Table5[[#This Row],[ДТ]]+Table5[[#This Row],[Дебит]]-Table5[[#This Row],[КТ]]-Table5[[#This Row],[Кредит]]</f>
        <v>#REF!</v>
      </c>
      <c r="G159" s="488" t="e">
        <f>IF(Table5[[#This Row],[Зөрүү]]&gt;0,Table5[[#This Row],[Зөрүү]],0)</f>
        <v>#REF!</v>
      </c>
      <c r="H159" s="488" t="e">
        <f>IF(Table5[[#This Row],[Зөрүү]]&lt;0,-Table5[[#This Row],[Зөрүү]],0)</f>
        <v>#REF!</v>
      </c>
      <c r="I159" s="477"/>
    </row>
    <row r="160" spans="4:9" ht="12.75" customHeight="1" x14ac:dyDescent="0.25">
      <c r="D160" s="488" t="e">
        <f>SUMIFS(GL!#REF!,GL!C:C,Table5[[#This Row],[Харилцагчид]])</f>
        <v>#REF!</v>
      </c>
      <c r="E160" s="488" t="e">
        <f>SUMIFS(GL!#REF!,GL!C:C,Table5[[#This Row],[Харилцагчид]])</f>
        <v>#REF!</v>
      </c>
      <c r="F160" s="488" t="e">
        <f>Table5[[#This Row],[ДТ]]+Table5[[#This Row],[Дебит]]-Table5[[#This Row],[КТ]]-Table5[[#This Row],[Кредит]]</f>
        <v>#REF!</v>
      </c>
      <c r="G160" s="488" t="e">
        <f>IF(Table5[[#This Row],[Зөрүү]]&gt;0,Table5[[#This Row],[Зөрүү]],0)</f>
        <v>#REF!</v>
      </c>
      <c r="H160" s="488" t="e">
        <f>IF(Table5[[#This Row],[Зөрүү]]&lt;0,-Table5[[#This Row],[Зөрүү]],0)</f>
        <v>#REF!</v>
      </c>
      <c r="I160" s="477"/>
    </row>
    <row r="161" spans="4:9" ht="12.75" customHeight="1" x14ac:dyDescent="0.25">
      <c r="D161" s="488" t="e">
        <f>SUMIFS(GL!#REF!,GL!C:C,Table5[[#This Row],[Харилцагчид]])</f>
        <v>#REF!</v>
      </c>
      <c r="E161" s="488" t="e">
        <f>SUMIFS(GL!#REF!,GL!C:C,Table5[[#This Row],[Харилцагчид]])</f>
        <v>#REF!</v>
      </c>
      <c r="F161" s="488" t="e">
        <f>Table5[[#This Row],[ДТ]]+Table5[[#This Row],[Дебит]]-Table5[[#This Row],[КТ]]-Table5[[#This Row],[Кредит]]</f>
        <v>#REF!</v>
      </c>
      <c r="G161" s="488" t="e">
        <f>IF(Table5[[#This Row],[Зөрүү]]&gt;0,Table5[[#This Row],[Зөрүү]],0)</f>
        <v>#REF!</v>
      </c>
      <c r="H161" s="488" t="e">
        <f>IF(Table5[[#This Row],[Зөрүү]]&lt;0,-Table5[[#This Row],[Зөрүү]],0)</f>
        <v>#REF!</v>
      </c>
      <c r="I161" s="477"/>
    </row>
    <row r="162" spans="4:9" ht="12.75" customHeight="1" x14ac:dyDescent="0.25">
      <c r="D162" s="488" t="e">
        <f>SUMIFS(GL!#REF!,GL!C:C,Table5[[#This Row],[Харилцагчид]])</f>
        <v>#REF!</v>
      </c>
      <c r="E162" s="488" t="e">
        <f>SUMIFS(GL!#REF!,GL!C:C,Table5[[#This Row],[Харилцагчид]])</f>
        <v>#REF!</v>
      </c>
      <c r="F162" s="488" t="e">
        <f>Table5[[#This Row],[ДТ]]+Table5[[#This Row],[Дебит]]-Table5[[#This Row],[КТ]]-Table5[[#This Row],[Кредит]]</f>
        <v>#REF!</v>
      </c>
      <c r="G162" s="488" t="e">
        <f>IF(Table5[[#This Row],[Зөрүү]]&gt;0,Table5[[#This Row],[Зөрүү]],0)</f>
        <v>#REF!</v>
      </c>
      <c r="H162" s="488" t="e">
        <f>IF(Table5[[#This Row],[Зөрүү]]&lt;0,-Table5[[#This Row],[Зөрүү]],0)</f>
        <v>#REF!</v>
      </c>
      <c r="I162" s="477"/>
    </row>
    <row r="163" spans="4:9" ht="12.75" customHeight="1" x14ac:dyDescent="0.25">
      <c r="D163" s="488" t="e">
        <f>SUMIFS(GL!#REF!,GL!C:C,Table5[[#This Row],[Харилцагчид]])</f>
        <v>#REF!</v>
      </c>
      <c r="E163" s="488" t="e">
        <f>SUMIFS(GL!#REF!,GL!C:C,Table5[[#This Row],[Харилцагчид]])</f>
        <v>#REF!</v>
      </c>
      <c r="F163" s="488" t="e">
        <f>Table5[[#This Row],[ДТ]]+Table5[[#This Row],[Дебит]]-Table5[[#This Row],[КТ]]-Table5[[#This Row],[Кредит]]</f>
        <v>#REF!</v>
      </c>
      <c r="G163" s="488" t="e">
        <f>IF(Table5[[#This Row],[Зөрүү]]&gt;0,Table5[[#This Row],[Зөрүү]],0)</f>
        <v>#REF!</v>
      </c>
      <c r="H163" s="488" t="e">
        <f>IF(Table5[[#This Row],[Зөрүү]]&lt;0,-Table5[[#This Row],[Зөрүү]],0)</f>
        <v>#REF!</v>
      </c>
      <c r="I163" s="477"/>
    </row>
    <row r="164" spans="4:9" ht="12.75" customHeight="1" x14ac:dyDescent="0.25">
      <c r="D164" s="488" t="e">
        <f>SUMIFS(GL!#REF!,GL!C:C,Table5[[#This Row],[Харилцагчид]])</f>
        <v>#REF!</v>
      </c>
      <c r="E164" s="488" t="e">
        <f>SUMIFS(GL!#REF!,GL!C:C,Table5[[#This Row],[Харилцагчид]])</f>
        <v>#REF!</v>
      </c>
      <c r="F164" s="488" t="e">
        <f>Table5[[#This Row],[ДТ]]+Table5[[#This Row],[Дебит]]-Table5[[#This Row],[КТ]]-Table5[[#This Row],[Кредит]]</f>
        <v>#REF!</v>
      </c>
      <c r="G164" s="488" t="e">
        <f>IF(Table5[[#This Row],[Зөрүү]]&gt;0,Table5[[#This Row],[Зөрүү]],0)</f>
        <v>#REF!</v>
      </c>
      <c r="H164" s="488" t="e">
        <f>IF(Table5[[#This Row],[Зөрүү]]&lt;0,-Table5[[#This Row],[Зөрүү]],0)</f>
        <v>#REF!</v>
      </c>
      <c r="I164" s="477"/>
    </row>
    <row r="165" spans="4:9" ht="12.75" customHeight="1" x14ac:dyDescent="0.25">
      <c r="D165" s="488" t="e">
        <f>SUMIFS(GL!#REF!,GL!C:C,Table5[[#This Row],[Харилцагчид]])</f>
        <v>#REF!</v>
      </c>
      <c r="E165" s="488" t="e">
        <f>SUMIFS(GL!#REF!,GL!C:C,Table5[[#This Row],[Харилцагчид]])</f>
        <v>#REF!</v>
      </c>
      <c r="F165" s="488" t="e">
        <f>Table5[[#This Row],[ДТ]]+Table5[[#This Row],[Дебит]]-Table5[[#This Row],[КТ]]-Table5[[#This Row],[Кредит]]</f>
        <v>#REF!</v>
      </c>
      <c r="G165" s="488" t="e">
        <f>IF(Table5[[#This Row],[Зөрүү]]&gt;0,Table5[[#This Row],[Зөрүү]],0)</f>
        <v>#REF!</v>
      </c>
      <c r="H165" s="488" t="e">
        <f>IF(Table5[[#This Row],[Зөрүү]]&lt;0,-Table5[[#This Row],[Зөрүү]],0)</f>
        <v>#REF!</v>
      </c>
      <c r="I165" s="477"/>
    </row>
    <row r="166" spans="4:9" ht="12.75" customHeight="1" x14ac:dyDescent="0.25">
      <c r="D166" s="488" t="e">
        <f>SUMIFS(GL!#REF!,GL!C:C,Table5[[#This Row],[Харилцагчид]])</f>
        <v>#REF!</v>
      </c>
      <c r="E166" s="488" t="e">
        <f>SUMIFS(GL!#REF!,GL!C:C,Table5[[#This Row],[Харилцагчид]])</f>
        <v>#REF!</v>
      </c>
      <c r="F166" s="488" t="e">
        <f>Table5[[#This Row],[ДТ]]+Table5[[#This Row],[Дебит]]-Table5[[#This Row],[КТ]]-Table5[[#This Row],[Кредит]]</f>
        <v>#REF!</v>
      </c>
      <c r="G166" s="488" t="e">
        <f>IF(Table5[[#This Row],[Зөрүү]]&gt;0,Table5[[#This Row],[Зөрүү]],0)</f>
        <v>#REF!</v>
      </c>
      <c r="H166" s="488" t="e">
        <f>IF(Table5[[#This Row],[Зөрүү]]&lt;0,-Table5[[#This Row],[Зөрүү]],0)</f>
        <v>#REF!</v>
      </c>
      <c r="I166" s="477"/>
    </row>
    <row r="167" spans="4:9" ht="12.75" customHeight="1" x14ac:dyDescent="0.25">
      <c r="D167" s="488" t="e">
        <f>SUMIFS(GL!#REF!,GL!C:C,Table5[[#This Row],[Харилцагчид]])</f>
        <v>#REF!</v>
      </c>
      <c r="E167" s="488" t="e">
        <f>SUMIFS(GL!#REF!,GL!C:C,Table5[[#This Row],[Харилцагчид]])</f>
        <v>#REF!</v>
      </c>
      <c r="F167" s="488" t="e">
        <f>Table5[[#This Row],[ДТ]]+Table5[[#This Row],[Дебит]]-Table5[[#This Row],[КТ]]-Table5[[#This Row],[Кредит]]</f>
        <v>#REF!</v>
      </c>
      <c r="G167" s="488" t="e">
        <f>IF(Table5[[#This Row],[Зөрүү]]&gt;0,Table5[[#This Row],[Зөрүү]],0)</f>
        <v>#REF!</v>
      </c>
      <c r="H167" s="488" t="e">
        <f>IF(Table5[[#This Row],[Зөрүү]]&lt;0,-Table5[[#This Row],[Зөрүү]],0)</f>
        <v>#REF!</v>
      </c>
      <c r="I167" s="477"/>
    </row>
    <row r="168" spans="4:9" ht="12.75" customHeight="1" x14ac:dyDescent="0.25">
      <c r="D168" s="488" t="e">
        <f>SUMIFS(GL!#REF!,GL!C:C,Table5[[#This Row],[Харилцагчид]])</f>
        <v>#REF!</v>
      </c>
      <c r="E168" s="488" t="e">
        <f>SUMIFS(GL!#REF!,GL!C:C,Table5[[#This Row],[Харилцагчид]])</f>
        <v>#REF!</v>
      </c>
      <c r="F168" s="488" t="e">
        <f>Table5[[#This Row],[ДТ]]+Table5[[#This Row],[Дебит]]-Table5[[#This Row],[КТ]]-Table5[[#This Row],[Кредит]]</f>
        <v>#REF!</v>
      </c>
      <c r="G168" s="488" t="e">
        <f>IF(Table5[[#This Row],[Зөрүү]]&gt;0,Table5[[#This Row],[Зөрүү]],0)</f>
        <v>#REF!</v>
      </c>
      <c r="H168" s="488" t="e">
        <f>IF(Table5[[#This Row],[Зөрүү]]&lt;0,-Table5[[#This Row],[Зөрүү]],0)</f>
        <v>#REF!</v>
      </c>
      <c r="I168" s="477"/>
    </row>
    <row r="169" spans="4:9" ht="12.75" customHeight="1" x14ac:dyDescent="0.25">
      <c r="D169" s="488" t="e">
        <f>SUMIFS(GL!#REF!,GL!C:C,Table5[[#This Row],[Харилцагчид]])</f>
        <v>#REF!</v>
      </c>
      <c r="E169" s="488" t="e">
        <f>SUMIFS(GL!#REF!,GL!C:C,Table5[[#This Row],[Харилцагчид]])</f>
        <v>#REF!</v>
      </c>
      <c r="F169" s="488" t="e">
        <f>Table5[[#This Row],[ДТ]]+Table5[[#This Row],[Дебит]]-Table5[[#This Row],[КТ]]-Table5[[#This Row],[Кредит]]</f>
        <v>#REF!</v>
      </c>
      <c r="G169" s="488" t="e">
        <f>IF(Table5[[#This Row],[Зөрүү]]&gt;0,Table5[[#This Row],[Зөрүү]],0)</f>
        <v>#REF!</v>
      </c>
      <c r="H169" s="488" t="e">
        <f>IF(Table5[[#This Row],[Зөрүү]]&lt;0,-Table5[[#This Row],[Зөрүү]],0)</f>
        <v>#REF!</v>
      </c>
      <c r="I169" s="477"/>
    </row>
    <row r="170" spans="4:9" ht="12.75" customHeight="1" x14ac:dyDescent="0.25">
      <c r="D170" s="488" t="e">
        <f>SUMIFS(GL!#REF!,GL!C:C,Table5[[#This Row],[Харилцагчид]])</f>
        <v>#REF!</v>
      </c>
      <c r="E170" s="488" t="e">
        <f>SUMIFS(GL!#REF!,GL!C:C,Table5[[#This Row],[Харилцагчид]])</f>
        <v>#REF!</v>
      </c>
      <c r="F170" s="488" t="e">
        <f>Table5[[#This Row],[ДТ]]+Table5[[#This Row],[Дебит]]-Table5[[#This Row],[КТ]]-Table5[[#This Row],[Кредит]]</f>
        <v>#REF!</v>
      </c>
      <c r="G170" s="488" t="e">
        <f>IF(Table5[[#This Row],[Зөрүү]]&gt;0,Table5[[#This Row],[Зөрүү]],0)</f>
        <v>#REF!</v>
      </c>
      <c r="H170" s="488" t="e">
        <f>IF(Table5[[#This Row],[Зөрүү]]&lt;0,-Table5[[#This Row],[Зөрүү]],0)</f>
        <v>#REF!</v>
      </c>
      <c r="I170" s="477"/>
    </row>
    <row r="171" spans="4:9" ht="12.75" customHeight="1" x14ac:dyDescent="0.25">
      <c r="D171" s="488" t="e">
        <f>SUMIFS(GL!#REF!,GL!C:C,Table5[[#This Row],[Харилцагчид]])</f>
        <v>#REF!</v>
      </c>
      <c r="E171" s="488" t="e">
        <f>SUMIFS(GL!#REF!,GL!C:C,Table5[[#This Row],[Харилцагчид]])</f>
        <v>#REF!</v>
      </c>
      <c r="F171" s="488" t="e">
        <f>Table5[[#This Row],[ДТ]]+Table5[[#This Row],[Дебит]]-Table5[[#This Row],[КТ]]-Table5[[#This Row],[Кредит]]</f>
        <v>#REF!</v>
      </c>
      <c r="G171" s="488" t="e">
        <f>IF(Table5[[#This Row],[Зөрүү]]&gt;0,Table5[[#This Row],[Зөрүү]],0)</f>
        <v>#REF!</v>
      </c>
      <c r="H171" s="488" t="e">
        <f>IF(Table5[[#This Row],[Зөрүү]]&lt;0,-Table5[[#This Row],[Зөрүү]],0)</f>
        <v>#REF!</v>
      </c>
      <c r="I171" s="477"/>
    </row>
    <row r="172" spans="4:9" ht="12.75" customHeight="1" x14ac:dyDescent="0.25">
      <c r="D172" s="488" t="e">
        <f>SUMIFS(GL!#REF!,GL!C:C,Table5[[#This Row],[Харилцагчид]])</f>
        <v>#REF!</v>
      </c>
      <c r="E172" s="488" t="e">
        <f>SUMIFS(GL!#REF!,GL!C:C,Table5[[#This Row],[Харилцагчид]])</f>
        <v>#REF!</v>
      </c>
      <c r="F172" s="488" t="e">
        <f>Table5[[#This Row],[ДТ]]+Table5[[#This Row],[Дебит]]-Table5[[#This Row],[КТ]]-Table5[[#This Row],[Кредит]]</f>
        <v>#REF!</v>
      </c>
      <c r="G172" s="488" t="e">
        <f>IF(Table5[[#This Row],[Зөрүү]]&gt;0,Table5[[#This Row],[Зөрүү]],0)</f>
        <v>#REF!</v>
      </c>
      <c r="H172" s="488" t="e">
        <f>IF(Table5[[#This Row],[Зөрүү]]&lt;0,-Table5[[#This Row],[Зөрүү]],0)</f>
        <v>#REF!</v>
      </c>
      <c r="I172" s="477"/>
    </row>
    <row r="173" spans="4:9" ht="12.75" customHeight="1" x14ac:dyDescent="0.25">
      <c r="D173" s="488" t="e">
        <f>SUMIFS(GL!#REF!,GL!C:C,Table5[[#This Row],[Харилцагчид]])</f>
        <v>#REF!</v>
      </c>
      <c r="E173" s="488" t="e">
        <f>SUMIFS(GL!#REF!,GL!C:C,Table5[[#This Row],[Харилцагчид]])</f>
        <v>#REF!</v>
      </c>
      <c r="F173" s="488" t="e">
        <f>Table5[[#This Row],[ДТ]]+Table5[[#This Row],[Дебит]]-Table5[[#This Row],[КТ]]-Table5[[#This Row],[Кредит]]</f>
        <v>#REF!</v>
      </c>
      <c r="G173" s="488" t="e">
        <f>IF(Table5[[#This Row],[Зөрүү]]&gt;0,Table5[[#This Row],[Зөрүү]],0)</f>
        <v>#REF!</v>
      </c>
      <c r="H173" s="488" t="e">
        <f>IF(Table5[[#This Row],[Зөрүү]]&lt;0,-Table5[[#This Row],[Зөрүү]],0)</f>
        <v>#REF!</v>
      </c>
      <c r="I173" s="477"/>
    </row>
    <row r="174" spans="4:9" ht="12.75" customHeight="1" x14ac:dyDescent="0.25">
      <c r="D174" s="488" t="e">
        <f>SUMIFS(GL!#REF!,GL!C:C,Table5[[#This Row],[Харилцагчид]])</f>
        <v>#REF!</v>
      </c>
      <c r="E174" s="488" t="e">
        <f>SUMIFS(GL!#REF!,GL!C:C,Table5[[#This Row],[Харилцагчид]])</f>
        <v>#REF!</v>
      </c>
      <c r="F174" s="488" t="e">
        <f>Table5[[#This Row],[ДТ]]+Table5[[#This Row],[Дебит]]-Table5[[#This Row],[КТ]]-Table5[[#This Row],[Кредит]]</f>
        <v>#REF!</v>
      </c>
      <c r="G174" s="488" t="e">
        <f>IF(Table5[[#This Row],[Зөрүү]]&gt;0,Table5[[#This Row],[Зөрүү]],0)</f>
        <v>#REF!</v>
      </c>
      <c r="H174" s="488" t="e">
        <f>IF(Table5[[#This Row],[Зөрүү]]&lt;0,-Table5[[#This Row],[Зөрүү]],0)</f>
        <v>#REF!</v>
      </c>
      <c r="I174" s="477"/>
    </row>
    <row r="175" spans="4:9" ht="12.75" customHeight="1" x14ac:dyDescent="0.25">
      <c r="D175" s="488" t="e">
        <f>SUMIFS(GL!#REF!,GL!C:C,Table5[[#This Row],[Харилцагчид]])</f>
        <v>#REF!</v>
      </c>
      <c r="E175" s="488" t="e">
        <f>SUMIFS(GL!#REF!,GL!C:C,Table5[[#This Row],[Харилцагчид]])</f>
        <v>#REF!</v>
      </c>
      <c r="F175" s="488" t="e">
        <f>Table5[[#This Row],[ДТ]]+Table5[[#This Row],[Дебит]]-Table5[[#This Row],[КТ]]-Table5[[#This Row],[Кредит]]</f>
        <v>#REF!</v>
      </c>
      <c r="G175" s="488" t="e">
        <f>IF(Table5[[#This Row],[Зөрүү]]&gt;0,Table5[[#This Row],[Зөрүү]],0)</f>
        <v>#REF!</v>
      </c>
      <c r="H175" s="488" t="e">
        <f>IF(Table5[[#This Row],[Зөрүү]]&lt;0,-Table5[[#This Row],[Зөрүү]],0)</f>
        <v>#REF!</v>
      </c>
      <c r="I175" s="477"/>
    </row>
    <row r="176" spans="4:9" ht="12.75" customHeight="1" x14ac:dyDescent="0.25">
      <c r="D176" s="488" t="e">
        <f>SUMIFS(GL!#REF!,GL!C:C,Table5[[#This Row],[Харилцагчид]])</f>
        <v>#REF!</v>
      </c>
      <c r="E176" s="488" t="e">
        <f>SUMIFS(GL!#REF!,GL!C:C,Table5[[#This Row],[Харилцагчид]])</f>
        <v>#REF!</v>
      </c>
      <c r="F176" s="488" t="e">
        <f>Table5[[#This Row],[ДТ]]+Table5[[#This Row],[Дебит]]-Table5[[#This Row],[КТ]]-Table5[[#This Row],[Кредит]]</f>
        <v>#REF!</v>
      </c>
      <c r="G176" s="488" t="e">
        <f>IF(Table5[[#This Row],[Зөрүү]]&gt;0,Table5[[#This Row],[Зөрүү]],0)</f>
        <v>#REF!</v>
      </c>
      <c r="H176" s="488" t="e">
        <f>IF(Table5[[#This Row],[Зөрүү]]&lt;0,-Table5[[#This Row],[Зөрүү]],0)</f>
        <v>#REF!</v>
      </c>
      <c r="I176" s="477"/>
    </row>
    <row r="177" spans="4:9" ht="12.75" customHeight="1" x14ac:dyDescent="0.25">
      <c r="D177" s="488" t="e">
        <f>SUMIFS(GL!#REF!,GL!C:C,Table5[[#This Row],[Харилцагчид]])</f>
        <v>#REF!</v>
      </c>
      <c r="E177" s="488" t="e">
        <f>SUMIFS(GL!#REF!,GL!C:C,Table5[[#This Row],[Харилцагчид]])</f>
        <v>#REF!</v>
      </c>
      <c r="F177" s="488" t="e">
        <f>Table5[[#This Row],[ДТ]]+Table5[[#This Row],[Дебит]]-Table5[[#This Row],[КТ]]-Table5[[#This Row],[Кредит]]</f>
        <v>#REF!</v>
      </c>
      <c r="G177" s="488" t="e">
        <f>IF(Table5[[#This Row],[Зөрүү]]&gt;0,Table5[[#This Row],[Зөрүү]],0)</f>
        <v>#REF!</v>
      </c>
      <c r="H177" s="488" t="e">
        <f>IF(Table5[[#This Row],[Зөрүү]]&lt;0,-Table5[[#This Row],[Зөрүү]],0)</f>
        <v>#REF!</v>
      </c>
      <c r="I177" s="477"/>
    </row>
    <row r="178" spans="4:9" ht="12.75" customHeight="1" x14ac:dyDescent="0.25">
      <c r="D178" s="488" t="e">
        <f>SUMIFS(GL!#REF!,GL!C:C,Table5[[#This Row],[Харилцагчид]])</f>
        <v>#REF!</v>
      </c>
      <c r="E178" s="488" t="e">
        <f>SUMIFS(GL!#REF!,GL!C:C,Table5[[#This Row],[Харилцагчид]])</f>
        <v>#REF!</v>
      </c>
      <c r="F178" s="488" t="e">
        <f>Table5[[#This Row],[ДТ]]+Table5[[#This Row],[Дебит]]-Table5[[#This Row],[КТ]]-Table5[[#This Row],[Кредит]]</f>
        <v>#REF!</v>
      </c>
      <c r="G178" s="488" t="e">
        <f>IF(Table5[[#This Row],[Зөрүү]]&gt;0,Table5[[#This Row],[Зөрүү]],0)</f>
        <v>#REF!</v>
      </c>
      <c r="H178" s="488" t="e">
        <f>IF(Table5[[#This Row],[Зөрүү]]&lt;0,-Table5[[#This Row],[Зөрүү]],0)</f>
        <v>#REF!</v>
      </c>
      <c r="I178" s="477"/>
    </row>
    <row r="179" spans="4:9" ht="12.75" customHeight="1" x14ac:dyDescent="0.25">
      <c r="D179" s="488" t="e">
        <f>SUMIFS(GL!#REF!,GL!C:C,Table5[[#This Row],[Харилцагчид]])</f>
        <v>#REF!</v>
      </c>
      <c r="E179" s="488" t="e">
        <f>SUMIFS(GL!#REF!,GL!C:C,Table5[[#This Row],[Харилцагчид]])</f>
        <v>#REF!</v>
      </c>
      <c r="F179" s="488" t="e">
        <f>Table5[[#This Row],[ДТ]]+Table5[[#This Row],[Дебит]]-Table5[[#This Row],[КТ]]-Table5[[#This Row],[Кредит]]</f>
        <v>#REF!</v>
      </c>
      <c r="G179" s="488" t="e">
        <f>IF(Table5[[#This Row],[Зөрүү]]&gt;0,Table5[[#This Row],[Зөрүү]],0)</f>
        <v>#REF!</v>
      </c>
      <c r="H179" s="488" t="e">
        <f>IF(Table5[[#This Row],[Зөрүү]]&lt;0,-Table5[[#This Row],[Зөрүү]],0)</f>
        <v>#REF!</v>
      </c>
      <c r="I179" s="477"/>
    </row>
    <row r="180" spans="4:9" ht="12.75" customHeight="1" x14ac:dyDescent="0.25">
      <c r="D180" s="488" t="e">
        <f>SUMIFS(GL!#REF!,GL!C:C,Table5[[#This Row],[Харилцагчид]])</f>
        <v>#REF!</v>
      </c>
      <c r="E180" s="488" t="e">
        <f>SUMIFS(GL!#REF!,GL!C:C,Table5[[#This Row],[Харилцагчид]])</f>
        <v>#REF!</v>
      </c>
      <c r="F180" s="488" t="e">
        <f>Table5[[#This Row],[ДТ]]+Table5[[#This Row],[Дебит]]-Table5[[#This Row],[КТ]]-Table5[[#This Row],[Кредит]]</f>
        <v>#REF!</v>
      </c>
      <c r="G180" s="488" t="e">
        <f>IF(Table5[[#This Row],[Зөрүү]]&gt;0,Table5[[#This Row],[Зөрүү]],0)</f>
        <v>#REF!</v>
      </c>
      <c r="H180" s="488" t="e">
        <f>IF(Table5[[#This Row],[Зөрүү]]&lt;0,-Table5[[#This Row],[Зөрүү]],0)</f>
        <v>#REF!</v>
      </c>
      <c r="I180" s="477"/>
    </row>
    <row r="181" spans="4:9" ht="12.75" customHeight="1" x14ac:dyDescent="0.25">
      <c r="D181" s="488" t="e">
        <f>SUMIFS(GL!#REF!,GL!C:C,Table5[[#This Row],[Харилцагчид]])</f>
        <v>#REF!</v>
      </c>
      <c r="E181" s="488" t="e">
        <f>SUMIFS(GL!#REF!,GL!C:C,Table5[[#This Row],[Харилцагчид]])</f>
        <v>#REF!</v>
      </c>
      <c r="F181" s="488" t="e">
        <f>Table5[[#This Row],[ДТ]]+Table5[[#This Row],[Дебит]]-Table5[[#This Row],[КТ]]-Table5[[#This Row],[Кредит]]</f>
        <v>#REF!</v>
      </c>
      <c r="G181" s="488" t="e">
        <f>IF(Table5[[#This Row],[Зөрүү]]&gt;0,Table5[[#This Row],[Зөрүү]],0)</f>
        <v>#REF!</v>
      </c>
      <c r="H181" s="488" t="e">
        <f>IF(Table5[[#This Row],[Зөрүү]]&lt;0,-Table5[[#This Row],[Зөрүү]],0)</f>
        <v>#REF!</v>
      </c>
      <c r="I181" s="477"/>
    </row>
    <row r="182" spans="4:9" ht="12.75" customHeight="1" x14ac:dyDescent="0.25">
      <c r="D182" s="488" t="e">
        <f>SUMIFS(GL!#REF!,GL!C:C,Table5[[#This Row],[Харилцагчид]])</f>
        <v>#REF!</v>
      </c>
      <c r="E182" s="488" t="e">
        <f>SUMIFS(GL!#REF!,GL!C:C,Table5[[#This Row],[Харилцагчид]])</f>
        <v>#REF!</v>
      </c>
      <c r="F182" s="488" t="e">
        <f>Table5[[#This Row],[ДТ]]+Table5[[#This Row],[Дебит]]-Table5[[#This Row],[КТ]]-Table5[[#This Row],[Кредит]]</f>
        <v>#REF!</v>
      </c>
      <c r="G182" s="488" t="e">
        <f>IF(Table5[[#This Row],[Зөрүү]]&gt;0,Table5[[#This Row],[Зөрүү]],0)</f>
        <v>#REF!</v>
      </c>
      <c r="H182" s="488" t="e">
        <f>IF(Table5[[#This Row],[Зөрүү]]&lt;0,-Table5[[#This Row],[Зөрүү]],0)</f>
        <v>#REF!</v>
      </c>
      <c r="I182" s="477"/>
    </row>
    <row r="183" spans="4:9" ht="12.75" customHeight="1" x14ac:dyDescent="0.25">
      <c r="D183" s="488" t="e">
        <f>SUMIFS(GL!#REF!,GL!C:C,Table5[[#This Row],[Харилцагчид]])</f>
        <v>#REF!</v>
      </c>
      <c r="E183" s="488" t="e">
        <f>SUMIFS(GL!#REF!,GL!C:C,Table5[[#This Row],[Харилцагчид]])</f>
        <v>#REF!</v>
      </c>
      <c r="F183" s="488" t="e">
        <f>Table5[[#This Row],[ДТ]]+Table5[[#This Row],[Дебит]]-Table5[[#This Row],[КТ]]-Table5[[#This Row],[Кредит]]</f>
        <v>#REF!</v>
      </c>
      <c r="G183" s="488" t="e">
        <f>IF(Table5[[#This Row],[Зөрүү]]&gt;0,Table5[[#This Row],[Зөрүү]],0)</f>
        <v>#REF!</v>
      </c>
      <c r="H183" s="488" t="e">
        <f>IF(Table5[[#This Row],[Зөрүү]]&lt;0,-Table5[[#This Row],[Зөрүү]],0)</f>
        <v>#REF!</v>
      </c>
      <c r="I183" s="477"/>
    </row>
    <row r="184" spans="4:9" ht="12.75" customHeight="1" x14ac:dyDescent="0.25">
      <c r="D184" s="488" t="e">
        <f>SUMIFS(GL!#REF!,GL!C:C,Table5[[#This Row],[Харилцагчид]])</f>
        <v>#REF!</v>
      </c>
      <c r="E184" s="488" t="e">
        <f>SUMIFS(GL!#REF!,GL!C:C,Table5[[#This Row],[Харилцагчид]])</f>
        <v>#REF!</v>
      </c>
      <c r="F184" s="488" t="e">
        <f>Table5[[#This Row],[ДТ]]+Table5[[#This Row],[Дебит]]-Table5[[#This Row],[КТ]]-Table5[[#This Row],[Кредит]]</f>
        <v>#REF!</v>
      </c>
      <c r="G184" s="488" t="e">
        <f>IF(Table5[[#This Row],[Зөрүү]]&gt;0,Table5[[#This Row],[Зөрүү]],0)</f>
        <v>#REF!</v>
      </c>
      <c r="H184" s="488" t="e">
        <f>IF(Table5[[#This Row],[Зөрүү]]&lt;0,-Table5[[#This Row],[Зөрүү]],0)</f>
        <v>#REF!</v>
      </c>
      <c r="I184" s="477"/>
    </row>
    <row r="185" spans="4:9" ht="12.75" customHeight="1" x14ac:dyDescent="0.25">
      <c r="D185" s="488" t="e">
        <f>SUMIFS(GL!#REF!,GL!C:C,Table5[[#This Row],[Харилцагчид]])</f>
        <v>#REF!</v>
      </c>
      <c r="E185" s="488" t="e">
        <f>SUMIFS(GL!#REF!,GL!C:C,Table5[[#This Row],[Харилцагчид]])</f>
        <v>#REF!</v>
      </c>
      <c r="F185" s="488" t="e">
        <f>Table5[[#This Row],[ДТ]]+Table5[[#This Row],[Дебит]]-Table5[[#This Row],[КТ]]-Table5[[#This Row],[Кредит]]</f>
        <v>#REF!</v>
      </c>
      <c r="G185" s="488" t="e">
        <f>IF(Table5[[#This Row],[Зөрүү]]&gt;0,Table5[[#This Row],[Зөрүү]],0)</f>
        <v>#REF!</v>
      </c>
      <c r="H185" s="488" t="e">
        <f>IF(Table5[[#This Row],[Зөрүү]]&lt;0,-Table5[[#This Row],[Зөрүү]],0)</f>
        <v>#REF!</v>
      </c>
      <c r="I185" s="477"/>
    </row>
    <row r="186" spans="4:9" ht="12.75" customHeight="1" x14ac:dyDescent="0.25">
      <c r="D186" s="488" t="e">
        <f>SUMIFS(GL!#REF!,GL!C:C,Table5[[#This Row],[Харилцагчид]])</f>
        <v>#REF!</v>
      </c>
      <c r="E186" s="488" t="e">
        <f>SUMIFS(GL!#REF!,GL!C:C,Table5[[#This Row],[Харилцагчид]])</f>
        <v>#REF!</v>
      </c>
      <c r="F186" s="488" t="e">
        <f>Table5[[#This Row],[ДТ]]+Table5[[#This Row],[Дебит]]-Table5[[#This Row],[КТ]]-Table5[[#This Row],[Кредит]]</f>
        <v>#REF!</v>
      </c>
      <c r="G186" s="488" t="e">
        <f>IF(Table5[[#This Row],[Зөрүү]]&gt;0,Table5[[#This Row],[Зөрүү]],0)</f>
        <v>#REF!</v>
      </c>
      <c r="H186" s="488" t="e">
        <f>IF(Table5[[#This Row],[Зөрүү]]&lt;0,-Table5[[#This Row],[Зөрүү]],0)</f>
        <v>#REF!</v>
      </c>
      <c r="I186" s="477"/>
    </row>
    <row r="187" spans="4:9" ht="12.75" customHeight="1" x14ac:dyDescent="0.25">
      <c r="D187" s="488" t="e">
        <f>SUMIFS(GL!#REF!,GL!C:C,Table5[[#This Row],[Харилцагчид]])</f>
        <v>#REF!</v>
      </c>
      <c r="E187" s="488" t="e">
        <f>SUMIFS(GL!#REF!,GL!C:C,Table5[[#This Row],[Харилцагчид]])</f>
        <v>#REF!</v>
      </c>
      <c r="F187" s="488" t="e">
        <f>Table5[[#This Row],[ДТ]]+Table5[[#This Row],[Дебит]]-Table5[[#This Row],[КТ]]-Table5[[#This Row],[Кредит]]</f>
        <v>#REF!</v>
      </c>
      <c r="G187" s="488" t="e">
        <f>IF(Table5[[#This Row],[Зөрүү]]&gt;0,Table5[[#This Row],[Зөрүү]],0)</f>
        <v>#REF!</v>
      </c>
      <c r="H187" s="488" t="e">
        <f>IF(Table5[[#This Row],[Зөрүү]]&lt;0,-Table5[[#This Row],[Зөрүү]],0)</f>
        <v>#REF!</v>
      </c>
      <c r="I187" s="477"/>
    </row>
    <row r="188" spans="4:9" ht="12.75" customHeight="1" x14ac:dyDescent="0.25">
      <c r="D188" s="488" t="e">
        <f>SUMIFS(GL!#REF!,GL!C:C,Table5[[#This Row],[Харилцагчид]])</f>
        <v>#REF!</v>
      </c>
      <c r="E188" s="488" t="e">
        <f>SUMIFS(GL!#REF!,GL!C:C,Table5[[#This Row],[Харилцагчид]])</f>
        <v>#REF!</v>
      </c>
      <c r="F188" s="488" t="e">
        <f>Table5[[#This Row],[ДТ]]+Table5[[#This Row],[Дебит]]-Table5[[#This Row],[КТ]]-Table5[[#This Row],[Кредит]]</f>
        <v>#REF!</v>
      </c>
      <c r="G188" s="488" t="e">
        <f>IF(Table5[[#This Row],[Зөрүү]]&gt;0,Table5[[#This Row],[Зөрүү]],0)</f>
        <v>#REF!</v>
      </c>
      <c r="H188" s="488" t="e">
        <f>IF(Table5[[#This Row],[Зөрүү]]&lt;0,-Table5[[#This Row],[Зөрүү]],0)</f>
        <v>#REF!</v>
      </c>
      <c r="I188" s="477"/>
    </row>
    <row r="189" spans="4:9" ht="12.75" customHeight="1" x14ac:dyDescent="0.25">
      <c r="D189" s="488" t="e">
        <f>SUMIFS(GL!#REF!,GL!C:C,Table5[[#This Row],[Харилцагчид]])</f>
        <v>#REF!</v>
      </c>
      <c r="E189" s="488" t="e">
        <f>SUMIFS(GL!#REF!,GL!C:C,Table5[[#This Row],[Харилцагчид]])</f>
        <v>#REF!</v>
      </c>
      <c r="F189" s="488" t="e">
        <f>Table5[[#This Row],[ДТ]]+Table5[[#This Row],[Дебит]]-Table5[[#This Row],[КТ]]-Table5[[#This Row],[Кредит]]</f>
        <v>#REF!</v>
      </c>
      <c r="G189" s="488" t="e">
        <f>IF(Table5[[#This Row],[Зөрүү]]&gt;0,Table5[[#This Row],[Зөрүү]],0)</f>
        <v>#REF!</v>
      </c>
      <c r="H189" s="488" t="e">
        <f>IF(Table5[[#This Row],[Зөрүү]]&lt;0,-Table5[[#This Row],[Зөрүү]],0)</f>
        <v>#REF!</v>
      </c>
      <c r="I189" s="477"/>
    </row>
    <row r="190" spans="4:9" ht="12.75" customHeight="1" x14ac:dyDescent="0.25">
      <c r="D190" s="488" t="e">
        <f>SUMIFS(GL!#REF!,GL!C:C,Table5[[#This Row],[Харилцагчид]])</f>
        <v>#REF!</v>
      </c>
      <c r="E190" s="488" t="e">
        <f>SUMIFS(GL!#REF!,GL!C:C,Table5[[#This Row],[Харилцагчид]])</f>
        <v>#REF!</v>
      </c>
      <c r="F190" s="488" t="e">
        <f>Table5[[#This Row],[ДТ]]+Table5[[#This Row],[Дебит]]-Table5[[#This Row],[КТ]]-Table5[[#This Row],[Кредит]]</f>
        <v>#REF!</v>
      </c>
      <c r="G190" s="488" t="e">
        <f>IF(Table5[[#This Row],[Зөрүү]]&gt;0,Table5[[#This Row],[Зөрүү]],0)</f>
        <v>#REF!</v>
      </c>
      <c r="H190" s="488" t="e">
        <f>IF(Table5[[#This Row],[Зөрүү]]&lt;0,-Table5[[#This Row],[Зөрүү]],0)</f>
        <v>#REF!</v>
      </c>
      <c r="I190" s="477"/>
    </row>
    <row r="191" spans="4:9" ht="12.75" customHeight="1" x14ac:dyDescent="0.25">
      <c r="D191" s="488" t="e">
        <f>SUMIFS(GL!#REF!,GL!C:C,Table5[[#This Row],[Харилцагчид]])</f>
        <v>#REF!</v>
      </c>
      <c r="E191" s="488" t="e">
        <f>SUMIFS(GL!#REF!,GL!C:C,Table5[[#This Row],[Харилцагчид]])</f>
        <v>#REF!</v>
      </c>
      <c r="F191" s="488" t="e">
        <f>Table5[[#This Row],[ДТ]]+Table5[[#This Row],[Дебит]]-Table5[[#This Row],[КТ]]-Table5[[#This Row],[Кредит]]</f>
        <v>#REF!</v>
      </c>
      <c r="G191" s="488" t="e">
        <f>IF(Table5[[#This Row],[Зөрүү]]&gt;0,Table5[[#This Row],[Зөрүү]],0)</f>
        <v>#REF!</v>
      </c>
      <c r="H191" s="488" t="e">
        <f>IF(Table5[[#This Row],[Зөрүү]]&lt;0,-Table5[[#This Row],[Зөрүү]],0)</f>
        <v>#REF!</v>
      </c>
      <c r="I191" s="477"/>
    </row>
    <row r="192" spans="4:9" ht="12.75" customHeight="1" x14ac:dyDescent="0.25">
      <c r="D192" s="488" t="e">
        <f>SUMIFS(GL!#REF!,GL!C:C,Table5[[#This Row],[Харилцагчид]])</f>
        <v>#REF!</v>
      </c>
      <c r="E192" s="488" t="e">
        <f>SUMIFS(GL!#REF!,GL!C:C,Table5[[#This Row],[Харилцагчид]])</f>
        <v>#REF!</v>
      </c>
      <c r="F192" s="488" t="e">
        <f>Table5[[#This Row],[ДТ]]+Table5[[#This Row],[Дебит]]-Table5[[#This Row],[КТ]]-Table5[[#This Row],[Кредит]]</f>
        <v>#REF!</v>
      </c>
      <c r="G192" s="488" t="e">
        <f>IF(Table5[[#This Row],[Зөрүү]]&gt;0,Table5[[#This Row],[Зөрүү]],0)</f>
        <v>#REF!</v>
      </c>
      <c r="H192" s="488" t="e">
        <f>IF(Table5[[#This Row],[Зөрүү]]&lt;0,-Table5[[#This Row],[Зөрүү]],0)</f>
        <v>#REF!</v>
      </c>
      <c r="I192" s="477"/>
    </row>
    <row r="193" spans="1:9" ht="12.75" customHeight="1" x14ac:dyDescent="0.25">
      <c r="D193" s="488" t="e">
        <f>SUMIFS(GL!#REF!,GL!C:C,Table5[[#This Row],[Харилцагчид]])</f>
        <v>#REF!</v>
      </c>
      <c r="E193" s="488" t="e">
        <f>SUMIFS(GL!#REF!,GL!C:C,Table5[[#This Row],[Харилцагчид]])</f>
        <v>#REF!</v>
      </c>
      <c r="F193" s="488" t="e">
        <f>Table5[[#This Row],[ДТ]]+Table5[[#This Row],[Дебит]]-Table5[[#This Row],[КТ]]-Table5[[#This Row],[Кредит]]</f>
        <v>#REF!</v>
      </c>
      <c r="G193" s="488" t="e">
        <f>IF(Table5[[#This Row],[Зөрүү]]&gt;0,Table5[[#This Row],[Зөрүү]],0)</f>
        <v>#REF!</v>
      </c>
      <c r="H193" s="488" t="e">
        <f>IF(Table5[[#This Row],[Зөрүү]]&lt;0,-Table5[[#This Row],[Зөрүү]],0)</f>
        <v>#REF!</v>
      </c>
      <c r="I193" s="477"/>
    </row>
    <row r="194" spans="1:9" ht="12.75" customHeight="1" x14ac:dyDescent="0.25">
      <c r="D194" s="488" t="e">
        <f>SUMIFS(GL!#REF!,GL!C:C,Table5[[#This Row],[Харилцагчид]])</f>
        <v>#REF!</v>
      </c>
      <c r="E194" s="488" t="e">
        <f>SUMIFS(GL!#REF!,GL!C:C,Table5[[#This Row],[Харилцагчид]])</f>
        <v>#REF!</v>
      </c>
      <c r="F194" s="488" t="e">
        <f>Table5[[#This Row],[ДТ]]+Table5[[#This Row],[Дебит]]-Table5[[#This Row],[КТ]]-Table5[[#This Row],[Кредит]]</f>
        <v>#REF!</v>
      </c>
      <c r="G194" s="488" t="e">
        <f>IF(Table5[[#This Row],[Зөрүү]]&gt;0,Table5[[#This Row],[Зөрүү]],0)</f>
        <v>#REF!</v>
      </c>
      <c r="H194" s="488" t="e">
        <f>IF(Table5[[#This Row],[Зөрүү]]&lt;0,-Table5[[#This Row],[Зөрүү]],0)</f>
        <v>#REF!</v>
      </c>
      <c r="I194" s="477"/>
    </row>
    <row r="195" spans="1:9" ht="12.75" customHeight="1" x14ac:dyDescent="0.25">
      <c r="D195" s="488" t="e">
        <f>SUMIFS(GL!#REF!,GL!C:C,Table5[[#This Row],[Харилцагчид]])</f>
        <v>#REF!</v>
      </c>
      <c r="E195" s="488" t="e">
        <f>SUMIFS(GL!#REF!,GL!C:C,Table5[[#This Row],[Харилцагчид]])</f>
        <v>#REF!</v>
      </c>
      <c r="F195" s="488" t="e">
        <f>Table5[[#This Row],[ДТ]]+Table5[[#This Row],[Дебит]]-Table5[[#This Row],[КТ]]-Table5[[#This Row],[Кредит]]</f>
        <v>#REF!</v>
      </c>
      <c r="G195" s="488" t="e">
        <f>IF(Table5[[#This Row],[Зөрүү]]&gt;0,Table5[[#This Row],[Зөрүү]],0)</f>
        <v>#REF!</v>
      </c>
      <c r="H195" s="488" t="e">
        <f>IF(Table5[[#This Row],[Зөрүү]]&lt;0,-Table5[[#This Row],[Зөрүү]],0)</f>
        <v>#REF!</v>
      </c>
      <c r="I195" s="477"/>
    </row>
    <row r="196" spans="1:9" ht="12.75" customHeight="1" x14ac:dyDescent="0.25">
      <c r="D196" s="488" t="e">
        <f>SUMIFS(GL!#REF!,GL!C:C,Table5[[#This Row],[Харилцагчид]])</f>
        <v>#REF!</v>
      </c>
      <c r="E196" s="488" t="e">
        <f>SUMIFS(GL!#REF!,GL!C:C,Table5[[#This Row],[Харилцагчид]])</f>
        <v>#REF!</v>
      </c>
      <c r="F196" s="488" t="e">
        <f>Table5[[#This Row],[ДТ]]+Table5[[#This Row],[Дебит]]-Table5[[#This Row],[КТ]]-Table5[[#This Row],[Кредит]]</f>
        <v>#REF!</v>
      </c>
      <c r="G196" s="488" t="e">
        <f>IF(Table5[[#This Row],[Зөрүү]]&gt;0,Table5[[#This Row],[Зөрүү]],0)</f>
        <v>#REF!</v>
      </c>
      <c r="H196" s="488" t="e">
        <f>IF(Table5[[#This Row],[Зөрүү]]&lt;0,-Table5[[#This Row],[Зөрүү]],0)</f>
        <v>#REF!</v>
      </c>
      <c r="I196" s="477"/>
    </row>
    <row r="197" spans="1:9" ht="12.75" customHeight="1" x14ac:dyDescent="0.25">
      <c r="D197" s="488" t="e">
        <f>SUMIFS(GL!#REF!,GL!C:C,Table5[[#This Row],[Харилцагчид]])</f>
        <v>#REF!</v>
      </c>
      <c r="E197" s="488" t="e">
        <f>SUMIFS(GL!#REF!,GL!C:C,Table5[[#This Row],[Харилцагчид]])</f>
        <v>#REF!</v>
      </c>
      <c r="F197" s="488" t="e">
        <f>Table5[[#This Row],[ДТ]]+Table5[[#This Row],[Дебит]]-Table5[[#This Row],[КТ]]-Table5[[#This Row],[Кредит]]</f>
        <v>#REF!</v>
      </c>
      <c r="G197" s="488" t="e">
        <f>IF(Table5[[#This Row],[Зөрүү]]&gt;0,Table5[[#This Row],[Зөрүү]],0)</f>
        <v>#REF!</v>
      </c>
      <c r="H197" s="488" t="e">
        <f>IF(Table5[[#This Row],[Зөрүү]]&lt;0,-Table5[[#This Row],[Зөрүү]],0)</f>
        <v>#REF!</v>
      </c>
      <c r="I197" s="477"/>
    </row>
    <row r="198" spans="1:9" ht="12.75" customHeight="1" x14ac:dyDescent="0.25">
      <c r="D198" s="488" t="e">
        <f>SUMIFS(GL!#REF!,GL!C:C,Table5[[#This Row],[Харилцагчид]])</f>
        <v>#REF!</v>
      </c>
      <c r="E198" s="488" t="e">
        <f>SUMIFS(GL!#REF!,GL!C:C,Table5[[#This Row],[Харилцагчид]])</f>
        <v>#REF!</v>
      </c>
      <c r="F198" s="488" t="e">
        <f>Table5[[#This Row],[ДТ]]+Table5[[#This Row],[Дебит]]-Table5[[#This Row],[КТ]]-Table5[[#This Row],[Кредит]]</f>
        <v>#REF!</v>
      </c>
      <c r="G198" s="488" t="e">
        <f>IF(Table5[[#This Row],[Зөрүү]]&gt;0,Table5[[#This Row],[Зөрүү]],0)</f>
        <v>#REF!</v>
      </c>
      <c r="H198" s="488" t="e">
        <f>IF(Table5[[#This Row],[Зөрүү]]&lt;0,-Table5[[#This Row],[Зөрүү]],0)</f>
        <v>#REF!</v>
      </c>
      <c r="I198" s="477"/>
    </row>
    <row r="199" spans="1:9" ht="12.75" customHeight="1" x14ac:dyDescent="0.25">
      <c r="D199" s="488" t="e">
        <f>SUMIFS(GL!#REF!,GL!C:C,Table5[[#This Row],[Харилцагчид]])</f>
        <v>#REF!</v>
      </c>
      <c r="E199" s="488" t="e">
        <f>SUMIFS(GL!#REF!,GL!C:C,Table5[[#This Row],[Харилцагчид]])</f>
        <v>#REF!</v>
      </c>
      <c r="F199" s="488" t="e">
        <f>Table5[[#This Row],[ДТ]]+Table5[[#This Row],[Дебит]]-Table5[[#This Row],[КТ]]-Table5[[#This Row],[Кредит]]</f>
        <v>#REF!</v>
      </c>
      <c r="G199" s="488" t="e">
        <f>IF(Table5[[#This Row],[Зөрүү]]&gt;0,Table5[[#This Row],[Зөрүү]],0)</f>
        <v>#REF!</v>
      </c>
      <c r="H199" s="488" t="e">
        <f>IF(Table5[[#This Row],[Зөрүү]]&lt;0,-Table5[[#This Row],[Зөрүү]],0)</f>
        <v>#REF!</v>
      </c>
      <c r="I199" s="477"/>
    </row>
    <row r="200" spans="1:9" ht="12.75" customHeight="1" x14ac:dyDescent="0.25">
      <c r="A200" s="489"/>
      <c r="B200" s="664">
        <f>SUBTOTAL(9,B7:B199)</f>
        <v>4500000</v>
      </c>
      <c r="C200" s="664">
        <f>SUBTOTAL(9,C7:C199)</f>
        <v>0</v>
      </c>
      <c r="D200" s="490" t="e">
        <f>SUBTOTAL(9,D7:D199)</f>
        <v>#REF!</v>
      </c>
      <c r="E200" s="490" t="e">
        <f t="shared" ref="E200:H200" si="0">SUBTOTAL(9,E7:E199)</f>
        <v>#REF!</v>
      </c>
      <c r="F200" s="490" t="e">
        <f t="shared" si="0"/>
        <v>#REF!</v>
      </c>
      <c r="G200" s="490" t="e">
        <f t="shared" si="0"/>
        <v>#REF!</v>
      </c>
      <c r="H200" s="490" t="e">
        <f t="shared" si="0"/>
        <v>#REF!</v>
      </c>
      <c r="I200" s="477"/>
    </row>
  </sheetData>
  <sheetProtection algorithmName="SHA-512" hashValue="Pvb0v0KvQvD5D+gYFeW9B4RHcuXziQJxN2Nm4ZlQOHSFJ1EIB22EEUnHe/4b6N1kyFATJ0Hwk224BWc7gH54Dg==" saltValue="CVaT1sbDKMoE5dgMIJvlNg==" spinCount="100000" sheet="1" objects="1" scenarios="1"/>
  <mergeCells count="3">
    <mergeCell ref="D5:E5"/>
    <mergeCell ref="B5:C5"/>
    <mergeCell ref="G5:H5"/>
  </mergeCells>
  <phoneticPr fontId="51" type="noConversion"/>
  <conditionalFormatting sqref="A1:A1048576">
    <cfRule type="duplicateValues" dxfId="0" priority="1"/>
  </conditionalFormatting>
  <dataValidations count="1">
    <dataValidation allowBlank="1" showInputMessage="1" showErrorMessage="1" promptTitle="Балансын авлага өглөг" prompt="Балансын авлага, Өглөгийн дүнтэй таарсан байх ёстой." sqref="G200:H200" xr:uid="{99E5C3E8-E653-446C-B4D7-3834EA72BBDC}"/>
  </dataValidations>
  <pageMargins left="0.7" right="0.7" top="0.75" bottom="0.75" header="0" footer="0"/>
  <pageSetup scale="73" fitToHeight="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GL!$C:$C</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O22"/>
  <sheetViews>
    <sheetView view="pageBreakPreview" zoomScaleNormal="100" zoomScaleSheetLayoutView="100" workbookViewId="0">
      <pane ySplit="5" topLeftCell="A6" activePane="bottomLeft" state="frozen"/>
      <selection pane="bottomLeft" activeCell="N7" sqref="N7"/>
    </sheetView>
  </sheetViews>
  <sheetFormatPr defaultColWidth="12.6640625" defaultRowHeight="15" customHeight="1" x14ac:dyDescent="0.25"/>
  <cols>
    <col min="1" max="2" width="9.88671875" customWidth="1"/>
    <col min="3" max="3" width="14.88671875" customWidth="1"/>
    <col min="4" max="4" width="13.44140625" customWidth="1"/>
    <col min="5" max="5" width="11.88671875" style="125" customWidth="1"/>
    <col min="6" max="6" width="14.6640625" bestFit="1" customWidth="1"/>
    <col min="7" max="9" width="13.6640625" bestFit="1" customWidth="1"/>
    <col min="10" max="10" width="14.6640625" customWidth="1"/>
    <col min="11" max="11" width="13.109375" bestFit="1" customWidth="1"/>
    <col min="12" max="12" width="10.5546875" customWidth="1"/>
    <col min="13" max="13" width="13.109375" bestFit="1" customWidth="1"/>
    <col min="14" max="14" width="14.6640625" customWidth="1"/>
    <col min="15" max="15" width="16.33203125" customWidth="1"/>
    <col min="16" max="16" width="10.6640625" bestFit="1" customWidth="1"/>
    <col min="17" max="17" width="10.33203125" customWidth="1"/>
    <col min="18" max="18" width="11.33203125" customWidth="1"/>
    <col min="19" max="26" width="8.6640625" customWidth="1"/>
  </cols>
  <sheetData>
    <row r="1" spans="1:15" ht="12.75" customHeight="1" x14ac:dyDescent="0.25">
      <c r="A1" s="2"/>
      <c r="B1" s="4"/>
      <c r="C1" s="4"/>
      <c r="D1" s="6" t="s">
        <v>677</v>
      </c>
      <c r="E1" s="123"/>
      <c r="F1" s="4"/>
      <c r="G1" s="4"/>
      <c r="H1" s="7"/>
      <c r="I1" s="7"/>
      <c r="J1" s="7"/>
      <c r="K1" s="7"/>
      <c r="L1" s="7"/>
      <c r="M1" s="7"/>
      <c r="N1" s="4"/>
      <c r="O1" s="7"/>
    </row>
    <row r="2" spans="1:15" ht="12.75" customHeight="1" x14ac:dyDescent="0.25">
      <c r="A2" s="2"/>
      <c r="B2" s="4"/>
      <c r="C2" s="4"/>
      <c r="D2" s="6" t="s">
        <v>678</v>
      </c>
      <c r="E2" s="123"/>
      <c r="F2" s="4"/>
      <c r="G2" s="4"/>
      <c r="H2" s="4"/>
      <c r="I2" s="4"/>
      <c r="J2" s="4"/>
      <c r="K2" s="4"/>
      <c r="L2" s="4"/>
      <c r="M2" s="4"/>
      <c r="N2" s="4"/>
      <c r="O2" s="4"/>
    </row>
    <row r="3" spans="1:15" ht="13.5" customHeight="1" x14ac:dyDescent="0.25">
      <c r="A3" s="5" t="s">
        <v>679</v>
      </c>
      <c r="B3" s="4"/>
      <c r="C3" s="4"/>
      <c r="D3" s="4"/>
      <c r="E3" s="123"/>
      <c r="F3" s="4"/>
      <c r="G3" s="4"/>
      <c r="H3" s="4"/>
      <c r="I3" s="4"/>
      <c r="J3" s="4"/>
      <c r="K3" s="4"/>
      <c r="L3" s="4"/>
      <c r="M3" s="4"/>
      <c r="N3" s="4"/>
      <c r="O3" s="4"/>
    </row>
    <row r="4" spans="1:15" ht="12.75" customHeight="1" x14ac:dyDescent="0.25">
      <c r="A4" s="804" t="s">
        <v>680</v>
      </c>
      <c r="B4" s="804" t="s">
        <v>681</v>
      </c>
      <c r="C4" s="804" t="s">
        <v>682</v>
      </c>
      <c r="D4" s="804" t="s">
        <v>683</v>
      </c>
      <c r="E4" s="806" t="s">
        <v>684</v>
      </c>
      <c r="F4" s="804" t="s">
        <v>685</v>
      </c>
      <c r="G4" s="808" t="s">
        <v>686</v>
      </c>
      <c r="H4" s="809"/>
      <c r="I4" s="809"/>
      <c r="J4" s="809"/>
      <c r="K4" s="809"/>
      <c r="L4" s="809"/>
      <c r="M4" s="810"/>
      <c r="N4" s="804" t="s">
        <v>687</v>
      </c>
      <c r="O4" s="804" t="s">
        <v>688</v>
      </c>
    </row>
    <row r="5" spans="1:15" ht="26.4" x14ac:dyDescent="0.25">
      <c r="A5" s="805"/>
      <c r="B5" s="805"/>
      <c r="C5" s="805"/>
      <c r="D5" s="805"/>
      <c r="E5" s="807"/>
      <c r="F5" s="805"/>
      <c r="G5" s="122" t="s">
        <v>689</v>
      </c>
      <c r="H5" s="122" t="s">
        <v>690</v>
      </c>
      <c r="I5" s="122" t="s">
        <v>691</v>
      </c>
      <c r="J5" s="309" t="s">
        <v>692</v>
      </c>
      <c r="K5" s="122" t="s">
        <v>409</v>
      </c>
      <c r="L5" s="310" t="s">
        <v>693</v>
      </c>
      <c r="M5" s="310" t="s">
        <v>694</v>
      </c>
      <c r="N5" s="805"/>
      <c r="O5" s="805"/>
    </row>
    <row r="6" spans="1:15" ht="12.75" customHeight="1" x14ac:dyDescent="0.25">
      <c r="A6" s="312" t="s">
        <v>44</v>
      </c>
      <c r="B6" s="313" t="s">
        <v>61</v>
      </c>
      <c r="C6" s="313" t="s">
        <v>62</v>
      </c>
      <c r="D6" s="314" t="s">
        <v>63</v>
      </c>
      <c r="E6" s="315" t="s">
        <v>996</v>
      </c>
      <c r="F6" s="316" t="s">
        <v>997</v>
      </c>
      <c r="G6" s="314" t="s">
        <v>64</v>
      </c>
      <c r="H6" s="314" t="s">
        <v>65</v>
      </c>
      <c r="I6" s="314" t="s">
        <v>67</v>
      </c>
      <c r="J6" s="314" t="s">
        <v>68</v>
      </c>
      <c r="K6" s="314" t="s">
        <v>998</v>
      </c>
      <c r="L6" s="314" t="s">
        <v>999</v>
      </c>
      <c r="M6" s="314" t="s">
        <v>69</v>
      </c>
      <c r="N6" s="314" t="s">
        <v>70</v>
      </c>
      <c r="O6" s="317" t="s">
        <v>72</v>
      </c>
    </row>
    <row r="7" spans="1:15" ht="12.75" customHeight="1" x14ac:dyDescent="0.25">
      <c r="A7" s="307"/>
      <c r="B7" s="311"/>
      <c r="C7" s="101"/>
      <c r="D7" s="102">
        <v>2000000</v>
      </c>
      <c r="E7" s="124">
        <v>0</v>
      </c>
      <c r="F7" s="103">
        <f t="shared" ref="F7:F21" si="0">SUM(D7:E7)</f>
        <v>2000000</v>
      </c>
      <c r="G7" s="102">
        <f t="shared" ref="G7:G21" si="1">F7*11.5%</f>
        <v>230000</v>
      </c>
      <c r="H7" s="102">
        <f t="shared" ref="H7:H21" si="2">F7*0.125</f>
        <v>250000</v>
      </c>
      <c r="I7" s="102">
        <f t="shared" ref="I7:I21" si="3">SUM(G7:H7)</f>
        <v>480000</v>
      </c>
      <c r="J7" s="102">
        <f t="shared" ref="J7:J21" si="4">$F7-$G7</f>
        <v>1770000</v>
      </c>
      <c r="K7" s="102">
        <f t="shared" ref="K7:K21" si="5">(J7*0.1)</f>
        <v>177000</v>
      </c>
      <c r="L7" s="102">
        <f t="shared" ref="L7:L22" si="6">IF(J7&lt;200000,J7*0.1,IF(J7&lt;=500000,20000,IF(J7&lt;=1000000,18000,IF(J7&lt;=1500000,16000,IF(J7&lt;=2000000,14000,IF(J7&lt;=2500000,12000,IF(J7&lt;=3000000,10000,0)))))))</f>
        <v>14000</v>
      </c>
      <c r="M7" s="102">
        <f t="shared" ref="M7:M21" si="7">K7-L7</f>
        <v>163000</v>
      </c>
      <c r="N7" s="102">
        <f t="shared" ref="N7:N21" si="8">$G7+$M7</f>
        <v>393000</v>
      </c>
      <c r="O7" s="308">
        <f t="shared" ref="O7:O21" si="9">$F7-$N7</f>
        <v>1607000</v>
      </c>
    </row>
    <row r="8" spans="1:15" ht="12.75" customHeight="1" x14ac:dyDescent="0.25">
      <c r="A8" s="307"/>
      <c r="B8" s="311"/>
      <c r="C8" s="101"/>
      <c r="D8" s="102"/>
      <c r="E8" s="124">
        <v>0</v>
      </c>
      <c r="F8" s="103">
        <f t="shared" si="0"/>
        <v>0</v>
      </c>
      <c r="G8" s="102">
        <f t="shared" si="1"/>
        <v>0</v>
      </c>
      <c r="H8" s="102">
        <f t="shared" si="2"/>
        <v>0</v>
      </c>
      <c r="I8" s="102">
        <f t="shared" si="3"/>
        <v>0</v>
      </c>
      <c r="J8" s="102">
        <f t="shared" si="4"/>
        <v>0</v>
      </c>
      <c r="K8" s="102">
        <f t="shared" si="5"/>
        <v>0</v>
      </c>
      <c r="L8" s="102">
        <f t="shared" si="6"/>
        <v>0</v>
      </c>
      <c r="M8" s="102">
        <f t="shared" si="7"/>
        <v>0</v>
      </c>
      <c r="N8" s="102">
        <f t="shared" si="8"/>
        <v>0</v>
      </c>
      <c r="O8" s="308">
        <f t="shared" si="9"/>
        <v>0</v>
      </c>
    </row>
    <row r="9" spans="1:15" ht="12.75" customHeight="1" x14ac:dyDescent="0.25">
      <c r="A9" s="307"/>
      <c r="B9" s="311"/>
      <c r="C9" s="101"/>
      <c r="D9" s="102"/>
      <c r="E9" s="124">
        <v>0</v>
      </c>
      <c r="F9" s="103">
        <f t="shared" si="0"/>
        <v>0</v>
      </c>
      <c r="G9" s="102">
        <f t="shared" si="1"/>
        <v>0</v>
      </c>
      <c r="H9" s="102">
        <f t="shared" si="2"/>
        <v>0</v>
      </c>
      <c r="I9" s="102">
        <f t="shared" si="3"/>
        <v>0</v>
      </c>
      <c r="J9" s="102">
        <f t="shared" si="4"/>
        <v>0</v>
      </c>
      <c r="K9" s="102">
        <f t="shared" si="5"/>
        <v>0</v>
      </c>
      <c r="L9" s="102">
        <f t="shared" si="6"/>
        <v>0</v>
      </c>
      <c r="M9" s="102">
        <f t="shared" si="7"/>
        <v>0</v>
      </c>
      <c r="N9" s="102">
        <f t="shared" si="8"/>
        <v>0</v>
      </c>
      <c r="O9" s="308">
        <f t="shared" si="9"/>
        <v>0</v>
      </c>
    </row>
    <row r="10" spans="1:15" ht="12.75" customHeight="1" x14ac:dyDescent="0.25">
      <c r="A10" s="307"/>
      <c r="B10" s="311"/>
      <c r="C10" s="101"/>
      <c r="D10" s="102"/>
      <c r="E10" s="124">
        <v>0</v>
      </c>
      <c r="F10" s="103">
        <f t="shared" si="0"/>
        <v>0</v>
      </c>
      <c r="G10" s="102">
        <f t="shared" si="1"/>
        <v>0</v>
      </c>
      <c r="H10" s="102">
        <f t="shared" si="2"/>
        <v>0</v>
      </c>
      <c r="I10" s="102">
        <f t="shared" si="3"/>
        <v>0</v>
      </c>
      <c r="J10" s="102">
        <f t="shared" si="4"/>
        <v>0</v>
      </c>
      <c r="K10" s="102">
        <f t="shared" si="5"/>
        <v>0</v>
      </c>
      <c r="L10" s="102">
        <f t="shared" si="6"/>
        <v>0</v>
      </c>
      <c r="M10" s="102">
        <f t="shared" si="7"/>
        <v>0</v>
      </c>
      <c r="N10" s="102">
        <f t="shared" si="8"/>
        <v>0</v>
      </c>
      <c r="O10" s="308">
        <f t="shared" si="9"/>
        <v>0</v>
      </c>
    </row>
    <row r="11" spans="1:15" ht="12.75" customHeight="1" x14ac:dyDescent="0.25">
      <c r="A11" s="307"/>
      <c r="B11" s="311"/>
      <c r="C11" s="101"/>
      <c r="D11" s="102"/>
      <c r="E11" s="124">
        <v>0</v>
      </c>
      <c r="F11" s="103">
        <f t="shared" si="0"/>
        <v>0</v>
      </c>
      <c r="G11" s="102">
        <f t="shared" si="1"/>
        <v>0</v>
      </c>
      <c r="H11" s="102">
        <f t="shared" si="2"/>
        <v>0</v>
      </c>
      <c r="I11" s="102">
        <f t="shared" si="3"/>
        <v>0</v>
      </c>
      <c r="J11" s="102">
        <f t="shared" si="4"/>
        <v>0</v>
      </c>
      <c r="K11" s="102">
        <f t="shared" si="5"/>
        <v>0</v>
      </c>
      <c r="L11" s="102">
        <f t="shared" si="6"/>
        <v>0</v>
      </c>
      <c r="M11" s="102">
        <f t="shared" si="7"/>
        <v>0</v>
      </c>
      <c r="N11" s="102">
        <f t="shared" si="8"/>
        <v>0</v>
      </c>
      <c r="O11" s="308">
        <f t="shared" si="9"/>
        <v>0</v>
      </c>
    </row>
    <row r="12" spans="1:15" ht="12.75" customHeight="1" x14ac:dyDescent="0.25">
      <c r="A12" s="307"/>
      <c r="B12" s="311"/>
      <c r="C12" s="101"/>
      <c r="D12" s="102"/>
      <c r="E12" s="124">
        <v>0</v>
      </c>
      <c r="F12" s="103">
        <f t="shared" si="0"/>
        <v>0</v>
      </c>
      <c r="G12" s="102">
        <f t="shared" si="1"/>
        <v>0</v>
      </c>
      <c r="H12" s="102">
        <f t="shared" si="2"/>
        <v>0</v>
      </c>
      <c r="I12" s="102">
        <f t="shared" si="3"/>
        <v>0</v>
      </c>
      <c r="J12" s="102">
        <f t="shared" si="4"/>
        <v>0</v>
      </c>
      <c r="K12" s="102">
        <f t="shared" si="5"/>
        <v>0</v>
      </c>
      <c r="L12" s="102">
        <f t="shared" si="6"/>
        <v>0</v>
      </c>
      <c r="M12" s="102">
        <f t="shared" si="7"/>
        <v>0</v>
      </c>
      <c r="N12" s="102">
        <f t="shared" si="8"/>
        <v>0</v>
      </c>
      <c r="O12" s="308">
        <f t="shared" si="9"/>
        <v>0</v>
      </c>
    </row>
    <row r="13" spans="1:15" ht="12.75" customHeight="1" x14ac:dyDescent="0.25">
      <c r="A13" s="307"/>
      <c r="B13" s="311"/>
      <c r="C13" s="101"/>
      <c r="D13" s="102"/>
      <c r="E13" s="124">
        <v>0</v>
      </c>
      <c r="F13" s="103">
        <f t="shared" si="0"/>
        <v>0</v>
      </c>
      <c r="G13" s="102">
        <f t="shared" si="1"/>
        <v>0</v>
      </c>
      <c r="H13" s="102">
        <f t="shared" si="2"/>
        <v>0</v>
      </c>
      <c r="I13" s="102">
        <f t="shared" si="3"/>
        <v>0</v>
      </c>
      <c r="J13" s="102">
        <f t="shared" si="4"/>
        <v>0</v>
      </c>
      <c r="K13" s="102">
        <f t="shared" si="5"/>
        <v>0</v>
      </c>
      <c r="L13" s="102">
        <f t="shared" si="6"/>
        <v>0</v>
      </c>
      <c r="M13" s="102">
        <f t="shared" si="7"/>
        <v>0</v>
      </c>
      <c r="N13" s="102">
        <f t="shared" si="8"/>
        <v>0</v>
      </c>
      <c r="O13" s="308">
        <f t="shared" si="9"/>
        <v>0</v>
      </c>
    </row>
    <row r="14" spans="1:15" ht="12.75" customHeight="1" x14ac:dyDescent="0.25">
      <c r="A14" s="307"/>
      <c r="B14" s="311"/>
      <c r="C14" s="101"/>
      <c r="D14" s="102"/>
      <c r="E14" s="124">
        <v>0</v>
      </c>
      <c r="F14" s="103">
        <f t="shared" si="0"/>
        <v>0</v>
      </c>
      <c r="G14" s="102">
        <f t="shared" si="1"/>
        <v>0</v>
      </c>
      <c r="H14" s="102">
        <f t="shared" si="2"/>
        <v>0</v>
      </c>
      <c r="I14" s="102">
        <f t="shared" si="3"/>
        <v>0</v>
      </c>
      <c r="J14" s="102">
        <f t="shared" si="4"/>
        <v>0</v>
      </c>
      <c r="K14" s="102">
        <f t="shared" si="5"/>
        <v>0</v>
      </c>
      <c r="L14" s="102">
        <f t="shared" si="6"/>
        <v>0</v>
      </c>
      <c r="M14" s="102">
        <f t="shared" si="7"/>
        <v>0</v>
      </c>
      <c r="N14" s="102">
        <f t="shared" si="8"/>
        <v>0</v>
      </c>
      <c r="O14" s="308">
        <f t="shared" si="9"/>
        <v>0</v>
      </c>
    </row>
    <row r="15" spans="1:15" ht="12.75" customHeight="1" x14ac:dyDescent="0.25">
      <c r="A15" s="307"/>
      <c r="B15" s="311"/>
      <c r="C15" s="101"/>
      <c r="D15" s="102"/>
      <c r="E15" s="124">
        <v>0</v>
      </c>
      <c r="F15" s="103">
        <f t="shared" si="0"/>
        <v>0</v>
      </c>
      <c r="G15" s="102">
        <f>F15*11.5%</f>
        <v>0</v>
      </c>
      <c r="H15" s="102">
        <f t="shared" si="2"/>
        <v>0</v>
      </c>
      <c r="I15" s="102">
        <f t="shared" si="3"/>
        <v>0</v>
      </c>
      <c r="J15" s="102">
        <f t="shared" si="4"/>
        <v>0</v>
      </c>
      <c r="K15" s="102">
        <f t="shared" si="5"/>
        <v>0</v>
      </c>
      <c r="L15" s="102">
        <f t="shared" si="6"/>
        <v>0</v>
      </c>
      <c r="M15" s="102">
        <f t="shared" si="7"/>
        <v>0</v>
      </c>
      <c r="N15" s="102">
        <f t="shared" si="8"/>
        <v>0</v>
      </c>
      <c r="O15" s="308">
        <f t="shared" si="9"/>
        <v>0</v>
      </c>
    </row>
    <row r="16" spans="1:15" ht="12.75" customHeight="1" x14ac:dyDescent="0.25">
      <c r="A16" s="307"/>
      <c r="B16" s="311"/>
      <c r="C16" s="101"/>
      <c r="D16" s="102"/>
      <c r="E16" s="124">
        <v>0</v>
      </c>
      <c r="F16" s="103">
        <f t="shared" si="0"/>
        <v>0</v>
      </c>
      <c r="G16" s="102">
        <f t="shared" si="1"/>
        <v>0</v>
      </c>
      <c r="H16" s="102">
        <f t="shared" si="2"/>
        <v>0</v>
      </c>
      <c r="I16" s="102">
        <f t="shared" si="3"/>
        <v>0</v>
      </c>
      <c r="J16" s="102">
        <f t="shared" si="4"/>
        <v>0</v>
      </c>
      <c r="K16" s="102">
        <f t="shared" si="5"/>
        <v>0</v>
      </c>
      <c r="L16" s="102">
        <f t="shared" si="6"/>
        <v>0</v>
      </c>
      <c r="M16" s="102">
        <f t="shared" si="7"/>
        <v>0</v>
      </c>
      <c r="N16" s="102">
        <f t="shared" si="8"/>
        <v>0</v>
      </c>
      <c r="O16" s="308">
        <f t="shared" si="9"/>
        <v>0</v>
      </c>
    </row>
    <row r="17" spans="1:15" ht="12.75" customHeight="1" x14ac:dyDescent="0.25">
      <c r="A17" s="307"/>
      <c r="B17" s="311"/>
      <c r="C17" s="101"/>
      <c r="D17" s="102"/>
      <c r="E17" s="124">
        <v>0</v>
      </c>
      <c r="F17" s="103">
        <f t="shared" si="0"/>
        <v>0</v>
      </c>
      <c r="G17" s="102">
        <f t="shared" si="1"/>
        <v>0</v>
      </c>
      <c r="H17" s="102">
        <f t="shared" si="2"/>
        <v>0</v>
      </c>
      <c r="I17" s="102">
        <f t="shared" si="3"/>
        <v>0</v>
      </c>
      <c r="J17" s="102">
        <f t="shared" si="4"/>
        <v>0</v>
      </c>
      <c r="K17" s="102">
        <f t="shared" si="5"/>
        <v>0</v>
      </c>
      <c r="L17" s="102">
        <f t="shared" si="6"/>
        <v>0</v>
      </c>
      <c r="M17" s="102">
        <f t="shared" si="7"/>
        <v>0</v>
      </c>
      <c r="N17" s="102">
        <f t="shared" si="8"/>
        <v>0</v>
      </c>
      <c r="O17" s="308">
        <f t="shared" si="9"/>
        <v>0</v>
      </c>
    </row>
    <row r="18" spans="1:15" ht="12.75" customHeight="1" x14ac:dyDescent="0.25">
      <c r="A18" s="307"/>
      <c r="B18" s="311"/>
      <c r="C18" s="101"/>
      <c r="D18" s="102"/>
      <c r="E18" s="124">
        <v>0</v>
      </c>
      <c r="F18" s="103">
        <f t="shared" si="0"/>
        <v>0</v>
      </c>
      <c r="G18" s="102">
        <f t="shared" si="1"/>
        <v>0</v>
      </c>
      <c r="H18" s="102">
        <f t="shared" si="2"/>
        <v>0</v>
      </c>
      <c r="I18" s="102">
        <f t="shared" si="3"/>
        <v>0</v>
      </c>
      <c r="J18" s="102">
        <f t="shared" si="4"/>
        <v>0</v>
      </c>
      <c r="K18" s="102">
        <f t="shared" si="5"/>
        <v>0</v>
      </c>
      <c r="L18" s="102">
        <f t="shared" si="6"/>
        <v>0</v>
      </c>
      <c r="M18" s="102">
        <f t="shared" si="7"/>
        <v>0</v>
      </c>
      <c r="N18" s="102">
        <f t="shared" si="8"/>
        <v>0</v>
      </c>
      <c r="O18" s="308">
        <f t="shared" si="9"/>
        <v>0</v>
      </c>
    </row>
    <row r="19" spans="1:15" ht="12.75" customHeight="1" x14ac:dyDescent="0.25">
      <c r="A19" s="307"/>
      <c r="B19" s="311"/>
      <c r="C19" s="101"/>
      <c r="D19" s="102"/>
      <c r="E19" s="124">
        <v>0</v>
      </c>
      <c r="F19" s="103">
        <f t="shared" si="0"/>
        <v>0</v>
      </c>
      <c r="G19" s="102">
        <f t="shared" si="1"/>
        <v>0</v>
      </c>
      <c r="H19" s="102">
        <f t="shared" si="2"/>
        <v>0</v>
      </c>
      <c r="I19" s="102">
        <f t="shared" si="3"/>
        <v>0</v>
      </c>
      <c r="J19" s="102">
        <f t="shared" si="4"/>
        <v>0</v>
      </c>
      <c r="K19" s="102">
        <f t="shared" si="5"/>
        <v>0</v>
      </c>
      <c r="L19" s="102">
        <f t="shared" si="6"/>
        <v>0</v>
      </c>
      <c r="M19" s="102">
        <f t="shared" si="7"/>
        <v>0</v>
      </c>
      <c r="N19" s="102">
        <f t="shared" si="8"/>
        <v>0</v>
      </c>
      <c r="O19" s="308">
        <f t="shared" si="9"/>
        <v>0</v>
      </c>
    </row>
    <row r="20" spans="1:15" ht="12.75" customHeight="1" x14ac:dyDescent="0.25">
      <c r="A20" s="307"/>
      <c r="B20" s="311"/>
      <c r="C20" s="101"/>
      <c r="D20" s="102"/>
      <c r="E20" s="124">
        <v>0</v>
      </c>
      <c r="F20" s="103">
        <f t="shared" si="0"/>
        <v>0</v>
      </c>
      <c r="G20" s="102">
        <f t="shared" si="1"/>
        <v>0</v>
      </c>
      <c r="H20" s="102">
        <f t="shared" si="2"/>
        <v>0</v>
      </c>
      <c r="I20" s="102">
        <f t="shared" si="3"/>
        <v>0</v>
      </c>
      <c r="J20" s="102">
        <f t="shared" si="4"/>
        <v>0</v>
      </c>
      <c r="K20" s="102">
        <f t="shared" si="5"/>
        <v>0</v>
      </c>
      <c r="L20" s="102">
        <f t="shared" si="6"/>
        <v>0</v>
      </c>
      <c r="M20" s="102">
        <f t="shared" si="7"/>
        <v>0</v>
      </c>
      <c r="N20" s="102">
        <f t="shared" si="8"/>
        <v>0</v>
      </c>
      <c r="O20" s="308">
        <f t="shared" si="9"/>
        <v>0</v>
      </c>
    </row>
    <row r="21" spans="1:15" ht="12.75" customHeight="1" x14ac:dyDescent="0.25">
      <c r="A21" s="307"/>
      <c r="B21" s="311"/>
      <c r="C21" s="101"/>
      <c r="D21" s="102"/>
      <c r="E21" s="124">
        <v>0</v>
      </c>
      <c r="F21" s="103">
        <f t="shared" si="0"/>
        <v>0</v>
      </c>
      <c r="G21" s="102">
        <f t="shared" si="1"/>
        <v>0</v>
      </c>
      <c r="H21" s="102">
        <f t="shared" si="2"/>
        <v>0</v>
      </c>
      <c r="I21" s="102">
        <f t="shared" si="3"/>
        <v>0</v>
      </c>
      <c r="J21" s="102">
        <f t="shared" si="4"/>
        <v>0</v>
      </c>
      <c r="K21" s="102">
        <f t="shared" si="5"/>
        <v>0</v>
      </c>
      <c r="L21" s="102">
        <f t="shared" si="6"/>
        <v>0</v>
      </c>
      <c r="M21" s="102">
        <f t="shared" si="7"/>
        <v>0</v>
      </c>
      <c r="N21" s="102">
        <f t="shared" si="8"/>
        <v>0</v>
      </c>
      <c r="O21" s="308">
        <f t="shared" si="9"/>
        <v>0</v>
      </c>
    </row>
    <row r="22" spans="1:15" s="121" customFormat="1" ht="12.75" customHeight="1" x14ac:dyDescent="0.25">
      <c r="A22" s="318"/>
      <c r="B22" s="319"/>
      <c r="C22" s="320"/>
      <c r="D22" s="321">
        <f t="shared" ref="D22:K22" si="10">SUBTOTAL(109,D7:D21)</f>
        <v>2000000</v>
      </c>
      <c r="E22" s="321">
        <f t="shared" si="10"/>
        <v>0</v>
      </c>
      <c r="F22" s="321">
        <f t="shared" si="10"/>
        <v>2000000</v>
      </c>
      <c r="G22" s="321">
        <f t="shared" si="10"/>
        <v>230000</v>
      </c>
      <c r="H22" s="321">
        <f t="shared" si="10"/>
        <v>250000</v>
      </c>
      <c r="I22" s="321">
        <f t="shared" si="10"/>
        <v>480000</v>
      </c>
      <c r="J22" s="321">
        <f t="shared" si="10"/>
        <v>1770000</v>
      </c>
      <c r="K22" s="321">
        <f t="shared" si="10"/>
        <v>177000</v>
      </c>
      <c r="L22" s="321">
        <f t="shared" si="6"/>
        <v>14000</v>
      </c>
      <c r="M22" s="321">
        <f>SUBTOTAL(109,M7:M21)</f>
        <v>163000</v>
      </c>
      <c r="N22" s="321">
        <f>SUBTOTAL(109,N7:N21)</f>
        <v>393000</v>
      </c>
      <c r="O22" s="321">
        <f>SUBTOTAL(109,O7:O21)</f>
        <v>1607000</v>
      </c>
    </row>
  </sheetData>
  <mergeCells count="9">
    <mergeCell ref="N4:N5"/>
    <mergeCell ref="O4:O5"/>
    <mergeCell ref="A4:A5"/>
    <mergeCell ref="B4:B5"/>
    <mergeCell ref="C4:C5"/>
    <mergeCell ref="D4:D5"/>
    <mergeCell ref="E4:E5"/>
    <mergeCell ref="F4:F5"/>
    <mergeCell ref="G4:M4"/>
  </mergeCells>
  <pageMargins left="0.7" right="0.7" top="0.75" bottom="0.75" header="0" footer="0"/>
  <pageSetup paperSize="9" scale="66" orientation="landscape" r:id="rId1"/>
  <headerFooter>
    <oddHeader>&amp;LБатлав:                               Захирал                                                 Т.МЯГМАРСҮРЭН&amp;R"ДАБЛЬ АКСИОМ АУДИТ" ХХК</oddHeader>
  </headerFooter>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A1:W110"/>
  <sheetViews>
    <sheetView showGridLines="0" view="pageBreakPreview" topLeftCell="A45" zoomScaleNormal="100" zoomScaleSheetLayoutView="100" workbookViewId="0">
      <selection activeCell="V47" sqref="V47"/>
    </sheetView>
  </sheetViews>
  <sheetFormatPr defaultColWidth="12.6640625" defaultRowHeight="15" customHeight="1" x14ac:dyDescent="0.25"/>
  <cols>
    <col min="1" max="1" width="3.33203125" style="356" customWidth="1"/>
    <col min="2" max="3" width="2.6640625" style="356" customWidth="1"/>
    <col min="4" max="4" width="1.6640625" style="356" customWidth="1"/>
    <col min="5" max="5" width="3.109375" style="356" customWidth="1"/>
    <col min="6" max="13" width="2.44140625" style="356" customWidth="1"/>
    <col min="14" max="14" width="3.109375" style="356" customWidth="1"/>
    <col min="15" max="15" width="3" style="356" customWidth="1"/>
    <col min="16" max="17" width="2.6640625" style="356" customWidth="1"/>
    <col min="18" max="18" width="3.109375" style="356" customWidth="1"/>
    <col min="19" max="19" width="24.88671875" style="356" customWidth="1"/>
    <col min="20" max="20" width="8.109375" style="356" customWidth="1"/>
    <col min="21" max="21" width="11.33203125" style="356" bestFit="1" customWidth="1"/>
    <col min="22" max="22" width="21.33203125" style="356" bestFit="1" customWidth="1"/>
    <col min="23" max="23" width="19.109375" style="356" customWidth="1"/>
    <col min="24" max="16384" width="12.6640625" style="356"/>
  </cols>
  <sheetData>
    <row r="1" spans="1:22" ht="13.5" customHeight="1" x14ac:dyDescent="0.25">
      <c r="A1" s="492"/>
      <c r="B1" s="492"/>
      <c r="C1" s="492"/>
      <c r="D1" s="492"/>
      <c r="E1" s="492"/>
      <c r="F1" s="492"/>
      <c r="G1" s="492"/>
      <c r="H1" s="492"/>
      <c r="I1" s="492"/>
      <c r="J1" s="492"/>
      <c r="K1" s="492"/>
      <c r="L1" s="492"/>
      <c r="M1" s="492"/>
      <c r="N1" s="492"/>
      <c r="O1" s="492"/>
      <c r="P1" s="492"/>
      <c r="Q1" s="492"/>
      <c r="R1" s="492"/>
      <c r="S1" s="492"/>
      <c r="T1" s="492"/>
      <c r="U1" s="493"/>
      <c r="V1" s="494"/>
    </row>
    <row r="2" spans="1:22" ht="13.5" customHeight="1" x14ac:dyDescent="0.25">
      <c r="A2" s="492"/>
      <c r="B2" s="492"/>
      <c r="C2" s="492"/>
      <c r="D2" s="492"/>
      <c r="E2" s="492"/>
      <c r="F2" s="492"/>
      <c r="G2" s="492"/>
      <c r="H2" s="492"/>
      <c r="I2" s="492"/>
      <c r="J2" s="492"/>
      <c r="K2" s="492"/>
      <c r="L2" s="492"/>
      <c r="M2" s="492"/>
      <c r="N2" s="492"/>
      <c r="O2" s="492"/>
      <c r="P2" s="492"/>
      <c r="Q2" s="492"/>
      <c r="R2" s="492"/>
      <c r="S2" s="492"/>
      <c r="T2" s="492"/>
      <c r="U2" s="493"/>
      <c r="V2" s="494"/>
    </row>
    <row r="3" spans="1:22" ht="13.5" customHeight="1" x14ac:dyDescent="0.25">
      <c r="A3" s="492"/>
      <c r="B3" s="492"/>
      <c r="C3" s="492"/>
      <c r="D3" s="492"/>
      <c r="E3" s="492"/>
      <c r="F3" s="492"/>
      <c r="G3" s="492"/>
      <c r="H3" s="492"/>
      <c r="I3" s="492"/>
      <c r="J3" s="492"/>
      <c r="K3" s="492"/>
      <c r="L3" s="492"/>
      <c r="M3" s="492"/>
      <c r="N3" s="492"/>
      <c r="O3" s="492"/>
      <c r="P3" s="492"/>
      <c r="Q3" s="492"/>
      <c r="R3" s="492"/>
      <c r="S3" s="492"/>
      <c r="T3" s="492"/>
      <c r="U3" s="493"/>
      <c r="V3" s="494"/>
    </row>
    <row r="4" spans="1:22" ht="22.8" x14ac:dyDescent="0.4">
      <c r="A4" s="496"/>
      <c r="B4" s="497"/>
      <c r="C4" s="497"/>
      <c r="D4" s="497"/>
      <c r="E4" s="498"/>
      <c r="F4" s="497"/>
      <c r="G4" s="498"/>
      <c r="H4" s="499"/>
      <c r="I4" s="496" t="s">
        <v>695</v>
      </c>
      <c r="J4" s="497"/>
      <c r="K4" s="497"/>
      <c r="L4" s="497"/>
      <c r="M4" s="500"/>
      <c r="N4" s="839" t="s">
        <v>696</v>
      </c>
      <c r="O4" s="840"/>
      <c r="P4" s="840"/>
      <c r="Q4" s="840"/>
      <c r="R4" s="840"/>
      <c r="S4" s="840"/>
      <c r="T4" s="840"/>
      <c r="U4" s="501"/>
      <c r="V4" s="502" t="s">
        <v>697</v>
      </c>
    </row>
    <row r="5" spans="1:22" ht="7.2" customHeight="1" x14ac:dyDescent="0.25">
      <c r="A5" s="492"/>
      <c r="B5" s="503"/>
      <c r="C5" s="503"/>
      <c r="D5" s="503"/>
      <c r="E5" s="504"/>
      <c r="F5" s="503"/>
      <c r="G5" s="504"/>
      <c r="H5" s="503"/>
      <c r="I5" s="504"/>
      <c r="J5" s="503"/>
      <c r="K5" s="503"/>
      <c r="L5" s="503"/>
      <c r="M5" s="503"/>
      <c r="N5" s="503"/>
      <c r="O5" s="503"/>
      <c r="P5" s="503"/>
      <c r="Q5" s="503"/>
      <c r="R5" s="503"/>
      <c r="S5" s="503"/>
      <c r="T5" s="503"/>
      <c r="U5" s="505"/>
      <c r="V5" s="506"/>
    </row>
    <row r="6" spans="1:22" ht="17.25" customHeight="1" x14ac:dyDescent="0.3">
      <c r="A6" s="841" t="s">
        <v>698</v>
      </c>
      <c r="B6" s="842"/>
      <c r="C6" s="842"/>
      <c r="D6" s="842"/>
      <c r="E6" s="842"/>
      <c r="F6" s="842"/>
      <c r="G6" s="842"/>
      <c r="H6" s="842"/>
      <c r="I6" s="842"/>
      <c r="J6" s="842"/>
      <c r="K6" s="842"/>
      <c r="L6" s="842"/>
      <c r="M6" s="842"/>
      <c r="N6" s="842"/>
      <c r="O6" s="842"/>
      <c r="P6" s="842"/>
      <c r="Q6" s="842"/>
      <c r="R6" s="842"/>
      <c r="S6" s="842"/>
      <c r="T6" s="842"/>
      <c r="U6" s="842"/>
      <c r="V6" s="842"/>
    </row>
    <row r="7" spans="1:22" ht="13.5" customHeight="1" x14ac:dyDescent="0.25">
      <c r="A7" s="843" t="s">
        <v>699</v>
      </c>
      <c r="B7" s="842"/>
      <c r="C7" s="842"/>
      <c r="D7" s="842"/>
      <c r="E7" s="842"/>
      <c r="F7" s="842"/>
      <c r="G7" s="842"/>
      <c r="H7" s="842"/>
      <c r="I7" s="842"/>
      <c r="J7" s="842"/>
      <c r="K7" s="842"/>
      <c r="L7" s="842"/>
      <c r="M7" s="842"/>
      <c r="N7" s="842"/>
      <c r="O7" s="842"/>
      <c r="P7" s="842"/>
      <c r="Q7" s="842"/>
      <c r="R7" s="842"/>
      <c r="S7" s="842"/>
      <c r="T7" s="842"/>
      <c r="U7" s="842"/>
      <c r="V7" s="842"/>
    </row>
    <row r="8" spans="1:22" ht="13.5" customHeight="1" x14ac:dyDescent="0.25">
      <c r="A8" s="492"/>
      <c r="B8" s="492"/>
      <c r="C8" s="492"/>
      <c r="D8" s="492"/>
      <c r="E8" s="492"/>
      <c r="F8" s="492"/>
      <c r="G8" s="492"/>
      <c r="H8" s="492"/>
      <c r="I8" s="492"/>
      <c r="J8" s="492"/>
      <c r="K8" s="492"/>
      <c r="L8" s="492"/>
      <c r="M8" s="492"/>
      <c r="N8" s="492"/>
      <c r="O8" s="492"/>
      <c r="P8" s="492"/>
      <c r="Q8" s="492"/>
      <c r="R8" s="492"/>
      <c r="S8" s="492"/>
      <c r="T8" s="492"/>
      <c r="U8" s="493"/>
      <c r="V8" s="494"/>
    </row>
    <row r="9" spans="1:22" ht="13.5" customHeight="1" x14ac:dyDescent="0.25">
      <c r="A9" s="492">
        <v>1</v>
      </c>
      <c r="B9" s="492" t="s">
        <v>700</v>
      </c>
      <c r="C9" s="492"/>
      <c r="D9" s="492"/>
      <c r="E9" s="492"/>
      <c r="F9" s="507" t="str">
        <f>НҮҮР!D5</f>
        <v/>
      </c>
      <c r="G9" s="508" t="str">
        <f>НҮҮР!E5</f>
        <v/>
      </c>
      <c r="H9" s="508" t="str">
        <f>НҮҮР!F5</f>
        <v/>
      </c>
      <c r="I9" s="508" t="str">
        <f>НҮҮР!G5</f>
        <v/>
      </c>
      <c r="J9" s="508" t="str">
        <f>НҮҮР!H5</f>
        <v/>
      </c>
      <c r="K9" s="508" t="str">
        <f>НҮҮР!I5</f>
        <v/>
      </c>
      <c r="L9" s="508" t="str">
        <f>НҮҮР!J5</f>
        <v/>
      </c>
      <c r="M9" s="492"/>
      <c r="N9" s="492"/>
      <c r="O9" s="492"/>
      <c r="P9" s="492">
        <v>2</v>
      </c>
      <c r="Q9" s="492" t="s">
        <v>701</v>
      </c>
      <c r="R9" s="492"/>
      <c r="S9" s="509" t="str">
        <f>BS!A4</f>
        <v>"АЗЕЙ" ХХК</v>
      </c>
      <c r="T9" s="510"/>
      <c r="U9" s="322"/>
      <c r="V9" s="322"/>
    </row>
    <row r="10" spans="1:22" ht="13.5" customHeight="1" x14ac:dyDescent="0.25">
      <c r="A10" s="492"/>
      <c r="B10" s="492"/>
      <c r="C10" s="492"/>
      <c r="D10" s="492"/>
      <c r="E10" s="492"/>
      <c r="F10" s="492"/>
      <c r="G10" s="492"/>
      <c r="H10" s="492"/>
      <c r="I10" s="492"/>
      <c r="J10" s="492"/>
      <c r="K10" s="492"/>
      <c r="L10" s="492"/>
      <c r="M10" s="492"/>
      <c r="N10" s="492"/>
      <c r="O10" s="492"/>
      <c r="P10" s="492"/>
      <c r="Q10" s="492"/>
      <c r="R10" s="492"/>
      <c r="S10" s="492"/>
      <c r="T10" s="492"/>
      <c r="U10" s="493"/>
      <c r="V10" s="493" t="s">
        <v>702</v>
      </c>
    </row>
    <row r="11" spans="1:22" ht="13.5" customHeight="1" x14ac:dyDescent="0.25">
      <c r="A11" s="492"/>
      <c r="B11" s="492"/>
      <c r="C11" s="492"/>
      <c r="D11" s="492"/>
      <c r="E11" s="492"/>
      <c r="F11" s="492"/>
      <c r="G11" s="492"/>
      <c r="H11" s="492"/>
      <c r="I11" s="492"/>
      <c r="J11" s="492"/>
      <c r="K11" s="492"/>
      <c r="L11" s="492"/>
      <c r="M11" s="492"/>
      <c r="N11" s="492"/>
      <c r="O11" s="492"/>
      <c r="P11" s="492"/>
      <c r="Q11" s="492"/>
      <c r="R11" s="492"/>
      <c r="S11" s="492"/>
      <c r="T11" s="492"/>
      <c r="U11" s="493"/>
      <c r="V11" s="494"/>
    </row>
    <row r="12" spans="1:22" ht="13.5" customHeight="1" x14ac:dyDescent="0.25">
      <c r="A12" s="492">
        <v>4</v>
      </c>
      <c r="B12" s="492" t="s">
        <v>703</v>
      </c>
      <c r="C12" s="492"/>
      <c r="D12" s="492"/>
      <c r="E12" s="492"/>
      <c r="F12" s="492"/>
      <c r="G12" s="492"/>
      <c r="H12" s="492"/>
      <c r="I12" s="492"/>
      <c r="J12" s="492"/>
      <c r="K12" s="492"/>
      <c r="L12" s="492"/>
      <c r="M12" s="493"/>
      <c r="N12" s="510"/>
      <c r="O12" s="510" t="s">
        <v>14</v>
      </c>
      <c r="P12" s="510"/>
      <c r="Q12" s="510"/>
      <c r="R12" s="510"/>
      <c r="S12" s="510"/>
      <c r="T12" s="510"/>
      <c r="U12" s="510"/>
      <c r="V12" s="511"/>
    </row>
    <row r="13" spans="1:22" ht="13.5" customHeight="1" x14ac:dyDescent="0.25">
      <c r="A13" s="492"/>
      <c r="B13" s="492" t="s">
        <v>704</v>
      </c>
      <c r="C13" s="492"/>
      <c r="D13" s="492"/>
      <c r="E13" s="492" t="s">
        <v>705</v>
      </c>
      <c r="F13" s="492"/>
      <c r="G13" s="512"/>
      <c r="H13" s="512"/>
      <c r="I13" s="512"/>
      <c r="J13" s="512"/>
      <c r="K13" s="512"/>
      <c r="L13" s="512"/>
      <c r="M13" s="512"/>
      <c r="N13" s="492"/>
      <c r="O13" s="492"/>
      <c r="P13" s="492"/>
      <c r="Q13" s="492"/>
      <c r="R13" s="492"/>
      <c r="S13" s="492"/>
      <c r="T13" s="492"/>
      <c r="U13" s="493"/>
      <c r="V13" s="494"/>
    </row>
    <row r="14" spans="1:22" ht="13.5" customHeight="1" x14ac:dyDescent="0.25">
      <c r="A14" s="492"/>
      <c r="B14" s="492"/>
      <c r="C14" s="492"/>
      <c r="D14" s="492"/>
      <c r="E14" s="492"/>
      <c r="F14" s="492"/>
      <c r="G14" s="492"/>
      <c r="H14" s="492"/>
      <c r="I14" s="492"/>
      <c r="J14" s="492"/>
      <c r="K14" s="492"/>
      <c r="L14" s="492"/>
      <c r="M14" s="492"/>
      <c r="N14" s="492"/>
      <c r="O14" s="492"/>
      <c r="P14" s="492"/>
      <c r="Q14" s="492"/>
      <c r="R14" s="492"/>
      <c r="S14" s="492"/>
      <c r="T14" s="492"/>
      <c r="U14" s="493"/>
      <c r="V14" s="494"/>
    </row>
    <row r="15" spans="1:22" ht="13.5" customHeight="1" x14ac:dyDescent="0.25">
      <c r="A15" s="492" t="s">
        <v>706</v>
      </c>
      <c r="B15" s="492"/>
      <c r="C15" s="492"/>
      <c r="D15" s="492"/>
      <c r="E15" s="492"/>
      <c r="F15" s="492"/>
      <c r="G15" s="492"/>
      <c r="H15" s="492"/>
      <c r="I15" s="492"/>
      <c r="J15" s="492"/>
      <c r="K15" s="492"/>
      <c r="L15" s="492"/>
      <c r="M15" s="492"/>
      <c r="N15" s="492"/>
      <c r="O15" s="492"/>
      <c r="P15" s="492"/>
      <c r="Q15" s="492"/>
      <c r="R15" s="492"/>
      <c r="S15" s="513"/>
      <c r="T15" s="492"/>
      <c r="U15" s="492"/>
      <c r="V15" s="514"/>
    </row>
    <row r="16" spans="1:22" ht="13.5" customHeight="1" x14ac:dyDescent="0.25">
      <c r="A16" s="492"/>
      <c r="B16" s="492"/>
      <c r="C16" s="492"/>
      <c r="D16" s="492"/>
      <c r="E16" s="492"/>
      <c r="F16" s="492"/>
      <c r="G16" s="492"/>
      <c r="H16" s="492"/>
      <c r="I16" s="492"/>
      <c r="J16" s="492"/>
      <c r="K16" s="492"/>
      <c r="L16" s="492"/>
      <c r="M16" s="492"/>
      <c r="N16" s="492"/>
      <c r="O16" s="492"/>
      <c r="P16" s="492"/>
      <c r="Q16" s="492"/>
      <c r="R16" s="492"/>
      <c r="S16" s="492"/>
      <c r="T16" s="492"/>
      <c r="U16" s="493"/>
      <c r="V16" s="494"/>
    </row>
    <row r="17" spans="1:23" ht="13.5" customHeight="1" x14ac:dyDescent="0.25">
      <c r="A17" s="492" t="s">
        <v>707</v>
      </c>
      <c r="B17" s="492"/>
      <c r="C17" s="492"/>
      <c r="D17" s="492"/>
      <c r="E17" s="492"/>
      <c r="F17" s="492"/>
      <c r="G17" s="492"/>
      <c r="H17" s="492"/>
      <c r="I17" s="492"/>
      <c r="J17" s="492"/>
      <c r="K17" s="492"/>
      <c r="L17" s="492"/>
      <c r="M17" s="492"/>
      <c r="N17" s="492"/>
      <c r="O17" s="492"/>
      <c r="P17" s="492"/>
      <c r="Q17" s="492"/>
      <c r="R17" s="492"/>
      <c r="S17" s="492"/>
      <c r="T17" s="492"/>
      <c r="U17" s="493"/>
      <c r="V17" s="494"/>
      <c r="W17" s="495"/>
    </row>
    <row r="18" spans="1:23" ht="13.5" customHeight="1" x14ac:dyDescent="0.25">
      <c r="A18" s="492"/>
      <c r="B18" s="492"/>
      <c r="C18" s="492"/>
      <c r="D18" s="492"/>
      <c r="E18" s="492"/>
      <c r="F18" s="492"/>
      <c r="G18" s="492"/>
      <c r="H18" s="492"/>
      <c r="I18" s="492"/>
      <c r="J18" s="492"/>
      <c r="K18" s="492"/>
      <c r="L18" s="492"/>
      <c r="M18" s="492"/>
      <c r="N18" s="492"/>
      <c r="O18" s="492"/>
      <c r="P18" s="492"/>
      <c r="Q18" s="492"/>
      <c r="R18" s="492"/>
      <c r="S18" s="492"/>
      <c r="T18" s="492"/>
      <c r="U18" s="493"/>
      <c r="V18" s="494"/>
      <c r="W18" s="495"/>
    </row>
    <row r="19" spans="1:23" ht="13.5" customHeight="1" x14ac:dyDescent="0.3">
      <c r="A19" s="515" t="s">
        <v>708</v>
      </c>
      <c r="B19" s="516"/>
      <c r="C19" s="516"/>
      <c r="D19" s="516"/>
      <c r="E19" s="516"/>
      <c r="F19" s="516"/>
      <c r="G19" s="516"/>
      <c r="H19" s="516"/>
      <c r="I19" s="516"/>
      <c r="J19" s="516"/>
      <c r="K19" s="516"/>
      <c r="L19" s="516"/>
      <c r="M19" s="516"/>
      <c r="N19" s="516"/>
      <c r="O19" s="516"/>
      <c r="P19" s="516"/>
      <c r="Q19" s="516"/>
      <c r="R19" s="516"/>
      <c r="S19" s="516"/>
      <c r="T19" s="516"/>
      <c r="U19" s="517"/>
      <c r="V19" s="518"/>
      <c r="W19" s="495"/>
    </row>
    <row r="20" spans="1:23" ht="13.5" customHeight="1" x14ac:dyDescent="0.3">
      <c r="A20" s="515"/>
      <c r="B20" s="516"/>
      <c r="C20" s="516"/>
      <c r="D20" s="516"/>
      <c r="E20" s="516"/>
      <c r="F20" s="516"/>
      <c r="G20" s="516"/>
      <c r="H20" s="516"/>
      <c r="I20" s="516"/>
      <c r="J20" s="516"/>
      <c r="K20" s="516"/>
      <c r="L20" s="516"/>
      <c r="M20" s="516"/>
      <c r="N20" s="516"/>
      <c r="O20" s="516"/>
      <c r="P20" s="516"/>
      <c r="Q20" s="516"/>
      <c r="R20" s="516"/>
      <c r="S20" s="516"/>
      <c r="T20" s="516" t="s">
        <v>709</v>
      </c>
      <c r="U20" s="517"/>
      <c r="V20" s="519"/>
      <c r="W20" s="495"/>
    </row>
    <row r="21" spans="1:23" ht="26.4" x14ac:dyDescent="0.25">
      <c r="A21" s="844" t="s">
        <v>710</v>
      </c>
      <c r="B21" s="835"/>
      <c r="C21" s="835"/>
      <c r="D21" s="835"/>
      <c r="E21" s="835"/>
      <c r="F21" s="835"/>
      <c r="G21" s="835"/>
      <c r="H21" s="835"/>
      <c r="I21" s="835"/>
      <c r="J21" s="835"/>
      <c r="K21" s="835"/>
      <c r="L21" s="835"/>
      <c r="M21" s="835"/>
      <c r="N21" s="835"/>
      <c r="O21" s="835"/>
      <c r="P21" s="835"/>
      <c r="Q21" s="835"/>
      <c r="R21" s="835"/>
      <c r="S21" s="835"/>
      <c r="T21" s="730"/>
      <c r="U21" s="520" t="s">
        <v>711</v>
      </c>
      <c r="V21" s="521" t="s">
        <v>712</v>
      </c>
      <c r="W21" s="522"/>
    </row>
    <row r="22" spans="1:23" ht="13.5" customHeight="1" x14ac:dyDescent="0.25">
      <c r="A22" s="820" t="s">
        <v>713</v>
      </c>
      <c r="B22" s="835"/>
      <c r="C22" s="835"/>
      <c r="D22" s="835"/>
      <c r="E22" s="835"/>
      <c r="F22" s="835"/>
      <c r="G22" s="835"/>
      <c r="H22" s="835"/>
      <c r="I22" s="835"/>
      <c r="J22" s="835"/>
      <c r="K22" s="835"/>
      <c r="L22" s="835"/>
      <c r="M22" s="835"/>
      <c r="N22" s="835"/>
      <c r="O22" s="835"/>
      <c r="P22" s="835"/>
      <c r="Q22" s="835"/>
      <c r="R22" s="835"/>
      <c r="S22" s="835"/>
      <c r="T22" s="730"/>
      <c r="U22" s="523">
        <v>1</v>
      </c>
      <c r="V22" s="524">
        <f>SUM(V23:V37)</f>
        <v>6500000</v>
      </c>
      <c r="W22" s="525"/>
    </row>
    <row r="23" spans="1:23" ht="12.75" customHeight="1" x14ac:dyDescent="0.25">
      <c r="A23" s="811" t="s">
        <v>714</v>
      </c>
      <c r="B23" s="812"/>
      <c r="C23" s="834" t="s">
        <v>715</v>
      </c>
      <c r="D23" s="835"/>
      <c r="E23" s="835"/>
      <c r="F23" s="835"/>
      <c r="G23" s="835"/>
      <c r="H23" s="835"/>
      <c r="I23" s="835"/>
      <c r="J23" s="835"/>
      <c r="K23" s="835"/>
      <c r="L23" s="835"/>
      <c r="M23" s="835"/>
      <c r="N23" s="835"/>
      <c r="O23" s="835"/>
      <c r="P23" s="835"/>
      <c r="Q23" s="835"/>
      <c r="R23" s="835"/>
      <c r="S23" s="835"/>
      <c r="T23" s="730"/>
      <c r="U23" s="523">
        <v>2</v>
      </c>
      <c r="V23" s="526"/>
      <c r="W23" s="522"/>
    </row>
    <row r="24" spans="1:23" ht="25.2" customHeight="1" x14ac:dyDescent="0.25">
      <c r="A24" s="813"/>
      <c r="B24" s="814"/>
      <c r="C24" s="838" t="s">
        <v>716</v>
      </c>
      <c r="D24" s="830"/>
      <c r="E24" s="830"/>
      <c r="F24" s="830"/>
      <c r="G24" s="830"/>
      <c r="H24" s="830"/>
      <c r="I24" s="830"/>
      <c r="J24" s="830"/>
      <c r="K24" s="830"/>
      <c r="L24" s="830"/>
      <c r="M24" s="830"/>
      <c r="N24" s="830"/>
      <c r="O24" s="830"/>
      <c r="P24" s="830"/>
      <c r="Q24" s="830"/>
      <c r="R24" s="830"/>
      <c r="S24" s="830"/>
      <c r="T24" s="831"/>
      <c r="U24" s="523">
        <v>3</v>
      </c>
      <c r="V24" s="527">
        <f>$V$61</f>
        <v>0</v>
      </c>
      <c r="W24" s="522"/>
    </row>
    <row r="25" spans="1:23" ht="27" customHeight="1" x14ac:dyDescent="0.25">
      <c r="A25" s="813"/>
      <c r="B25" s="814"/>
      <c r="C25" s="838" t="s">
        <v>717</v>
      </c>
      <c r="D25" s="830"/>
      <c r="E25" s="830"/>
      <c r="F25" s="830"/>
      <c r="G25" s="830"/>
      <c r="H25" s="830"/>
      <c r="I25" s="830"/>
      <c r="J25" s="830"/>
      <c r="K25" s="830"/>
      <c r="L25" s="830"/>
      <c r="M25" s="830"/>
      <c r="N25" s="830"/>
      <c r="O25" s="830"/>
      <c r="P25" s="830"/>
      <c r="Q25" s="830"/>
      <c r="R25" s="830"/>
      <c r="S25" s="830"/>
      <c r="T25" s="831"/>
      <c r="U25" s="523">
        <v>4</v>
      </c>
      <c r="V25" s="527">
        <f>'Зөрүүгийн тайлан'!$D$24</f>
        <v>0</v>
      </c>
      <c r="W25" s="522"/>
    </row>
    <row r="26" spans="1:23" ht="25.95" customHeight="1" x14ac:dyDescent="0.25">
      <c r="A26" s="813"/>
      <c r="B26" s="814"/>
      <c r="C26" s="838" t="s">
        <v>718</v>
      </c>
      <c r="D26" s="830"/>
      <c r="E26" s="830"/>
      <c r="F26" s="830"/>
      <c r="G26" s="830"/>
      <c r="H26" s="830"/>
      <c r="I26" s="830"/>
      <c r="J26" s="830"/>
      <c r="K26" s="830"/>
      <c r="L26" s="830"/>
      <c r="M26" s="830"/>
      <c r="N26" s="830"/>
      <c r="O26" s="830"/>
      <c r="P26" s="830"/>
      <c r="Q26" s="830"/>
      <c r="R26" s="830"/>
      <c r="S26" s="830"/>
      <c r="T26" s="831"/>
      <c r="U26" s="523">
        <v>5</v>
      </c>
      <c r="V26" s="527">
        <f>'Зөрүүгийн тайлан'!$D$24</f>
        <v>0</v>
      </c>
      <c r="W26" s="522"/>
    </row>
    <row r="27" spans="1:23" ht="12.75" customHeight="1" x14ac:dyDescent="0.25">
      <c r="A27" s="813"/>
      <c r="B27" s="814"/>
      <c r="C27" s="811" t="s">
        <v>714</v>
      </c>
      <c r="D27" s="824"/>
      <c r="E27" s="834" t="s">
        <v>719</v>
      </c>
      <c r="F27" s="835"/>
      <c r="G27" s="835"/>
      <c r="H27" s="835"/>
      <c r="I27" s="835"/>
      <c r="J27" s="835"/>
      <c r="K27" s="835"/>
      <c r="L27" s="835"/>
      <c r="M27" s="835"/>
      <c r="N27" s="835"/>
      <c r="O27" s="835"/>
      <c r="P27" s="835"/>
      <c r="Q27" s="835"/>
      <c r="R27" s="835"/>
      <c r="S27" s="835"/>
      <c r="T27" s="730"/>
      <c r="U27" s="523">
        <v>6</v>
      </c>
      <c r="V27" s="527">
        <f>SUMIF(TB!$R:$R,ААНОАТ!$U27,TB!$L:$L)</f>
        <v>0</v>
      </c>
      <c r="W27" s="522"/>
    </row>
    <row r="28" spans="1:23" ht="13.5" customHeight="1" x14ac:dyDescent="0.25">
      <c r="A28" s="813"/>
      <c r="B28" s="814"/>
      <c r="C28" s="825"/>
      <c r="D28" s="826"/>
      <c r="E28" s="834" t="s">
        <v>720</v>
      </c>
      <c r="F28" s="835"/>
      <c r="G28" s="835"/>
      <c r="H28" s="835"/>
      <c r="I28" s="835"/>
      <c r="J28" s="835"/>
      <c r="K28" s="835"/>
      <c r="L28" s="835"/>
      <c r="M28" s="835"/>
      <c r="N28" s="835"/>
      <c r="O28" s="835"/>
      <c r="P28" s="835"/>
      <c r="Q28" s="835"/>
      <c r="R28" s="835"/>
      <c r="S28" s="835"/>
      <c r="T28" s="730"/>
      <c r="U28" s="523">
        <v>7</v>
      </c>
      <c r="V28" s="527">
        <f>SUMIF(TB!$R:$R,ААНОАТ!$U28,TB!$L:$L)</f>
        <v>5000000</v>
      </c>
      <c r="W28" s="528"/>
    </row>
    <row r="29" spans="1:23" ht="13.5" customHeight="1" x14ac:dyDescent="0.25">
      <c r="A29" s="813"/>
      <c r="B29" s="814"/>
      <c r="C29" s="825"/>
      <c r="D29" s="826"/>
      <c r="E29" s="834" t="s">
        <v>721</v>
      </c>
      <c r="F29" s="835"/>
      <c r="G29" s="835"/>
      <c r="H29" s="835"/>
      <c r="I29" s="835"/>
      <c r="J29" s="835"/>
      <c r="K29" s="835"/>
      <c r="L29" s="835"/>
      <c r="M29" s="835"/>
      <c r="N29" s="835"/>
      <c r="O29" s="835"/>
      <c r="P29" s="835"/>
      <c r="Q29" s="835"/>
      <c r="R29" s="835"/>
      <c r="S29" s="835"/>
      <c r="T29" s="730"/>
      <c r="U29" s="523">
        <v>8</v>
      </c>
      <c r="V29" s="527"/>
      <c r="W29" s="528"/>
    </row>
    <row r="30" spans="1:23" ht="13.5" customHeight="1" x14ac:dyDescent="0.25">
      <c r="A30" s="813"/>
      <c r="B30" s="814"/>
      <c r="C30" s="825"/>
      <c r="D30" s="826"/>
      <c r="E30" s="834" t="s">
        <v>722</v>
      </c>
      <c r="F30" s="835"/>
      <c r="G30" s="835"/>
      <c r="H30" s="835"/>
      <c r="I30" s="835"/>
      <c r="J30" s="835"/>
      <c r="K30" s="835"/>
      <c r="L30" s="835"/>
      <c r="M30" s="835"/>
      <c r="N30" s="835"/>
      <c r="O30" s="835"/>
      <c r="P30" s="835"/>
      <c r="Q30" s="835"/>
      <c r="R30" s="835"/>
      <c r="S30" s="835"/>
      <c r="T30" s="730"/>
      <c r="U30" s="523">
        <v>9</v>
      </c>
      <c r="V30" s="527">
        <f>IS!$D$12</f>
        <v>1500000</v>
      </c>
      <c r="W30" s="525"/>
    </row>
    <row r="31" spans="1:23" ht="13.5" customHeight="1" x14ac:dyDescent="0.25">
      <c r="A31" s="813"/>
      <c r="B31" s="814"/>
      <c r="C31" s="825"/>
      <c r="D31" s="826"/>
      <c r="E31" s="834" t="s">
        <v>723</v>
      </c>
      <c r="F31" s="835"/>
      <c r="G31" s="835"/>
      <c r="H31" s="835"/>
      <c r="I31" s="835"/>
      <c r="J31" s="835"/>
      <c r="K31" s="835"/>
      <c r="L31" s="835"/>
      <c r="M31" s="835"/>
      <c r="N31" s="835"/>
      <c r="O31" s="835"/>
      <c r="P31" s="835"/>
      <c r="Q31" s="835"/>
      <c r="R31" s="835"/>
      <c r="S31" s="835"/>
      <c r="T31" s="730"/>
      <c r="U31" s="523">
        <v>10</v>
      </c>
      <c r="V31" s="527">
        <f>SUMIF(TB!$R:$R,ААНОАТ!$U31,TB!$L:$L)</f>
        <v>0</v>
      </c>
      <c r="W31" s="495"/>
    </row>
    <row r="32" spans="1:23" ht="26.4" customHeight="1" x14ac:dyDescent="0.25">
      <c r="A32" s="813"/>
      <c r="B32" s="814"/>
      <c r="C32" s="825"/>
      <c r="D32" s="826"/>
      <c r="E32" s="829" t="s">
        <v>724</v>
      </c>
      <c r="F32" s="835"/>
      <c r="G32" s="835"/>
      <c r="H32" s="835"/>
      <c r="I32" s="835"/>
      <c r="J32" s="835"/>
      <c r="K32" s="835"/>
      <c r="L32" s="835"/>
      <c r="M32" s="835"/>
      <c r="N32" s="835"/>
      <c r="O32" s="835"/>
      <c r="P32" s="835"/>
      <c r="Q32" s="835"/>
      <c r="R32" s="835"/>
      <c r="S32" s="835"/>
      <c r="T32" s="730"/>
      <c r="U32" s="523">
        <v>11</v>
      </c>
      <c r="V32" s="527">
        <f>SUMIF(TB!$R:$R,ААНОАТ!$U32,TB!$L:$L)</f>
        <v>0</v>
      </c>
      <c r="W32" s="525"/>
    </row>
    <row r="33" spans="1:23" ht="26.4" customHeight="1" x14ac:dyDescent="0.25">
      <c r="A33" s="813"/>
      <c r="B33" s="814"/>
      <c r="C33" s="825"/>
      <c r="D33" s="826"/>
      <c r="E33" s="829" t="s">
        <v>725</v>
      </c>
      <c r="F33" s="830"/>
      <c r="G33" s="830"/>
      <c r="H33" s="830"/>
      <c r="I33" s="830"/>
      <c r="J33" s="830"/>
      <c r="K33" s="830"/>
      <c r="L33" s="830"/>
      <c r="M33" s="830"/>
      <c r="N33" s="830"/>
      <c r="O33" s="830"/>
      <c r="P33" s="830"/>
      <c r="Q33" s="830"/>
      <c r="R33" s="830"/>
      <c r="S33" s="830"/>
      <c r="T33" s="831"/>
      <c r="U33" s="523">
        <v>12</v>
      </c>
      <c r="V33" s="527">
        <f>SUMIF(TB!$R:$R,ААНОАТ!$U33,TB!$L:$L)</f>
        <v>0</v>
      </c>
      <c r="W33" s="525"/>
    </row>
    <row r="34" spans="1:23" ht="13.5" customHeight="1" x14ac:dyDescent="0.25">
      <c r="A34" s="813"/>
      <c r="B34" s="814"/>
      <c r="C34" s="825"/>
      <c r="D34" s="826"/>
      <c r="E34" s="845" t="s">
        <v>726</v>
      </c>
      <c r="F34" s="846"/>
      <c r="G34" s="846"/>
      <c r="H34" s="846"/>
      <c r="I34" s="846"/>
      <c r="J34" s="846"/>
      <c r="K34" s="846"/>
      <c r="L34" s="846"/>
      <c r="M34" s="846"/>
      <c r="N34" s="846"/>
      <c r="O34" s="846"/>
      <c r="P34" s="846"/>
      <c r="Q34" s="846"/>
      <c r="R34" s="846"/>
      <c r="S34" s="846"/>
      <c r="T34" s="828"/>
      <c r="U34" s="523">
        <v>13</v>
      </c>
      <c r="V34" s="527">
        <f>SUMIF(TB!$R:$R,ААНОАТ!$U34,TB!$L:$L)</f>
        <v>0</v>
      </c>
      <c r="W34" s="529"/>
    </row>
    <row r="35" spans="1:23" ht="26.4" customHeight="1" x14ac:dyDescent="0.25">
      <c r="A35" s="813"/>
      <c r="B35" s="814"/>
      <c r="C35" s="825"/>
      <c r="D35" s="826"/>
      <c r="E35" s="847" t="s">
        <v>727</v>
      </c>
      <c r="F35" s="848"/>
      <c r="G35" s="848"/>
      <c r="H35" s="848"/>
      <c r="I35" s="848"/>
      <c r="J35" s="848"/>
      <c r="K35" s="848"/>
      <c r="L35" s="848"/>
      <c r="M35" s="848"/>
      <c r="N35" s="848"/>
      <c r="O35" s="848"/>
      <c r="P35" s="848"/>
      <c r="Q35" s="848"/>
      <c r="R35" s="848"/>
      <c r="S35" s="848"/>
      <c r="T35" s="849"/>
      <c r="U35" s="523">
        <v>14</v>
      </c>
      <c r="V35" s="527">
        <f>SUMIF(TB!$R:$R,ААНОАТ!$U35,TB!$L:$L)</f>
        <v>0</v>
      </c>
      <c r="W35" s="525"/>
    </row>
    <row r="36" spans="1:23" ht="13.8" x14ac:dyDescent="0.25">
      <c r="A36" s="813"/>
      <c r="B36" s="814"/>
      <c r="C36" s="825"/>
      <c r="D36" s="826"/>
      <c r="E36" s="845" t="s">
        <v>728</v>
      </c>
      <c r="F36" s="846"/>
      <c r="G36" s="846"/>
      <c r="H36" s="846"/>
      <c r="I36" s="846"/>
      <c r="J36" s="846"/>
      <c r="K36" s="846"/>
      <c r="L36" s="846"/>
      <c r="M36" s="846"/>
      <c r="N36" s="846"/>
      <c r="O36" s="846"/>
      <c r="P36" s="846"/>
      <c r="Q36" s="846"/>
      <c r="R36" s="846"/>
      <c r="S36" s="846"/>
      <c r="T36" s="828"/>
      <c r="U36" s="523">
        <v>15</v>
      </c>
      <c r="V36" s="527"/>
      <c r="W36" s="525"/>
    </row>
    <row r="37" spans="1:23" ht="12.75" customHeight="1" x14ac:dyDescent="0.25">
      <c r="A37" s="813"/>
      <c r="B37" s="814"/>
      <c r="C37" s="827"/>
      <c r="D37" s="828"/>
      <c r="E37" s="845" t="s">
        <v>729</v>
      </c>
      <c r="F37" s="846"/>
      <c r="G37" s="846"/>
      <c r="H37" s="846"/>
      <c r="I37" s="846"/>
      <c r="J37" s="846"/>
      <c r="K37" s="846"/>
      <c r="L37" s="846"/>
      <c r="M37" s="846"/>
      <c r="N37" s="846"/>
      <c r="O37" s="846"/>
      <c r="P37" s="846"/>
      <c r="Q37" s="846"/>
      <c r="R37" s="846"/>
      <c r="S37" s="846"/>
      <c r="T37" s="828"/>
      <c r="U37" s="523">
        <v>16</v>
      </c>
      <c r="V37" s="530">
        <f>IS!D16</f>
        <v>0</v>
      </c>
      <c r="W37" s="525"/>
    </row>
    <row r="38" spans="1:23" s="395" customFormat="1" ht="13.5" customHeight="1" x14ac:dyDescent="0.25">
      <c r="A38" s="820" t="s">
        <v>730</v>
      </c>
      <c r="B38" s="821"/>
      <c r="C38" s="821"/>
      <c r="D38" s="821"/>
      <c r="E38" s="821"/>
      <c r="F38" s="821"/>
      <c r="G38" s="821"/>
      <c r="H38" s="821"/>
      <c r="I38" s="821"/>
      <c r="J38" s="821"/>
      <c r="K38" s="821"/>
      <c r="L38" s="821"/>
      <c r="M38" s="821"/>
      <c r="N38" s="821"/>
      <c r="O38" s="821"/>
      <c r="P38" s="821"/>
      <c r="Q38" s="821"/>
      <c r="R38" s="821"/>
      <c r="S38" s="821"/>
      <c r="T38" s="822"/>
      <c r="U38" s="531">
        <v>17</v>
      </c>
      <c r="V38" s="532">
        <f>SUM(V39:V41)</f>
        <v>0</v>
      </c>
      <c r="W38" s="533"/>
    </row>
    <row r="39" spans="1:23" ht="13.5" customHeight="1" x14ac:dyDescent="0.25">
      <c r="B39" s="817" t="s">
        <v>731</v>
      </c>
      <c r="C39" s="818"/>
      <c r="D39" s="818"/>
      <c r="E39" s="818"/>
      <c r="F39" s="818"/>
      <c r="G39" s="818"/>
      <c r="H39" s="818"/>
      <c r="I39" s="818"/>
      <c r="J39" s="818"/>
      <c r="K39" s="818"/>
      <c r="L39" s="818"/>
      <c r="M39" s="818"/>
      <c r="N39" s="818"/>
      <c r="O39" s="818"/>
      <c r="P39" s="818"/>
      <c r="Q39" s="818"/>
      <c r="R39" s="818"/>
      <c r="S39" s="818"/>
      <c r="T39" s="819"/>
      <c r="U39" s="523">
        <v>18</v>
      </c>
      <c r="V39" s="534">
        <f>TB!$K$66</f>
        <v>0</v>
      </c>
      <c r="W39" s="528"/>
    </row>
    <row r="40" spans="1:23" ht="13.5" customHeight="1" x14ac:dyDescent="0.25">
      <c r="B40" s="817" t="s">
        <v>732</v>
      </c>
      <c r="C40" s="818"/>
      <c r="D40" s="818"/>
      <c r="E40" s="818"/>
      <c r="F40" s="818"/>
      <c r="G40" s="818"/>
      <c r="H40" s="818"/>
      <c r="I40" s="818"/>
      <c r="J40" s="818"/>
      <c r="K40" s="818"/>
      <c r="L40" s="818"/>
      <c r="M40" s="818"/>
      <c r="N40" s="818"/>
      <c r="O40" s="818"/>
      <c r="P40" s="818"/>
      <c r="Q40" s="818"/>
      <c r="R40" s="818"/>
      <c r="S40" s="818"/>
      <c r="T40" s="819"/>
      <c r="U40" s="523">
        <v>19</v>
      </c>
      <c r="V40" s="526">
        <f>IS!D17+IS!D18+IS!D19</f>
        <v>0</v>
      </c>
      <c r="W40" s="525"/>
    </row>
    <row r="41" spans="1:23" ht="12.75" customHeight="1" x14ac:dyDescent="0.25">
      <c r="B41" s="879" t="s">
        <v>733</v>
      </c>
      <c r="C41" s="880"/>
      <c r="D41" s="880"/>
      <c r="E41" s="880"/>
      <c r="F41" s="880"/>
      <c r="G41" s="880"/>
      <c r="H41" s="880"/>
      <c r="I41" s="880"/>
      <c r="J41" s="880"/>
      <c r="K41" s="880"/>
      <c r="L41" s="880"/>
      <c r="M41" s="880"/>
      <c r="N41" s="880"/>
      <c r="O41" s="880"/>
      <c r="P41" s="880"/>
      <c r="Q41" s="880"/>
      <c r="R41" s="880"/>
      <c r="S41" s="880"/>
      <c r="T41" s="881"/>
      <c r="U41" s="531">
        <v>20</v>
      </c>
      <c r="V41" s="535">
        <f>'Зардлын задаргаа'!V67</f>
        <v>0</v>
      </c>
    </row>
    <row r="42" spans="1:23" s="395" customFormat="1" ht="12.75" customHeight="1" x14ac:dyDescent="0.25">
      <c r="A42" s="536">
        <v>3</v>
      </c>
      <c r="B42" s="815" t="s">
        <v>734</v>
      </c>
      <c r="C42" s="816"/>
      <c r="D42" s="816"/>
      <c r="E42" s="816"/>
      <c r="F42" s="816"/>
      <c r="G42" s="816"/>
      <c r="H42" s="816"/>
      <c r="I42" s="816"/>
      <c r="J42" s="816"/>
      <c r="K42" s="816"/>
      <c r="L42" s="816"/>
      <c r="M42" s="816"/>
      <c r="N42" s="816"/>
      <c r="O42" s="816"/>
      <c r="P42" s="816"/>
      <c r="Q42" s="816"/>
      <c r="R42" s="816"/>
      <c r="S42" s="816"/>
      <c r="T42" s="816"/>
      <c r="U42" s="531">
        <v>21</v>
      </c>
      <c r="V42" s="535">
        <f>V22-V38</f>
        <v>6500000</v>
      </c>
      <c r="W42" s="537">
        <f>V42-IS!D26</f>
        <v>-60000</v>
      </c>
    </row>
    <row r="43" spans="1:23" ht="13.95" customHeight="1" x14ac:dyDescent="0.25">
      <c r="A43" s="536">
        <v>4</v>
      </c>
      <c r="B43" s="882" t="s">
        <v>735</v>
      </c>
      <c r="C43" s="882"/>
      <c r="D43" s="882"/>
      <c r="E43" s="882"/>
      <c r="F43" s="882"/>
      <c r="G43" s="882"/>
      <c r="H43" s="882"/>
      <c r="I43" s="882"/>
      <c r="J43" s="882"/>
      <c r="K43" s="882"/>
      <c r="L43" s="882"/>
      <c r="M43" s="882"/>
      <c r="N43" s="882"/>
      <c r="O43" s="882"/>
      <c r="P43" s="882"/>
      <c r="Q43" s="882"/>
      <c r="R43" s="882"/>
      <c r="S43" s="882"/>
      <c r="T43" s="883"/>
      <c r="U43" s="523">
        <v>22</v>
      </c>
      <c r="V43" s="535">
        <f>'Зөрүүгийн тайлан'!D9+'Зөрүүгийн тайлан'!D18</f>
        <v>0</v>
      </c>
      <c r="W43" s="528"/>
    </row>
    <row r="44" spans="1:23" ht="13.95" customHeight="1" x14ac:dyDescent="0.25">
      <c r="A44" s="536">
        <v>5</v>
      </c>
      <c r="B44" s="818" t="s">
        <v>736</v>
      </c>
      <c r="C44" s="818"/>
      <c r="D44" s="818"/>
      <c r="E44" s="818"/>
      <c r="F44" s="818"/>
      <c r="G44" s="818"/>
      <c r="H44" s="818"/>
      <c r="I44" s="818"/>
      <c r="J44" s="818"/>
      <c r="K44" s="818"/>
      <c r="L44" s="818"/>
      <c r="M44" s="818"/>
      <c r="N44" s="818"/>
      <c r="O44" s="818"/>
      <c r="P44" s="818"/>
      <c r="Q44" s="818"/>
      <c r="R44" s="818"/>
      <c r="S44" s="818"/>
      <c r="T44" s="819"/>
      <c r="U44" s="523">
        <v>23</v>
      </c>
      <c r="V44" s="535">
        <f>'Зөрүүгийн тайлан'!D12+'Зөрүүгийн тайлан'!D22</f>
        <v>60000</v>
      </c>
      <c r="W44" s="528"/>
    </row>
    <row r="45" spans="1:23" ht="13.5" customHeight="1" x14ac:dyDescent="0.25">
      <c r="A45" s="536">
        <v>6</v>
      </c>
      <c r="B45" s="818" t="s">
        <v>737</v>
      </c>
      <c r="C45" s="818"/>
      <c r="D45" s="818"/>
      <c r="E45" s="818"/>
      <c r="F45" s="818"/>
      <c r="G45" s="818"/>
      <c r="H45" s="818"/>
      <c r="I45" s="818"/>
      <c r="J45" s="818"/>
      <c r="K45" s="818"/>
      <c r="L45" s="818"/>
      <c r="M45" s="818"/>
      <c r="N45" s="818"/>
      <c r="O45" s="818"/>
      <c r="P45" s="818"/>
      <c r="Q45" s="818"/>
      <c r="R45" s="818"/>
      <c r="S45" s="818"/>
      <c r="T45" s="819"/>
      <c r="U45" s="523">
        <v>24</v>
      </c>
      <c r="V45" s="535">
        <f>+V41+V43-V44</f>
        <v>-60000</v>
      </c>
      <c r="W45" s="528"/>
    </row>
    <row r="46" spans="1:23" ht="13.95" customHeight="1" x14ac:dyDescent="0.25">
      <c r="A46" s="536">
        <v>7</v>
      </c>
      <c r="B46" s="818" t="s">
        <v>738</v>
      </c>
      <c r="C46" s="818"/>
      <c r="D46" s="818"/>
      <c r="E46" s="818"/>
      <c r="F46" s="818"/>
      <c r="G46" s="818"/>
      <c r="H46" s="818"/>
      <c r="I46" s="818"/>
      <c r="J46" s="818"/>
      <c r="K46" s="818"/>
      <c r="L46" s="818"/>
      <c r="M46" s="818"/>
      <c r="N46" s="818"/>
      <c r="O46" s="818"/>
      <c r="P46" s="818"/>
      <c r="Q46" s="818"/>
      <c r="R46" s="818"/>
      <c r="S46" s="818"/>
      <c r="T46" s="819"/>
      <c r="U46" s="523">
        <v>25</v>
      </c>
      <c r="V46" s="535"/>
      <c r="W46" s="528"/>
    </row>
    <row r="47" spans="1:23" ht="13.5" customHeight="1" x14ac:dyDescent="0.25">
      <c r="A47" s="536">
        <v>8</v>
      </c>
      <c r="B47" s="818" t="s">
        <v>739</v>
      </c>
      <c r="C47" s="818"/>
      <c r="D47" s="818"/>
      <c r="E47" s="818"/>
      <c r="F47" s="818"/>
      <c r="G47" s="818"/>
      <c r="H47" s="818"/>
      <c r="I47" s="818"/>
      <c r="J47" s="818"/>
      <c r="K47" s="818"/>
      <c r="L47" s="818"/>
      <c r="M47" s="818"/>
      <c r="N47" s="818"/>
      <c r="O47" s="818"/>
      <c r="P47" s="818"/>
      <c r="Q47" s="818"/>
      <c r="R47" s="818"/>
      <c r="S47" s="818"/>
      <c r="T47" s="819"/>
      <c r="U47" s="523">
        <v>26</v>
      </c>
      <c r="V47" s="535">
        <f>V45+V46</f>
        <v>-60000</v>
      </c>
      <c r="W47" s="528"/>
    </row>
    <row r="48" spans="1:23" ht="24" customHeight="1" x14ac:dyDescent="0.25">
      <c r="A48" s="536">
        <v>9</v>
      </c>
      <c r="B48" s="818" t="s">
        <v>740</v>
      </c>
      <c r="C48" s="818"/>
      <c r="D48" s="818"/>
      <c r="E48" s="818"/>
      <c r="F48" s="818"/>
      <c r="G48" s="818"/>
      <c r="H48" s="818"/>
      <c r="I48" s="818"/>
      <c r="J48" s="818"/>
      <c r="K48" s="818"/>
      <c r="L48" s="818"/>
      <c r="M48" s="818"/>
      <c r="N48" s="818"/>
      <c r="O48" s="818"/>
      <c r="P48" s="818"/>
      <c r="Q48" s="818"/>
      <c r="R48" s="818"/>
      <c r="S48" s="818"/>
      <c r="T48" s="819"/>
      <c r="U48" s="523">
        <v>27</v>
      </c>
      <c r="V48" s="535"/>
      <c r="W48" s="528"/>
    </row>
    <row r="49" spans="1:23" ht="13.5" customHeight="1" x14ac:dyDescent="0.25">
      <c r="A49" s="536">
        <v>10</v>
      </c>
      <c r="B49" s="818" t="s">
        <v>741</v>
      </c>
      <c r="C49" s="818"/>
      <c r="D49" s="818"/>
      <c r="E49" s="818"/>
      <c r="F49" s="818"/>
      <c r="G49" s="818"/>
      <c r="H49" s="818"/>
      <c r="I49" s="818"/>
      <c r="J49" s="818"/>
      <c r="K49" s="818"/>
      <c r="L49" s="818"/>
      <c r="M49" s="818"/>
      <c r="N49" s="818"/>
      <c r="O49" s="818"/>
      <c r="P49" s="818"/>
      <c r="Q49" s="818"/>
      <c r="R49" s="818"/>
      <c r="S49" s="818"/>
      <c r="T49" s="819"/>
      <c r="U49" s="523">
        <v>28</v>
      </c>
      <c r="V49" s="535">
        <f>V47-V48</f>
        <v>-60000</v>
      </c>
      <c r="W49" s="522"/>
    </row>
    <row r="50" spans="1:23" ht="25.95" customHeight="1" x14ac:dyDescent="0.25">
      <c r="A50" s="536">
        <v>11</v>
      </c>
      <c r="B50" s="818" t="s">
        <v>742</v>
      </c>
      <c r="C50" s="818"/>
      <c r="D50" s="818"/>
      <c r="E50" s="818"/>
      <c r="F50" s="818"/>
      <c r="G50" s="818"/>
      <c r="H50" s="818"/>
      <c r="I50" s="818"/>
      <c r="J50" s="818"/>
      <c r="K50" s="818"/>
      <c r="L50" s="818"/>
      <c r="M50" s="818"/>
      <c r="N50" s="818"/>
      <c r="O50" s="818"/>
      <c r="P50" s="818"/>
      <c r="Q50" s="818"/>
      <c r="R50" s="818"/>
      <c r="S50" s="818"/>
      <c r="T50" s="819"/>
      <c r="U50" s="523">
        <v>29</v>
      </c>
      <c r="V50" s="535">
        <f>'Зөрүүгийн тайлан'!$D$36</f>
        <v>65000</v>
      </c>
      <c r="W50" s="522"/>
    </row>
    <row r="51" spans="1:23" ht="13.5" customHeight="1" x14ac:dyDescent="0.25">
      <c r="A51" s="536">
        <v>12</v>
      </c>
      <c r="B51" s="884" t="s">
        <v>743</v>
      </c>
      <c r="C51" s="884"/>
      <c r="D51" s="884"/>
      <c r="E51" s="884"/>
      <c r="F51" s="884"/>
      <c r="G51" s="884"/>
      <c r="H51" s="884"/>
      <c r="I51" s="884"/>
      <c r="J51" s="884"/>
      <c r="K51" s="884"/>
      <c r="L51" s="884"/>
      <c r="M51" s="884"/>
      <c r="N51" s="884"/>
      <c r="O51" s="884"/>
      <c r="P51" s="884"/>
      <c r="Q51" s="884"/>
      <c r="R51" s="884"/>
      <c r="S51" s="884"/>
      <c r="T51" s="885"/>
      <c r="U51" s="523">
        <v>30</v>
      </c>
      <c r="V51" s="535"/>
      <c r="W51" s="528"/>
    </row>
    <row r="52" spans="1:23" ht="13.5" customHeight="1" x14ac:dyDescent="0.25">
      <c r="A52" s="836" t="s">
        <v>744</v>
      </c>
      <c r="B52" s="835"/>
      <c r="C52" s="835"/>
      <c r="D52" s="835"/>
      <c r="E52" s="835"/>
      <c r="F52" s="835"/>
      <c r="G52" s="835"/>
      <c r="H52" s="835"/>
      <c r="I52" s="835"/>
      <c r="J52" s="835"/>
      <c r="K52" s="835"/>
      <c r="L52" s="835"/>
      <c r="M52" s="835"/>
      <c r="N52" s="835"/>
      <c r="O52" s="835"/>
      <c r="P52" s="835"/>
      <c r="Q52" s="835"/>
      <c r="R52" s="835"/>
      <c r="S52" s="835"/>
      <c r="T52" s="730"/>
      <c r="U52" s="523">
        <v>31</v>
      </c>
      <c r="V52" s="535">
        <f>V50-V51</f>
        <v>65000</v>
      </c>
      <c r="W52" s="495"/>
    </row>
    <row r="53" spans="1:23" ht="13.5" customHeight="1" x14ac:dyDescent="0.25">
      <c r="A53" s="538"/>
      <c r="B53" s="538"/>
      <c r="C53" s="538"/>
      <c r="D53" s="538"/>
      <c r="E53" s="538"/>
      <c r="F53" s="538"/>
      <c r="G53" s="538"/>
      <c r="H53" s="538"/>
      <c r="I53" s="538"/>
      <c r="J53" s="538"/>
      <c r="K53" s="538"/>
      <c r="L53" s="538"/>
      <c r="M53" s="538"/>
      <c r="N53" s="538"/>
      <c r="O53" s="538"/>
      <c r="P53" s="538"/>
      <c r="Q53" s="538"/>
      <c r="R53" s="538"/>
      <c r="S53" s="538"/>
      <c r="T53" s="538"/>
      <c r="U53" s="539"/>
      <c r="V53" s="540"/>
      <c r="W53" s="495"/>
    </row>
    <row r="54" spans="1:23" ht="13.5" customHeight="1" x14ac:dyDescent="0.35">
      <c r="A54" s="515" t="s">
        <v>745</v>
      </c>
      <c r="B54" s="541"/>
      <c r="C54" s="541"/>
      <c r="D54" s="541"/>
      <c r="E54" s="541"/>
      <c r="F54" s="541"/>
      <c r="G54" s="541"/>
      <c r="H54" s="541"/>
      <c r="I54" s="541"/>
      <c r="J54" s="541"/>
      <c r="K54" s="541"/>
      <c r="L54" s="541"/>
      <c r="M54" s="541"/>
      <c r="N54" s="541"/>
      <c r="O54" s="541"/>
      <c r="P54" s="541"/>
      <c r="Q54" s="541"/>
      <c r="R54" s="541"/>
      <c r="S54" s="541"/>
      <c r="T54" s="541"/>
      <c r="U54" s="542"/>
      <c r="V54" s="543"/>
      <c r="W54" s="544"/>
    </row>
    <row r="55" spans="1:23" ht="13.8" x14ac:dyDescent="0.25">
      <c r="A55" s="837" t="s">
        <v>746</v>
      </c>
      <c r="B55" s="830"/>
      <c r="C55" s="830"/>
      <c r="D55" s="830"/>
      <c r="E55" s="830"/>
      <c r="F55" s="830"/>
      <c r="G55" s="830"/>
      <c r="H55" s="830"/>
      <c r="I55" s="830"/>
      <c r="J55" s="830"/>
      <c r="K55" s="830"/>
      <c r="L55" s="830"/>
      <c r="M55" s="830"/>
      <c r="N55" s="830"/>
      <c r="O55" s="830"/>
      <c r="P55" s="830"/>
      <c r="Q55" s="830"/>
      <c r="R55" s="830"/>
      <c r="S55" s="830"/>
      <c r="T55" s="831"/>
      <c r="U55" s="523">
        <f>U52+1</f>
        <v>32</v>
      </c>
      <c r="V55" s="526">
        <f>V56+V61+V62+V63+V64+V65+V67+V68+V70+V72</f>
        <v>60000</v>
      </c>
      <c r="W55" s="495"/>
    </row>
    <row r="56" spans="1:23" ht="25.5" customHeight="1" x14ac:dyDescent="0.25">
      <c r="A56" s="817" t="s">
        <v>747</v>
      </c>
      <c r="B56" s="818"/>
      <c r="C56" s="818"/>
      <c r="D56" s="818"/>
      <c r="E56" s="818"/>
      <c r="F56" s="818"/>
      <c r="G56" s="818"/>
      <c r="H56" s="818"/>
      <c r="I56" s="818"/>
      <c r="J56" s="818"/>
      <c r="K56" s="818"/>
      <c r="L56" s="818"/>
      <c r="M56" s="818"/>
      <c r="N56" s="818"/>
      <c r="O56" s="818"/>
      <c r="P56" s="818"/>
      <c r="Q56" s="818"/>
      <c r="R56" s="818"/>
      <c r="S56" s="818"/>
      <c r="T56" s="819"/>
      <c r="U56" s="523">
        <f>U55+1</f>
        <v>33</v>
      </c>
      <c r="V56" s="526"/>
      <c r="W56" s="495"/>
    </row>
    <row r="57" spans="1:23" ht="25.2" customHeight="1" x14ac:dyDescent="0.25">
      <c r="A57" s="823"/>
      <c r="B57" s="824"/>
      <c r="C57" s="829" t="s">
        <v>748</v>
      </c>
      <c r="D57" s="830"/>
      <c r="E57" s="830"/>
      <c r="F57" s="830"/>
      <c r="G57" s="830"/>
      <c r="H57" s="830"/>
      <c r="I57" s="830"/>
      <c r="J57" s="830"/>
      <c r="K57" s="830"/>
      <c r="L57" s="830"/>
      <c r="M57" s="830"/>
      <c r="N57" s="830"/>
      <c r="O57" s="830"/>
      <c r="P57" s="830"/>
      <c r="Q57" s="830"/>
      <c r="R57" s="830"/>
      <c r="S57" s="830"/>
      <c r="T57" s="831"/>
      <c r="U57" s="523">
        <v>34</v>
      </c>
      <c r="V57" s="526"/>
      <c r="W57" s="495"/>
    </row>
    <row r="58" spans="1:23" ht="23.4" customHeight="1" x14ac:dyDescent="0.25">
      <c r="A58" s="825"/>
      <c r="B58" s="826"/>
      <c r="C58" s="817" t="s">
        <v>749</v>
      </c>
      <c r="D58" s="832"/>
      <c r="E58" s="832"/>
      <c r="F58" s="832"/>
      <c r="G58" s="832"/>
      <c r="H58" s="832"/>
      <c r="I58" s="832"/>
      <c r="J58" s="832"/>
      <c r="K58" s="832"/>
      <c r="L58" s="832"/>
      <c r="M58" s="832"/>
      <c r="N58" s="832"/>
      <c r="O58" s="832"/>
      <c r="P58" s="832"/>
      <c r="Q58" s="832"/>
      <c r="R58" s="832"/>
      <c r="S58" s="832"/>
      <c r="T58" s="833"/>
      <c r="U58" s="523">
        <f t="shared" ref="U58:U68" si="0">U57+1</f>
        <v>35</v>
      </c>
      <c r="V58" s="526"/>
      <c r="W58" s="495"/>
    </row>
    <row r="59" spans="1:23" ht="13.5" customHeight="1" x14ac:dyDescent="0.25">
      <c r="A59" s="825"/>
      <c r="B59" s="826"/>
      <c r="C59" s="834" t="s">
        <v>750</v>
      </c>
      <c r="D59" s="835"/>
      <c r="E59" s="835"/>
      <c r="F59" s="835"/>
      <c r="G59" s="835"/>
      <c r="H59" s="835"/>
      <c r="I59" s="835"/>
      <c r="J59" s="835"/>
      <c r="K59" s="835"/>
      <c r="L59" s="835"/>
      <c r="M59" s="835"/>
      <c r="N59" s="835"/>
      <c r="O59" s="835"/>
      <c r="P59" s="835"/>
      <c r="Q59" s="835"/>
      <c r="R59" s="835"/>
      <c r="S59" s="835"/>
      <c r="T59" s="730"/>
      <c r="U59" s="523">
        <f t="shared" si="0"/>
        <v>36</v>
      </c>
      <c r="V59" s="526"/>
      <c r="W59" s="495"/>
    </row>
    <row r="60" spans="1:23" ht="25.95" customHeight="1" x14ac:dyDescent="0.25">
      <c r="A60" s="827"/>
      <c r="B60" s="828"/>
      <c r="C60" s="817" t="s">
        <v>751</v>
      </c>
      <c r="D60" s="832"/>
      <c r="E60" s="832"/>
      <c r="F60" s="832"/>
      <c r="G60" s="832"/>
      <c r="H60" s="832"/>
      <c r="I60" s="832"/>
      <c r="J60" s="832"/>
      <c r="K60" s="832"/>
      <c r="L60" s="832"/>
      <c r="M60" s="832"/>
      <c r="N60" s="832"/>
      <c r="O60" s="832"/>
      <c r="P60" s="832"/>
      <c r="Q60" s="832"/>
      <c r="R60" s="832"/>
      <c r="S60" s="832"/>
      <c r="T60" s="833"/>
      <c r="U60" s="523">
        <f t="shared" si="0"/>
        <v>37</v>
      </c>
      <c r="V60" s="526">
        <f>V59*0.1</f>
        <v>0</v>
      </c>
      <c r="W60" s="495"/>
    </row>
    <row r="61" spans="1:23" ht="13.5" customHeight="1" x14ac:dyDescent="0.25">
      <c r="A61" s="886" t="s">
        <v>752</v>
      </c>
      <c r="B61" s="835"/>
      <c r="C61" s="835"/>
      <c r="D61" s="835"/>
      <c r="E61" s="835"/>
      <c r="F61" s="835"/>
      <c r="G61" s="835"/>
      <c r="H61" s="835"/>
      <c r="I61" s="835"/>
      <c r="J61" s="835"/>
      <c r="K61" s="835"/>
      <c r="L61" s="835"/>
      <c r="M61" s="835"/>
      <c r="N61" s="835"/>
      <c r="O61" s="835"/>
      <c r="P61" s="835"/>
      <c r="Q61" s="835"/>
      <c r="R61" s="835"/>
      <c r="S61" s="835"/>
      <c r="T61" s="730"/>
      <c r="U61" s="523">
        <f t="shared" si="0"/>
        <v>38</v>
      </c>
      <c r="V61" s="527">
        <f>IS!$D$15</f>
        <v>0</v>
      </c>
      <c r="W61" s="525"/>
    </row>
    <row r="62" spans="1:23" ht="13.95" customHeight="1" x14ac:dyDescent="0.25">
      <c r="A62" s="887" t="s">
        <v>753</v>
      </c>
      <c r="B62" s="888"/>
      <c r="C62" s="888"/>
      <c r="D62" s="888"/>
      <c r="E62" s="888"/>
      <c r="F62" s="888"/>
      <c r="G62" s="888"/>
      <c r="H62" s="888"/>
      <c r="I62" s="888"/>
      <c r="J62" s="888"/>
      <c r="K62" s="888"/>
      <c r="L62" s="888"/>
      <c r="M62" s="888"/>
      <c r="N62" s="888"/>
      <c r="O62" s="888"/>
      <c r="P62" s="888"/>
      <c r="Q62" s="888"/>
      <c r="R62" s="888"/>
      <c r="S62" s="888"/>
      <c r="T62" s="824"/>
      <c r="U62" s="523">
        <v>39</v>
      </c>
      <c r="V62" s="526">
        <f>IS!$D$14</f>
        <v>0</v>
      </c>
      <c r="W62" s="495"/>
    </row>
    <row r="63" spans="1:23" ht="28.2" customHeight="1" x14ac:dyDescent="0.25">
      <c r="A63" s="889" t="s">
        <v>754</v>
      </c>
      <c r="B63" s="890"/>
      <c r="C63" s="890"/>
      <c r="D63" s="890"/>
      <c r="E63" s="890"/>
      <c r="F63" s="890"/>
      <c r="G63" s="890"/>
      <c r="H63" s="890"/>
      <c r="I63" s="890"/>
      <c r="J63" s="890"/>
      <c r="K63" s="890"/>
      <c r="L63" s="890"/>
      <c r="M63" s="890"/>
      <c r="N63" s="890"/>
      <c r="O63" s="890"/>
      <c r="P63" s="890"/>
      <c r="Q63" s="890"/>
      <c r="R63" s="890"/>
      <c r="S63" s="890"/>
      <c r="T63" s="890"/>
      <c r="U63" s="523">
        <v>40</v>
      </c>
      <c r="V63" s="526"/>
      <c r="W63" s="495"/>
    </row>
    <row r="64" spans="1:23" ht="13.8" x14ac:dyDescent="0.25">
      <c r="A64" s="891" t="s">
        <v>755</v>
      </c>
      <c r="B64" s="892"/>
      <c r="C64" s="892"/>
      <c r="D64" s="892"/>
      <c r="E64" s="892"/>
      <c r="F64" s="892"/>
      <c r="G64" s="892"/>
      <c r="H64" s="892"/>
      <c r="I64" s="892"/>
      <c r="J64" s="892"/>
      <c r="K64" s="892"/>
      <c r="L64" s="892"/>
      <c r="M64" s="892"/>
      <c r="N64" s="892"/>
      <c r="O64" s="892"/>
      <c r="P64" s="892"/>
      <c r="Q64" s="892"/>
      <c r="R64" s="892"/>
      <c r="S64" s="892"/>
      <c r="T64" s="893"/>
      <c r="U64" s="523">
        <f t="shared" si="0"/>
        <v>41</v>
      </c>
      <c r="V64" s="526"/>
      <c r="W64" s="495"/>
    </row>
    <row r="65" spans="1:22" ht="13.8" x14ac:dyDescent="0.25">
      <c r="A65" s="545" t="s">
        <v>756</v>
      </c>
      <c r="B65" s="546"/>
      <c r="C65" s="547"/>
      <c r="D65" s="546"/>
      <c r="E65" s="546"/>
      <c r="F65" s="546"/>
      <c r="G65" s="546"/>
      <c r="H65" s="546"/>
      <c r="I65" s="546"/>
      <c r="J65" s="546"/>
      <c r="K65" s="546"/>
      <c r="L65" s="546"/>
      <c r="M65" s="546"/>
      <c r="N65" s="546"/>
      <c r="O65" s="546"/>
      <c r="P65" s="546"/>
      <c r="Q65" s="546"/>
      <c r="R65" s="546"/>
      <c r="S65" s="546"/>
      <c r="T65" s="548"/>
      <c r="U65" s="523">
        <f t="shared" si="0"/>
        <v>42</v>
      </c>
      <c r="V65" s="526">
        <f>IS!D13</f>
        <v>60000</v>
      </c>
    </row>
    <row r="66" spans="1:22" ht="13.8" x14ac:dyDescent="0.25">
      <c r="A66" s="549"/>
      <c r="B66" s="894" t="s">
        <v>757</v>
      </c>
      <c r="C66" s="894"/>
      <c r="D66" s="894"/>
      <c r="E66" s="894"/>
      <c r="F66" s="894"/>
      <c r="G66" s="894"/>
      <c r="H66" s="894"/>
      <c r="I66" s="894"/>
      <c r="J66" s="894"/>
      <c r="K66" s="894"/>
      <c r="L66" s="894"/>
      <c r="M66" s="894"/>
      <c r="N66" s="894"/>
      <c r="O66" s="894"/>
      <c r="P66" s="894"/>
      <c r="Q66" s="894"/>
      <c r="R66" s="894"/>
      <c r="S66" s="894"/>
      <c r="T66" s="894"/>
      <c r="U66" s="523">
        <f t="shared" si="0"/>
        <v>43</v>
      </c>
      <c r="V66" s="526">
        <f>(V61+V62+V63+V64+V65)*0.1</f>
        <v>6000</v>
      </c>
    </row>
    <row r="67" spans="1:22" ht="28.5" customHeight="1" x14ac:dyDescent="0.25">
      <c r="A67" s="872" t="s">
        <v>758</v>
      </c>
      <c r="B67" s="846"/>
      <c r="C67" s="846"/>
      <c r="D67" s="846"/>
      <c r="E67" s="846"/>
      <c r="F67" s="846"/>
      <c r="G67" s="846"/>
      <c r="H67" s="846"/>
      <c r="I67" s="846"/>
      <c r="J67" s="846"/>
      <c r="K67" s="846"/>
      <c r="L67" s="846"/>
      <c r="M67" s="846"/>
      <c r="N67" s="846"/>
      <c r="O67" s="846"/>
      <c r="P67" s="846"/>
      <c r="Q67" s="846"/>
      <c r="R67" s="846"/>
      <c r="S67" s="846"/>
      <c r="T67" s="828"/>
      <c r="U67" s="523">
        <f t="shared" si="0"/>
        <v>44</v>
      </c>
      <c r="V67" s="526"/>
    </row>
    <row r="68" spans="1:22" ht="70.95" customHeight="1" x14ac:dyDescent="0.25">
      <c r="A68" s="876" t="s">
        <v>759</v>
      </c>
      <c r="B68" s="895"/>
      <c r="C68" s="895"/>
      <c r="D68" s="895"/>
      <c r="E68" s="895"/>
      <c r="F68" s="895"/>
      <c r="G68" s="895"/>
      <c r="H68" s="895"/>
      <c r="I68" s="895"/>
      <c r="J68" s="895"/>
      <c r="K68" s="895"/>
      <c r="L68" s="895"/>
      <c r="M68" s="895"/>
      <c r="N68" s="895"/>
      <c r="O68" s="895"/>
      <c r="P68" s="895"/>
      <c r="Q68" s="895"/>
      <c r="R68" s="895"/>
      <c r="S68" s="895"/>
      <c r="T68" s="896"/>
      <c r="U68" s="523">
        <f t="shared" si="0"/>
        <v>45</v>
      </c>
      <c r="V68" s="526"/>
    </row>
    <row r="69" spans="1:22" ht="13.8" x14ac:dyDescent="0.25">
      <c r="A69" s="550"/>
      <c r="B69" s="897" t="s">
        <v>760</v>
      </c>
      <c r="C69" s="897"/>
      <c r="D69" s="897"/>
      <c r="E69" s="897"/>
      <c r="F69" s="897"/>
      <c r="G69" s="897"/>
      <c r="H69" s="897"/>
      <c r="I69" s="897"/>
      <c r="J69" s="897"/>
      <c r="K69" s="897"/>
      <c r="L69" s="897"/>
      <c r="M69" s="897"/>
      <c r="N69" s="897"/>
      <c r="O69" s="897"/>
      <c r="P69" s="897"/>
      <c r="Q69" s="897"/>
      <c r="R69" s="897"/>
      <c r="S69" s="897"/>
      <c r="T69" s="897"/>
      <c r="U69" s="523">
        <v>46</v>
      </c>
      <c r="V69" s="526">
        <f>(V67+V68)*0.05</f>
        <v>0</v>
      </c>
    </row>
    <row r="70" spans="1:22" ht="27.6" customHeight="1" x14ac:dyDescent="0.25">
      <c r="A70" s="865" t="s">
        <v>761</v>
      </c>
      <c r="B70" s="865"/>
      <c r="C70" s="865"/>
      <c r="D70" s="865"/>
      <c r="E70" s="865"/>
      <c r="F70" s="865"/>
      <c r="G70" s="865"/>
      <c r="H70" s="865"/>
      <c r="I70" s="865"/>
      <c r="J70" s="865"/>
      <c r="K70" s="865"/>
      <c r="L70" s="865"/>
      <c r="M70" s="865"/>
      <c r="N70" s="865"/>
      <c r="O70" s="865"/>
      <c r="P70" s="865"/>
      <c r="Q70" s="865"/>
      <c r="R70" s="865"/>
      <c r="S70" s="865"/>
      <c r="T70" s="865"/>
      <c r="U70" s="523">
        <v>47</v>
      </c>
      <c r="V70" s="526"/>
    </row>
    <row r="71" spans="1:22" ht="13.8" x14ac:dyDescent="0.25">
      <c r="A71" s="551"/>
      <c r="B71" s="867" t="s">
        <v>762</v>
      </c>
      <c r="C71" s="868"/>
      <c r="D71" s="868"/>
      <c r="E71" s="868"/>
      <c r="F71" s="868"/>
      <c r="G71" s="868"/>
      <c r="H71" s="868"/>
      <c r="I71" s="868"/>
      <c r="J71" s="868"/>
      <c r="K71" s="868"/>
      <c r="L71" s="868"/>
      <c r="M71" s="868"/>
      <c r="N71" s="868"/>
      <c r="O71" s="868"/>
      <c r="P71" s="868"/>
      <c r="Q71" s="868"/>
      <c r="R71" s="868"/>
      <c r="S71" s="868"/>
      <c r="T71" s="868"/>
      <c r="U71" s="523">
        <v>48</v>
      </c>
      <c r="V71" s="526">
        <f>V70*0.02</f>
        <v>0</v>
      </c>
    </row>
    <row r="72" spans="1:22" ht="26.4" customHeight="1" x14ac:dyDescent="0.25">
      <c r="A72" s="865" t="s">
        <v>763</v>
      </c>
      <c r="B72" s="865"/>
      <c r="C72" s="865"/>
      <c r="D72" s="865"/>
      <c r="E72" s="865"/>
      <c r="F72" s="865"/>
      <c r="G72" s="865"/>
      <c r="H72" s="865"/>
      <c r="I72" s="865"/>
      <c r="J72" s="865"/>
      <c r="K72" s="865"/>
      <c r="L72" s="865"/>
      <c r="M72" s="865"/>
      <c r="N72" s="865"/>
      <c r="O72" s="865"/>
      <c r="P72" s="865"/>
      <c r="Q72" s="865"/>
      <c r="R72" s="865"/>
      <c r="S72" s="865"/>
      <c r="T72" s="865"/>
      <c r="U72" s="523">
        <v>49</v>
      </c>
      <c r="V72" s="526"/>
    </row>
    <row r="73" spans="1:22" ht="13.8" x14ac:dyDescent="0.25">
      <c r="A73" s="552"/>
      <c r="B73" s="866" t="s">
        <v>764</v>
      </c>
      <c r="C73" s="866"/>
      <c r="D73" s="866"/>
      <c r="E73" s="866"/>
      <c r="F73" s="866"/>
      <c r="G73" s="866"/>
      <c r="H73" s="866"/>
      <c r="I73" s="866"/>
      <c r="J73" s="866"/>
      <c r="K73" s="866"/>
      <c r="L73" s="866"/>
      <c r="M73" s="866"/>
      <c r="N73" s="866"/>
      <c r="O73" s="866"/>
      <c r="P73" s="866"/>
      <c r="Q73" s="866"/>
      <c r="R73" s="866"/>
      <c r="S73" s="866"/>
      <c r="T73" s="866"/>
      <c r="U73" s="523">
        <v>50</v>
      </c>
      <c r="V73" s="526">
        <f>V72*0.4</f>
        <v>0</v>
      </c>
    </row>
    <row r="74" spans="1:22" s="395" customFormat="1" ht="13.8" x14ac:dyDescent="0.25">
      <c r="A74" s="871" t="s">
        <v>765</v>
      </c>
      <c r="B74" s="873"/>
      <c r="C74" s="873"/>
      <c r="D74" s="873"/>
      <c r="E74" s="873"/>
      <c r="F74" s="873"/>
      <c r="G74" s="873"/>
      <c r="H74" s="873"/>
      <c r="I74" s="873"/>
      <c r="J74" s="873"/>
      <c r="K74" s="873"/>
      <c r="L74" s="873"/>
      <c r="M74" s="873"/>
      <c r="N74" s="873"/>
      <c r="O74" s="873"/>
      <c r="P74" s="873"/>
      <c r="Q74" s="873"/>
      <c r="R74" s="873"/>
      <c r="S74" s="873"/>
      <c r="T74" s="874"/>
      <c r="U74" s="531">
        <v>51</v>
      </c>
      <c r="V74" s="535">
        <f>V60+V66+V69+V71+V73</f>
        <v>6000</v>
      </c>
    </row>
    <row r="75" spans="1:22" ht="17.25" customHeight="1" x14ac:dyDescent="0.25">
      <c r="A75" s="538"/>
      <c r="B75" s="538"/>
      <c r="C75" s="538"/>
      <c r="D75" s="538"/>
      <c r="E75" s="538"/>
      <c r="F75" s="538"/>
      <c r="G75" s="538"/>
      <c r="H75" s="538"/>
      <c r="I75" s="538"/>
      <c r="J75" s="538"/>
      <c r="K75" s="538"/>
      <c r="L75" s="538"/>
      <c r="M75" s="538"/>
      <c r="N75" s="538"/>
      <c r="O75" s="538"/>
      <c r="P75" s="538"/>
      <c r="Q75" s="538"/>
      <c r="R75" s="538"/>
      <c r="S75" s="538"/>
      <c r="T75" s="538"/>
      <c r="U75" s="553"/>
      <c r="V75" s="554"/>
    </row>
    <row r="76" spans="1:22" ht="13.5" customHeight="1" x14ac:dyDescent="0.3">
      <c r="A76" s="541" t="s">
        <v>766</v>
      </c>
      <c r="B76" s="541"/>
      <c r="C76" s="541"/>
      <c r="D76" s="541"/>
      <c r="E76" s="541"/>
      <c r="F76" s="541"/>
      <c r="G76" s="541"/>
      <c r="H76" s="541"/>
      <c r="I76" s="541"/>
      <c r="J76" s="541"/>
      <c r="K76" s="541"/>
      <c r="L76" s="541"/>
      <c r="M76" s="541"/>
      <c r="N76" s="541"/>
      <c r="O76" s="541"/>
      <c r="P76" s="541"/>
      <c r="Q76" s="541"/>
      <c r="R76" s="541"/>
      <c r="S76" s="541"/>
      <c r="T76" s="541"/>
      <c r="U76" s="542"/>
      <c r="V76" s="543"/>
    </row>
    <row r="77" spans="1:22" s="556" customFormat="1" ht="27" customHeight="1" x14ac:dyDescent="0.25">
      <c r="A77" s="875" t="s">
        <v>767</v>
      </c>
      <c r="B77" s="832"/>
      <c r="C77" s="832"/>
      <c r="D77" s="832"/>
      <c r="E77" s="832"/>
      <c r="F77" s="832"/>
      <c r="G77" s="832"/>
      <c r="H77" s="832"/>
      <c r="I77" s="832"/>
      <c r="J77" s="832"/>
      <c r="K77" s="832"/>
      <c r="L77" s="832"/>
      <c r="M77" s="832"/>
      <c r="N77" s="832"/>
      <c r="O77" s="832"/>
      <c r="P77" s="832"/>
      <c r="Q77" s="832"/>
      <c r="R77" s="832"/>
      <c r="S77" s="832"/>
      <c r="T77" s="833"/>
      <c r="U77" s="523">
        <v>52</v>
      </c>
      <c r="V77" s="555"/>
    </row>
    <row r="78" spans="1:22" ht="28.95" customHeight="1" x14ac:dyDescent="0.25">
      <c r="A78" s="876" t="s">
        <v>768</v>
      </c>
      <c r="B78" s="830"/>
      <c r="C78" s="830"/>
      <c r="D78" s="830"/>
      <c r="E78" s="830"/>
      <c r="F78" s="830"/>
      <c r="G78" s="830"/>
      <c r="H78" s="830"/>
      <c r="I78" s="830"/>
      <c r="J78" s="830"/>
      <c r="K78" s="830"/>
      <c r="L78" s="830"/>
      <c r="M78" s="830"/>
      <c r="N78" s="830"/>
      <c r="O78" s="830"/>
      <c r="P78" s="830"/>
      <c r="Q78" s="830"/>
      <c r="R78" s="830"/>
      <c r="S78" s="830"/>
      <c r="T78" s="831"/>
      <c r="U78" s="523">
        <v>53</v>
      </c>
      <c r="V78" s="526"/>
    </row>
    <row r="79" spans="1:22" s="395" customFormat="1" ht="13.8" x14ac:dyDescent="0.25">
      <c r="A79" s="871" t="s">
        <v>769</v>
      </c>
      <c r="B79" s="821"/>
      <c r="C79" s="821"/>
      <c r="D79" s="821"/>
      <c r="E79" s="821"/>
      <c r="F79" s="821"/>
      <c r="G79" s="821"/>
      <c r="H79" s="821"/>
      <c r="I79" s="821"/>
      <c r="J79" s="821"/>
      <c r="K79" s="821"/>
      <c r="L79" s="821"/>
      <c r="M79" s="821"/>
      <c r="N79" s="821"/>
      <c r="O79" s="821"/>
      <c r="P79" s="821"/>
      <c r="Q79" s="821"/>
      <c r="R79" s="821"/>
      <c r="S79" s="821"/>
      <c r="T79" s="822"/>
      <c r="U79" s="531">
        <v>54</v>
      </c>
      <c r="V79" s="535">
        <f>V52+V74-V77-V78</f>
        <v>71000</v>
      </c>
    </row>
    <row r="80" spans="1:22" ht="13.8" x14ac:dyDescent="0.25">
      <c r="A80" s="872" t="s">
        <v>770</v>
      </c>
      <c r="B80" s="835"/>
      <c r="C80" s="835"/>
      <c r="D80" s="835"/>
      <c r="E80" s="835"/>
      <c r="F80" s="835"/>
      <c r="G80" s="835"/>
      <c r="H80" s="835"/>
      <c r="I80" s="835"/>
      <c r="J80" s="835"/>
      <c r="K80" s="835"/>
      <c r="L80" s="835"/>
      <c r="M80" s="835"/>
      <c r="N80" s="835"/>
      <c r="O80" s="835"/>
      <c r="P80" s="835"/>
      <c r="Q80" s="835"/>
      <c r="R80" s="835"/>
      <c r="S80" s="835"/>
      <c r="T80" s="730"/>
      <c r="U80" s="523">
        <v>55</v>
      </c>
      <c r="V80" s="526"/>
    </row>
    <row r="81" spans="1:22" ht="28.2" customHeight="1" x14ac:dyDescent="0.25">
      <c r="A81" s="869" t="s">
        <v>771</v>
      </c>
      <c r="B81" s="869"/>
      <c r="C81" s="869"/>
      <c r="D81" s="869"/>
      <c r="E81" s="869"/>
      <c r="F81" s="869"/>
      <c r="G81" s="869"/>
      <c r="H81" s="869"/>
      <c r="I81" s="869"/>
      <c r="J81" s="869"/>
      <c r="K81" s="869"/>
      <c r="L81" s="869"/>
      <c r="M81" s="869"/>
      <c r="N81" s="869"/>
      <c r="O81" s="869"/>
      <c r="P81" s="869"/>
      <c r="Q81" s="869"/>
      <c r="R81" s="869"/>
      <c r="S81" s="869"/>
      <c r="T81" s="870"/>
      <c r="U81" s="523">
        <v>56</v>
      </c>
      <c r="V81" s="526"/>
    </row>
    <row r="82" spans="1:22" ht="28.2" customHeight="1" x14ac:dyDescent="0.25">
      <c r="A82" s="869" t="s">
        <v>772</v>
      </c>
      <c r="B82" s="869"/>
      <c r="C82" s="869"/>
      <c r="D82" s="869"/>
      <c r="E82" s="869"/>
      <c r="F82" s="869"/>
      <c r="G82" s="869"/>
      <c r="H82" s="869"/>
      <c r="I82" s="869"/>
      <c r="J82" s="869"/>
      <c r="K82" s="869"/>
      <c r="L82" s="869"/>
      <c r="M82" s="869"/>
      <c r="N82" s="869"/>
      <c r="O82" s="869"/>
      <c r="P82" s="869"/>
      <c r="Q82" s="869"/>
      <c r="R82" s="869"/>
      <c r="S82" s="869"/>
      <c r="T82" s="870"/>
      <c r="U82" s="523">
        <v>57</v>
      </c>
      <c r="V82" s="526"/>
    </row>
    <row r="83" spans="1:22" s="395" customFormat="1" ht="30.75" customHeight="1" x14ac:dyDescent="0.25">
      <c r="A83" s="871" t="s">
        <v>773</v>
      </c>
      <c r="B83" s="821"/>
      <c r="C83" s="821"/>
      <c r="D83" s="821"/>
      <c r="E83" s="821"/>
      <c r="F83" s="821"/>
      <c r="G83" s="821"/>
      <c r="H83" s="821"/>
      <c r="I83" s="821"/>
      <c r="J83" s="821"/>
      <c r="K83" s="821"/>
      <c r="L83" s="821"/>
      <c r="M83" s="821"/>
      <c r="N83" s="821"/>
      <c r="O83" s="821"/>
      <c r="P83" s="821"/>
      <c r="Q83" s="821"/>
      <c r="R83" s="821"/>
      <c r="S83" s="821"/>
      <c r="T83" s="822"/>
      <c r="U83" s="531">
        <v>58</v>
      </c>
      <c r="V83" s="535"/>
    </row>
    <row r="84" spans="1:22" s="395" customFormat="1" ht="30" customHeight="1" x14ac:dyDescent="0.25">
      <c r="A84" s="877" t="s">
        <v>774</v>
      </c>
      <c r="B84" s="821"/>
      <c r="C84" s="821"/>
      <c r="D84" s="821"/>
      <c r="E84" s="821"/>
      <c r="F84" s="821"/>
      <c r="G84" s="821"/>
      <c r="H84" s="821"/>
      <c r="I84" s="821"/>
      <c r="J84" s="821"/>
      <c r="K84" s="821"/>
      <c r="L84" s="821"/>
      <c r="M84" s="821"/>
      <c r="N84" s="821"/>
      <c r="O84" s="821"/>
      <c r="P84" s="821"/>
      <c r="Q84" s="821"/>
      <c r="R84" s="821"/>
      <c r="S84" s="821"/>
      <c r="T84" s="822"/>
      <c r="U84" s="531">
        <f t="shared" ref="U84" si="1">U83+1</f>
        <v>59</v>
      </c>
      <c r="V84" s="535">
        <f>(V52-(V82+V83)+V74-V77-V78)</f>
        <v>71000</v>
      </c>
    </row>
    <row r="85" spans="1:22" ht="13.5" customHeight="1" x14ac:dyDescent="0.25">
      <c r="A85" s="538"/>
      <c r="B85" s="538"/>
      <c r="C85" s="538"/>
      <c r="D85" s="538"/>
      <c r="E85" s="538"/>
      <c r="F85" s="538"/>
      <c r="G85" s="538"/>
      <c r="H85" s="538"/>
      <c r="I85" s="538"/>
      <c r="J85" s="538"/>
      <c r="K85" s="538"/>
      <c r="L85" s="538"/>
      <c r="M85" s="538"/>
      <c r="N85" s="538"/>
      <c r="O85" s="538"/>
      <c r="P85" s="538"/>
      <c r="Q85" s="538"/>
      <c r="R85" s="538"/>
      <c r="S85" s="538"/>
      <c r="T85" s="538"/>
      <c r="U85" s="553"/>
      <c r="V85" s="554"/>
    </row>
    <row r="86" spans="1:22" ht="13.5" customHeight="1" x14ac:dyDescent="0.3">
      <c r="A86" s="559" t="s">
        <v>775</v>
      </c>
      <c r="B86" s="560"/>
      <c r="C86" s="560"/>
      <c r="D86" s="560"/>
      <c r="E86" s="560"/>
      <c r="F86" s="560"/>
      <c r="G86" s="560"/>
      <c r="H86" s="560"/>
      <c r="I86" s="560"/>
      <c r="J86" s="560"/>
      <c r="K86" s="560"/>
      <c r="L86" s="560"/>
      <c r="M86" s="560"/>
      <c r="N86" s="560"/>
      <c r="O86" s="560"/>
      <c r="P86" s="560"/>
      <c r="Q86" s="560"/>
      <c r="R86" s="560"/>
      <c r="S86" s="560"/>
      <c r="T86" s="560"/>
      <c r="U86" s="561" t="s">
        <v>776</v>
      </c>
      <c r="V86" s="562" t="s">
        <v>676</v>
      </c>
    </row>
    <row r="87" spans="1:22" ht="13.5" customHeight="1" x14ac:dyDescent="0.25">
      <c r="A87" s="850" t="s">
        <v>777</v>
      </c>
      <c r="B87" s="851"/>
      <c r="C87" s="851"/>
      <c r="D87" s="851"/>
      <c r="E87" s="851"/>
      <c r="F87" s="851"/>
      <c r="G87" s="851"/>
      <c r="H87" s="851"/>
      <c r="I87" s="851"/>
      <c r="J87" s="851"/>
      <c r="K87" s="851"/>
      <c r="L87" s="851"/>
      <c r="M87" s="852"/>
      <c r="N87" s="856" t="s">
        <v>778</v>
      </c>
      <c r="O87" s="857"/>
      <c r="P87" s="857"/>
      <c r="Q87" s="857"/>
      <c r="R87" s="857"/>
      <c r="S87" s="858"/>
      <c r="T87" s="563">
        <v>1</v>
      </c>
      <c r="U87" s="564">
        <f>TB!D51</f>
        <v>0</v>
      </c>
      <c r="V87" s="565"/>
    </row>
    <row r="88" spans="1:22" ht="13.5" customHeight="1" x14ac:dyDescent="0.25">
      <c r="A88" s="853"/>
      <c r="B88" s="854"/>
      <c r="C88" s="854"/>
      <c r="D88" s="854"/>
      <c r="E88" s="854"/>
      <c r="F88" s="854"/>
      <c r="G88" s="854"/>
      <c r="H88" s="854"/>
      <c r="I88" s="854"/>
      <c r="J88" s="854"/>
      <c r="K88" s="854"/>
      <c r="L88" s="854"/>
      <c r="M88" s="855"/>
      <c r="N88" s="856" t="s">
        <v>779</v>
      </c>
      <c r="O88" s="857"/>
      <c r="P88" s="857"/>
      <c r="Q88" s="857"/>
      <c r="R88" s="857"/>
      <c r="S88" s="858"/>
      <c r="T88" s="563">
        <f t="shared" ref="T88:T102" si="2">T87+1</f>
        <v>2</v>
      </c>
      <c r="U88" s="566"/>
      <c r="V88" s="567">
        <f>TB!E51</f>
        <v>0</v>
      </c>
    </row>
    <row r="89" spans="1:22" ht="13.5" customHeight="1" x14ac:dyDescent="0.25">
      <c r="A89" s="859" t="s">
        <v>780</v>
      </c>
      <c r="B89" s="860"/>
      <c r="C89" s="860"/>
      <c r="D89" s="860"/>
      <c r="E89" s="860"/>
      <c r="F89" s="860"/>
      <c r="G89" s="860"/>
      <c r="H89" s="860"/>
      <c r="I89" s="860"/>
      <c r="J89" s="860"/>
      <c r="K89" s="860"/>
      <c r="L89" s="860"/>
      <c r="M89" s="861"/>
      <c r="N89" s="856" t="s">
        <v>778</v>
      </c>
      <c r="O89" s="857"/>
      <c r="P89" s="857"/>
      <c r="Q89" s="857"/>
      <c r="R89" s="857"/>
      <c r="S89" s="858"/>
      <c r="T89" s="563">
        <f t="shared" si="2"/>
        <v>3</v>
      </c>
      <c r="U89" s="566"/>
      <c r="V89" s="567">
        <f>V84</f>
        <v>71000</v>
      </c>
    </row>
    <row r="90" spans="1:22" ht="13.5" customHeight="1" x14ac:dyDescent="0.25">
      <c r="A90" s="862"/>
      <c r="B90" s="863"/>
      <c r="C90" s="863"/>
      <c r="D90" s="863"/>
      <c r="E90" s="863"/>
      <c r="F90" s="863"/>
      <c r="G90" s="863"/>
      <c r="H90" s="863"/>
      <c r="I90" s="863"/>
      <c r="J90" s="863"/>
      <c r="K90" s="863"/>
      <c r="L90" s="863"/>
      <c r="M90" s="864"/>
      <c r="N90" s="856" t="s">
        <v>779</v>
      </c>
      <c r="O90" s="857"/>
      <c r="P90" s="857"/>
      <c r="Q90" s="857"/>
      <c r="R90" s="857"/>
      <c r="S90" s="858"/>
      <c r="T90" s="563">
        <f t="shared" si="2"/>
        <v>4</v>
      </c>
      <c r="U90" s="566"/>
      <c r="V90" s="567"/>
    </row>
    <row r="91" spans="1:22" ht="13.5" customHeight="1" x14ac:dyDescent="0.25">
      <c r="A91" s="856" t="s">
        <v>781</v>
      </c>
      <c r="B91" s="857"/>
      <c r="C91" s="857"/>
      <c r="D91" s="857"/>
      <c r="E91" s="857"/>
      <c r="F91" s="857"/>
      <c r="G91" s="857"/>
      <c r="H91" s="857"/>
      <c r="I91" s="857"/>
      <c r="J91" s="857"/>
      <c r="K91" s="857"/>
      <c r="L91" s="857"/>
      <c r="M91" s="857"/>
      <c r="N91" s="857"/>
      <c r="O91" s="857"/>
      <c r="P91" s="857"/>
      <c r="Q91" s="857"/>
      <c r="R91" s="857"/>
      <c r="S91" s="858"/>
      <c r="T91" s="563">
        <f t="shared" si="2"/>
        <v>5</v>
      </c>
      <c r="U91" s="566"/>
      <c r="V91" s="567">
        <f>TB!F51</f>
        <v>0</v>
      </c>
    </row>
    <row r="92" spans="1:22" ht="13.5" customHeight="1" x14ac:dyDescent="0.25">
      <c r="A92" s="856" t="s">
        <v>782</v>
      </c>
      <c r="B92" s="857"/>
      <c r="C92" s="857"/>
      <c r="D92" s="857"/>
      <c r="E92" s="857"/>
      <c r="F92" s="857"/>
      <c r="G92" s="857"/>
      <c r="H92" s="857"/>
      <c r="I92" s="857"/>
      <c r="J92" s="857"/>
      <c r="K92" s="857"/>
      <c r="L92" s="857"/>
      <c r="M92" s="857"/>
      <c r="N92" s="857"/>
      <c r="O92" s="857"/>
      <c r="P92" s="857"/>
      <c r="Q92" s="857"/>
      <c r="R92" s="857"/>
      <c r="S92" s="858"/>
      <c r="T92" s="563">
        <f t="shared" si="2"/>
        <v>6</v>
      </c>
      <c r="U92" s="568"/>
      <c r="V92" s="569"/>
    </row>
    <row r="93" spans="1:22" ht="13.5" customHeight="1" x14ac:dyDescent="0.25">
      <c r="A93" s="856" t="s">
        <v>783</v>
      </c>
      <c r="B93" s="857"/>
      <c r="C93" s="857"/>
      <c r="D93" s="857"/>
      <c r="E93" s="857"/>
      <c r="F93" s="857"/>
      <c r="G93" s="857"/>
      <c r="H93" s="857"/>
      <c r="I93" s="857"/>
      <c r="J93" s="857"/>
      <c r="K93" s="857"/>
      <c r="L93" s="857"/>
      <c r="M93" s="857"/>
      <c r="N93" s="857"/>
      <c r="O93" s="857"/>
      <c r="P93" s="857"/>
      <c r="Q93" s="857"/>
      <c r="R93" s="857"/>
      <c r="S93" s="858"/>
      <c r="T93" s="563">
        <f t="shared" si="2"/>
        <v>7</v>
      </c>
      <c r="U93" s="568"/>
      <c r="V93" s="569"/>
    </row>
    <row r="94" spans="1:22" ht="13.5" customHeight="1" x14ac:dyDescent="0.25">
      <c r="A94" s="859" t="s">
        <v>784</v>
      </c>
      <c r="B94" s="860"/>
      <c r="C94" s="860"/>
      <c r="D94" s="860"/>
      <c r="E94" s="860"/>
      <c r="F94" s="860"/>
      <c r="G94" s="860"/>
      <c r="H94" s="860"/>
      <c r="I94" s="860"/>
      <c r="J94" s="860"/>
      <c r="K94" s="860"/>
      <c r="L94" s="860"/>
      <c r="M94" s="861"/>
      <c r="N94" s="856" t="s">
        <v>778</v>
      </c>
      <c r="O94" s="857"/>
      <c r="P94" s="857"/>
      <c r="Q94" s="857"/>
      <c r="R94" s="857"/>
      <c r="S94" s="858"/>
      <c r="T94" s="563">
        <f t="shared" si="2"/>
        <v>8</v>
      </c>
      <c r="U94" s="568"/>
      <c r="V94" s="569"/>
    </row>
    <row r="95" spans="1:22" ht="13.5" customHeight="1" x14ac:dyDescent="0.25">
      <c r="A95" s="862"/>
      <c r="B95" s="863"/>
      <c r="C95" s="863"/>
      <c r="D95" s="863"/>
      <c r="E95" s="863"/>
      <c r="F95" s="863"/>
      <c r="G95" s="863"/>
      <c r="H95" s="863"/>
      <c r="I95" s="863"/>
      <c r="J95" s="863"/>
      <c r="K95" s="863"/>
      <c r="L95" s="863"/>
      <c r="M95" s="864"/>
      <c r="N95" s="856" t="s">
        <v>779</v>
      </c>
      <c r="O95" s="857"/>
      <c r="P95" s="857"/>
      <c r="Q95" s="857"/>
      <c r="R95" s="857"/>
      <c r="S95" s="858"/>
      <c r="T95" s="563">
        <f t="shared" si="2"/>
        <v>9</v>
      </c>
      <c r="U95" s="568"/>
      <c r="V95" s="569"/>
    </row>
    <row r="96" spans="1:22" ht="12.75" customHeight="1" x14ac:dyDescent="0.25">
      <c r="A96" s="859" t="s">
        <v>785</v>
      </c>
      <c r="B96" s="860"/>
      <c r="C96" s="860"/>
      <c r="D96" s="860"/>
      <c r="E96" s="860"/>
      <c r="F96" s="860"/>
      <c r="G96" s="860"/>
      <c r="H96" s="860"/>
      <c r="I96" s="860"/>
      <c r="J96" s="860"/>
      <c r="K96" s="860"/>
      <c r="L96" s="860"/>
      <c r="M96" s="861"/>
      <c r="N96" s="856" t="s">
        <v>778</v>
      </c>
      <c r="O96" s="857"/>
      <c r="P96" s="857"/>
      <c r="Q96" s="857"/>
      <c r="R96" s="857"/>
      <c r="S96" s="858"/>
      <c r="T96" s="563">
        <f t="shared" si="2"/>
        <v>10</v>
      </c>
      <c r="U96" s="568"/>
      <c r="V96" s="569"/>
    </row>
    <row r="97" spans="1:22" ht="15.75" customHeight="1" x14ac:dyDescent="0.25">
      <c r="A97" s="862"/>
      <c r="B97" s="863"/>
      <c r="C97" s="863"/>
      <c r="D97" s="863"/>
      <c r="E97" s="863"/>
      <c r="F97" s="863"/>
      <c r="G97" s="863"/>
      <c r="H97" s="863"/>
      <c r="I97" s="863"/>
      <c r="J97" s="863"/>
      <c r="K97" s="863"/>
      <c r="L97" s="863"/>
      <c r="M97" s="864"/>
      <c r="N97" s="856" t="s">
        <v>779</v>
      </c>
      <c r="O97" s="857"/>
      <c r="P97" s="857"/>
      <c r="Q97" s="857"/>
      <c r="R97" s="857"/>
      <c r="S97" s="858"/>
      <c r="T97" s="563">
        <f t="shared" si="2"/>
        <v>11</v>
      </c>
      <c r="U97" s="568"/>
      <c r="V97" s="569"/>
    </row>
    <row r="98" spans="1:22" ht="13.5" customHeight="1" x14ac:dyDescent="0.25">
      <c r="A98" s="856" t="s">
        <v>786</v>
      </c>
      <c r="B98" s="857"/>
      <c r="C98" s="857"/>
      <c r="D98" s="857"/>
      <c r="E98" s="857"/>
      <c r="F98" s="857"/>
      <c r="G98" s="857"/>
      <c r="H98" s="857"/>
      <c r="I98" s="857"/>
      <c r="J98" s="857"/>
      <c r="K98" s="857"/>
      <c r="L98" s="857"/>
      <c r="M98" s="857"/>
      <c r="N98" s="857"/>
      <c r="O98" s="857"/>
      <c r="P98" s="857"/>
      <c r="Q98" s="857"/>
      <c r="R98" s="857"/>
      <c r="S98" s="858"/>
      <c r="T98" s="563">
        <f t="shared" si="2"/>
        <v>12</v>
      </c>
      <c r="U98" s="568"/>
      <c r="V98" s="569"/>
    </row>
    <row r="99" spans="1:22" ht="13.5" customHeight="1" x14ac:dyDescent="0.25">
      <c r="A99" s="859" t="s">
        <v>787</v>
      </c>
      <c r="B99" s="860"/>
      <c r="C99" s="860"/>
      <c r="D99" s="860"/>
      <c r="E99" s="860"/>
      <c r="F99" s="860"/>
      <c r="G99" s="860"/>
      <c r="H99" s="860"/>
      <c r="I99" s="860"/>
      <c r="J99" s="860"/>
      <c r="K99" s="860"/>
      <c r="L99" s="860"/>
      <c r="M99" s="861"/>
      <c r="N99" s="856" t="s">
        <v>778</v>
      </c>
      <c r="O99" s="857"/>
      <c r="P99" s="857"/>
      <c r="Q99" s="857"/>
      <c r="R99" s="857"/>
      <c r="S99" s="858"/>
      <c r="T99" s="563">
        <f t="shared" si="2"/>
        <v>13</v>
      </c>
      <c r="U99" s="568"/>
      <c r="V99" s="569"/>
    </row>
    <row r="100" spans="1:22" ht="13.5" customHeight="1" x14ac:dyDescent="0.25">
      <c r="A100" s="862"/>
      <c r="B100" s="863"/>
      <c r="C100" s="863"/>
      <c r="D100" s="863"/>
      <c r="E100" s="863"/>
      <c r="F100" s="863"/>
      <c r="G100" s="863"/>
      <c r="H100" s="863"/>
      <c r="I100" s="863"/>
      <c r="J100" s="863"/>
      <c r="K100" s="863"/>
      <c r="L100" s="863"/>
      <c r="M100" s="864"/>
      <c r="N100" s="856" t="s">
        <v>779</v>
      </c>
      <c r="O100" s="857"/>
      <c r="P100" s="857"/>
      <c r="Q100" s="857"/>
      <c r="R100" s="857"/>
      <c r="S100" s="858"/>
      <c r="T100" s="563">
        <f t="shared" si="2"/>
        <v>14</v>
      </c>
      <c r="U100" s="570"/>
      <c r="V100" s="571"/>
    </row>
    <row r="101" spans="1:22" ht="13.5" customHeight="1" x14ac:dyDescent="0.25">
      <c r="A101" s="850" t="s">
        <v>788</v>
      </c>
      <c r="B101" s="851"/>
      <c r="C101" s="851"/>
      <c r="D101" s="851"/>
      <c r="E101" s="851"/>
      <c r="F101" s="851"/>
      <c r="G101" s="851"/>
      <c r="H101" s="851"/>
      <c r="I101" s="851"/>
      <c r="J101" s="851"/>
      <c r="K101" s="851"/>
      <c r="L101" s="851"/>
      <c r="M101" s="852"/>
      <c r="N101" s="856" t="s">
        <v>778</v>
      </c>
      <c r="O101" s="857"/>
      <c r="P101" s="857"/>
      <c r="Q101" s="857"/>
      <c r="R101" s="857"/>
      <c r="S101" s="858"/>
      <c r="T101" s="563">
        <f t="shared" si="2"/>
        <v>15</v>
      </c>
      <c r="U101" s="568">
        <f>TB!N51</f>
        <v>0</v>
      </c>
      <c r="V101" s="569"/>
    </row>
    <row r="102" spans="1:22" ht="13.5" customHeight="1" x14ac:dyDescent="0.25">
      <c r="A102" s="853"/>
      <c r="B102" s="854"/>
      <c r="C102" s="854"/>
      <c r="D102" s="854"/>
      <c r="E102" s="854"/>
      <c r="F102" s="854"/>
      <c r="G102" s="854"/>
      <c r="H102" s="854"/>
      <c r="I102" s="854"/>
      <c r="J102" s="854"/>
      <c r="K102" s="854"/>
      <c r="L102" s="854"/>
      <c r="M102" s="855"/>
      <c r="N102" s="856" t="s">
        <v>779</v>
      </c>
      <c r="O102" s="857"/>
      <c r="P102" s="857"/>
      <c r="Q102" s="857"/>
      <c r="R102" s="857"/>
      <c r="S102" s="858"/>
      <c r="T102" s="563">
        <f t="shared" si="2"/>
        <v>16</v>
      </c>
      <c r="U102" s="570"/>
      <c r="V102" s="571">
        <f>TB!O51</f>
        <v>65000</v>
      </c>
    </row>
    <row r="103" spans="1:22" ht="13.5" customHeight="1" x14ac:dyDescent="0.25">
      <c r="A103" s="557"/>
      <c r="B103" s="557"/>
      <c r="C103" s="558"/>
      <c r="D103" s="558"/>
      <c r="E103" s="558"/>
      <c r="F103" s="558"/>
      <c r="G103" s="558"/>
      <c r="H103" s="558"/>
      <c r="I103" s="558"/>
      <c r="J103" s="558"/>
      <c r="K103" s="558"/>
      <c r="L103" s="558"/>
      <c r="M103" s="558"/>
      <c r="N103" s="558"/>
      <c r="O103" s="558"/>
      <c r="P103" s="558"/>
      <c r="Q103" s="558"/>
      <c r="R103" s="558"/>
      <c r="S103" s="558"/>
      <c r="T103" s="558"/>
      <c r="U103" s="558"/>
      <c r="V103" s="572"/>
    </row>
    <row r="104" spans="1:22" ht="13.5" customHeight="1" x14ac:dyDescent="0.25">
      <c r="A104" s="573"/>
      <c r="B104" s="538" t="s">
        <v>789</v>
      </c>
      <c r="C104" s="573"/>
      <c r="D104" s="573"/>
      <c r="E104" s="573"/>
      <c r="F104" s="573"/>
      <c r="G104" s="573"/>
      <c r="H104" s="573"/>
      <c r="I104" s="573"/>
      <c r="J104" s="573"/>
      <c r="K104" s="573"/>
      <c r="L104" s="573"/>
      <c r="M104" s="573"/>
      <c r="N104" s="573"/>
      <c r="O104" s="573"/>
      <c r="P104" s="573"/>
      <c r="Q104" s="573"/>
      <c r="R104" s="573"/>
      <c r="S104" s="573"/>
      <c r="T104" s="538" t="s">
        <v>790</v>
      </c>
      <c r="V104" s="554"/>
    </row>
    <row r="105" spans="1:22" ht="13.5" customHeight="1" x14ac:dyDescent="0.25">
      <c r="A105" s="573"/>
      <c r="B105" s="573"/>
      <c r="C105" s="573"/>
      <c r="D105" s="573"/>
      <c r="E105" s="573"/>
      <c r="F105" s="573"/>
      <c r="G105" s="573"/>
      <c r="H105" s="573"/>
      <c r="I105" s="573"/>
      <c r="J105" s="573"/>
      <c r="K105" s="573"/>
      <c r="L105" s="573"/>
      <c r="M105" s="573"/>
      <c r="N105" s="573"/>
      <c r="O105" s="573"/>
      <c r="P105" s="573"/>
      <c r="Q105" s="573"/>
      <c r="R105" s="573"/>
      <c r="S105" s="573"/>
      <c r="T105" s="492"/>
      <c r="U105" s="573"/>
      <c r="V105" s="554"/>
    </row>
    <row r="106" spans="1:22" ht="13.5" customHeight="1" x14ac:dyDescent="0.25">
      <c r="A106" s="573"/>
      <c r="B106" s="573"/>
      <c r="C106" s="573" t="str">
        <f>BS!B74</f>
        <v>Захирал:</v>
      </c>
      <c r="D106" s="573"/>
      <c r="E106" s="573"/>
      <c r="F106" s="573"/>
      <c r="G106" s="573"/>
      <c r="H106" s="573"/>
      <c r="I106" s="573"/>
      <c r="J106" s="573"/>
      <c r="K106" s="573"/>
      <c r="L106" s="573"/>
      <c r="M106" s="573"/>
      <c r="N106" s="573"/>
      <c r="O106" s="573" t="str">
        <f>Info!F7</f>
        <v>Ш,Азура</v>
      </c>
      <c r="P106" s="573"/>
      <c r="Q106" s="573"/>
      <c r="R106" s="573"/>
      <c r="S106" s="573"/>
      <c r="T106" s="573" t="s">
        <v>791</v>
      </c>
      <c r="V106" s="554"/>
    </row>
    <row r="107" spans="1:22" ht="13.5" customHeight="1" x14ac:dyDescent="0.25">
      <c r="A107" s="573"/>
      <c r="B107" s="573"/>
      <c r="C107" s="573"/>
      <c r="D107" s="573"/>
      <c r="E107" s="573"/>
      <c r="F107" s="573"/>
      <c r="G107" s="573"/>
      <c r="H107" s="573"/>
      <c r="I107" s="573"/>
      <c r="J107" s="573"/>
      <c r="K107" s="573"/>
      <c r="L107" s="573"/>
      <c r="M107" s="573"/>
      <c r="N107" s="573"/>
      <c r="O107" s="573"/>
      <c r="P107" s="573"/>
      <c r="Q107" s="573"/>
      <c r="R107" s="573"/>
      <c r="S107" s="573"/>
      <c r="T107" s="573"/>
      <c r="U107" s="574"/>
      <c r="V107" s="554"/>
    </row>
    <row r="108" spans="1:22" ht="13.5" customHeight="1" x14ac:dyDescent="0.25">
      <c r="A108" s="573"/>
      <c r="B108" s="573"/>
      <c r="C108" s="573"/>
      <c r="D108" s="573"/>
      <c r="E108" s="573"/>
      <c r="F108" s="573"/>
      <c r="G108" s="573"/>
      <c r="H108" s="573"/>
      <c r="I108" s="573"/>
      <c r="J108" s="573"/>
      <c r="K108" s="573"/>
      <c r="L108" s="573"/>
      <c r="M108" s="573"/>
      <c r="N108" s="573"/>
      <c r="O108" s="573"/>
      <c r="P108" s="573"/>
      <c r="Q108" s="573"/>
      <c r="R108" s="573"/>
      <c r="S108" s="573"/>
      <c r="T108" s="573"/>
      <c r="U108" s="574"/>
      <c r="V108" s="554"/>
    </row>
    <row r="109" spans="1:22" ht="13.5" customHeight="1" x14ac:dyDescent="0.25">
      <c r="A109" s="573"/>
      <c r="B109" s="573"/>
      <c r="C109" s="573" t="str">
        <f>BS!B77</f>
        <v>Ерөнхий нягтлан бодогч:</v>
      </c>
      <c r="D109" s="573"/>
      <c r="E109" s="573"/>
      <c r="F109" s="573"/>
      <c r="G109" s="573"/>
      <c r="H109" s="573"/>
      <c r="I109" s="573"/>
      <c r="J109" s="573"/>
      <c r="K109" s="573"/>
      <c r="L109" s="573"/>
      <c r="M109" s="573"/>
      <c r="N109" s="573"/>
      <c r="O109" s="573" t="str">
        <f>Info!F8</f>
        <v>С.Одзаяа</v>
      </c>
      <c r="P109" s="573"/>
      <c r="Q109" s="573"/>
      <c r="R109" s="573"/>
      <c r="S109" s="573"/>
      <c r="T109" s="573"/>
      <c r="U109" s="574"/>
      <c r="V109" s="554"/>
    </row>
    <row r="110" spans="1:22" ht="13.5" customHeight="1" x14ac:dyDescent="0.25">
      <c r="A110" s="538"/>
      <c r="B110" s="538"/>
      <c r="C110" s="573"/>
      <c r="D110" s="573"/>
      <c r="E110" s="322"/>
      <c r="F110" s="322"/>
      <c r="G110" s="322"/>
      <c r="H110" s="322"/>
      <c r="I110" s="322"/>
      <c r="J110" s="322"/>
      <c r="K110" s="322"/>
      <c r="L110" s="322"/>
      <c r="M110" s="322"/>
      <c r="N110" s="322"/>
      <c r="O110" s="322"/>
      <c r="P110" s="322"/>
      <c r="Q110" s="573"/>
      <c r="R110" s="573"/>
      <c r="S110" s="573"/>
      <c r="T110" s="878">
        <f>Info!F9</f>
        <v>44926</v>
      </c>
      <c r="U110" s="878"/>
      <c r="V110" s="878"/>
    </row>
  </sheetData>
  <mergeCells count="88">
    <mergeCell ref="A63:T63"/>
    <mergeCell ref="A64:T64"/>
    <mergeCell ref="B66:T66"/>
    <mergeCell ref="A68:T68"/>
    <mergeCell ref="B69:T69"/>
    <mergeCell ref="A67:T67"/>
    <mergeCell ref="T110:V110"/>
    <mergeCell ref="E36:T36"/>
    <mergeCell ref="B39:T39"/>
    <mergeCell ref="B40:T40"/>
    <mergeCell ref="B41:T41"/>
    <mergeCell ref="B43:T43"/>
    <mergeCell ref="B44:T44"/>
    <mergeCell ref="B45:T45"/>
    <mergeCell ref="B46:T46"/>
    <mergeCell ref="B47:T47"/>
    <mergeCell ref="B48:T48"/>
    <mergeCell ref="B49:T49"/>
    <mergeCell ref="B50:T50"/>
    <mergeCell ref="B51:T51"/>
    <mergeCell ref="A61:T61"/>
    <mergeCell ref="A62:T62"/>
    <mergeCell ref="A82:T82"/>
    <mergeCell ref="A94:M95"/>
    <mergeCell ref="A91:S91"/>
    <mergeCell ref="A92:S92"/>
    <mergeCell ref="A93:S93"/>
    <mergeCell ref="N87:S87"/>
    <mergeCell ref="A89:M90"/>
    <mergeCell ref="A83:T83"/>
    <mergeCell ref="A84:T84"/>
    <mergeCell ref="A87:M88"/>
    <mergeCell ref="N88:S88"/>
    <mergeCell ref="N89:S89"/>
    <mergeCell ref="N90:S90"/>
    <mergeCell ref="N94:S94"/>
    <mergeCell ref="N95:S95"/>
    <mergeCell ref="A70:T70"/>
    <mergeCell ref="B73:T73"/>
    <mergeCell ref="A72:T72"/>
    <mergeCell ref="B71:T71"/>
    <mergeCell ref="A81:T81"/>
    <mergeCell ref="A79:T79"/>
    <mergeCell ref="A80:T80"/>
    <mergeCell ref="A74:T74"/>
    <mergeCell ref="A77:T77"/>
    <mergeCell ref="A78:T78"/>
    <mergeCell ref="A101:M102"/>
    <mergeCell ref="N96:S96"/>
    <mergeCell ref="N97:S97"/>
    <mergeCell ref="A98:S98"/>
    <mergeCell ref="N99:S99"/>
    <mergeCell ref="N100:S100"/>
    <mergeCell ref="N101:S101"/>
    <mergeCell ref="N102:S102"/>
    <mergeCell ref="A99:M100"/>
    <mergeCell ref="A96:M97"/>
    <mergeCell ref="C25:T25"/>
    <mergeCell ref="C26:T26"/>
    <mergeCell ref="C27:D37"/>
    <mergeCell ref="E30:T30"/>
    <mergeCell ref="E34:T34"/>
    <mergeCell ref="E35:T35"/>
    <mergeCell ref="E37:T37"/>
    <mergeCell ref="E31:T31"/>
    <mergeCell ref="E32:T32"/>
    <mergeCell ref="E33:T33"/>
    <mergeCell ref="N4:T4"/>
    <mergeCell ref="A6:V6"/>
    <mergeCell ref="A7:V7"/>
    <mergeCell ref="A21:T21"/>
    <mergeCell ref="A22:T22"/>
    <mergeCell ref="A23:B37"/>
    <mergeCell ref="B42:T42"/>
    <mergeCell ref="A56:T56"/>
    <mergeCell ref="A38:T38"/>
    <mergeCell ref="A57:B60"/>
    <mergeCell ref="C57:T57"/>
    <mergeCell ref="C58:T58"/>
    <mergeCell ref="C59:T59"/>
    <mergeCell ref="C60:T60"/>
    <mergeCell ref="A52:T52"/>
    <mergeCell ref="A55:T55"/>
    <mergeCell ref="E27:T27"/>
    <mergeCell ref="E28:T28"/>
    <mergeCell ref="E29:T29"/>
    <mergeCell ref="C23:T23"/>
    <mergeCell ref="C24:T24"/>
  </mergeCells>
  <pageMargins left="0.2" right="0.2" top="0.25" bottom="0.25" header="0" footer="0"/>
  <pageSetup paperSize="9" scale="76" orientation="portrait" r:id="rId1"/>
  <rowBreaks count="1" manualBreakCount="1">
    <brk id="53" max="21" man="1"/>
  </rowBreaks>
  <ignoredErrors>
    <ignoredError sqref="T88:T102" unlockedFormula="1"/>
  </ignoredError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D63"/>
  <sheetViews>
    <sheetView view="pageBreakPreview" zoomScaleNormal="100" zoomScaleSheetLayoutView="100" workbookViewId="0">
      <pane xSplit="1" ySplit="5" topLeftCell="B45" activePane="bottomRight" state="frozen"/>
      <selection pane="topRight" activeCell="B1" sqref="B1"/>
      <selection pane="bottomLeft" activeCell="A6" sqref="A6"/>
      <selection pane="bottomRight" activeCell="B10" sqref="B10"/>
    </sheetView>
  </sheetViews>
  <sheetFormatPr defaultColWidth="8.88671875" defaultRowHeight="13.2" x14ac:dyDescent="0.25"/>
  <cols>
    <col min="1" max="1" width="5" style="127" customWidth="1"/>
    <col min="2" max="2" width="99.33203125" style="127" bestFit="1" customWidth="1"/>
    <col min="3" max="3" width="6.109375" style="137" customWidth="1"/>
    <col min="4" max="4" width="18.6640625" style="144" customWidth="1"/>
    <col min="5" max="6" width="2.109375" style="126" customWidth="1"/>
    <col min="7" max="16384" width="8.88671875" style="126"/>
  </cols>
  <sheetData>
    <row r="1" spans="1:4" ht="15" customHeight="1" x14ac:dyDescent="0.25">
      <c r="C1" s="142" t="s">
        <v>792</v>
      </c>
      <c r="D1" s="146"/>
    </row>
    <row r="2" spans="1:4" ht="15" customHeight="1" x14ac:dyDescent="0.25">
      <c r="C2" s="142" t="s">
        <v>793</v>
      </c>
      <c r="D2" s="146"/>
    </row>
    <row r="3" spans="1:4" ht="17.100000000000001" customHeight="1" x14ac:dyDescent="0.25">
      <c r="B3" s="128" t="s">
        <v>794</v>
      </c>
    </row>
    <row r="4" spans="1:4" ht="17.100000000000001" customHeight="1" x14ac:dyDescent="0.25">
      <c r="B4" s="128" t="s">
        <v>795</v>
      </c>
    </row>
    <row r="5" spans="1:4" ht="12.9" customHeight="1" x14ac:dyDescent="0.25">
      <c r="A5" s="127" t="s">
        <v>796</v>
      </c>
    </row>
    <row r="6" spans="1:4" x14ac:dyDescent="0.25">
      <c r="A6" s="134"/>
      <c r="B6" s="288" t="s">
        <v>797</v>
      </c>
      <c r="C6" s="288" t="s">
        <v>798</v>
      </c>
      <c r="D6" s="289" t="s">
        <v>799</v>
      </c>
    </row>
    <row r="7" spans="1:4" x14ac:dyDescent="0.25">
      <c r="A7" s="900" t="s">
        <v>800</v>
      </c>
      <c r="B7" s="901"/>
      <c r="C7" s="151">
        <v>1</v>
      </c>
      <c r="D7" s="145">
        <f>IS!D26</f>
        <v>6560000</v>
      </c>
    </row>
    <row r="8" spans="1:4" ht="13.8" x14ac:dyDescent="0.25">
      <c r="A8" s="129" t="s">
        <v>801</v>
      </c>
      <c r="B8" s="129"/>
      <c r="C8" s="143"/>
      <c r="D8" s="147"/>
    </row>
    <row r="9" spans="1:4" ht="13.8" x14ac:dyDescent="0.25">
      <c r="A9" s="130">
        <v>1</v>
      </c>
      <c r="B9" s="131" t="s">
        <v>802</v>
      </c>
      <c r="C9" s="130">
        <v>2</v>
      </c>
      <c r="D9" s="145">
        <f>SUM(D10:D11)</f>
        <v>0</v>
      </c>
    </row>
    <row r="10" spans="1:4" ht="13.8" x14ac:dyDescent="0.25">
      <c r="A10" s="132"/>
      <c r="B10" s="133" t="s">
        <v>803</v>
      </c>
      <c r="C10" s="139">
        <v>3</v>
      </c>
      <c r="D10" s="145">
        <f>'Зардлын задаргаа'!V67</f>
        <v>0</v>
      </c>
    </row>
    <row r="11" spans="1:4" ht="13.8" x14ac:dyDescent="0.25">
      <c r="A11" s="132"/>
      <c r="B11" s="133" t="s">
        <v>804</v>
      </c>
      <c r="C11" s="139">
        <v>4</v>
      </c>
      <c r="D11" s="145">
        <v>0</v>
      </c>
    </row>
    <row r="12" spans="1:4" ht="13.8" x14ac:dyDescent="0.25">
      <c r="A12" s="130">
        <v>2</v>
      </c>
      <c r="B12" s="131" t="s">
        <v>805</v>
      </c>
      <c r="C12" s="130">
        <v>5</v>
      </c>
      <c r="D12" s="145">
        <f>SUM(D13:D15)</f>
        <v>60000</v>
      </c>
    </row>
    <row r="13" spans="1:4" ht="13.8" x14ac:dyDescent="0.25">
      <c r="A13" s="132"/>
      <c r="B13" s="133" t="s">
        <v>806</v>
      </c>
      <c r="C13" s="139">
        <v>6</v>
      </c>
      <c r="D13" s="145"/>
    </row>
    <row r="14" spans="1:4" ht="13.8" x14ac:dyDescent="0.25">
      <c r="A14" s="132"/>
      <c r="B14" s="133" t="s">
        <v>807</v>
      </c>
      <c r="C14" s="139">
        <v>7</v>
      </c>
      <c r="D14" s="145">
        <f>ААНОАТ!$V$55</f>
        <v>60000</v>
      </c>
    </row>
    <row r="15" spans="1:4" x14ac:dyDescent="0.25">
      <c r="A15" s="134"/>
      <c r="B15" s="290" t="s">
        <v>808</v>
      </c>
      <c r="C15" s="138">
        <v>8</v>
      </c>
      <c r="D15" s="145"/>
    </row>
    <row r="16" spans="1:4" x14ac:dyDescent="0.25">
      <c r="A16" s="898" t="s">
        <v>809</v>
      </c>
      <c r="B16" s="899"/>
      <c r="C16" s="140">
        <v>9</v>
      </c>
      <c r="D16" s="145">
        <f>D7+D9-D12</f>
        <v>6500000</v>
      </c>
    </row>
    <row r="17" spans="1:4" x14ac:dyDescent="0.25">
      <c r="A17" s="154" t="s">
        <v>810</v>
      </c>
      <c r="C17" s="152"/>
      <c r="D17" s="153"/>
    </row>
    <row r="18" spans="1:4" s="167" customFormat="1" x14ac:dyDescent="0.25">
      <c r="A18" s="163" t="s">
        <v>811</v>
      </c>
      <c r="B18" s="164"/>
      <c r="C18" s="165">
        <v>10</v>
      </c>
      <c r="D18" s="166">
        <f>SUM(D19:D21)</f>
        <v>0</v>
      </c>
    </row>
    <row r="19" spans="1:4" ht="13.8" x14ac:dyDescent="0.25">
      <c r="A19" s="159"/>
      <c r="B19" s="160" t="s">
        <v>812</v>
      </c>
      <c r="C19" s="161">
        <v>11</v>
      </c>
      <c r="D19" s="162"/>
    </row>
    <row r="20" spans="1:4" ht="13.8" x14ac:dyDescent="0.25">
      <c r="A20" s="156"/>
      <c r="B20" s="158" t="s">
        <v>813</v>
      </c>
      <c r="C20" s="157">
        <v>12</v>
      </c>
      <c r="D20" s="148"/>
    </row>
    <row r="21" spans="1:4" ht="13.8" x14ac:dyDescent="0.25">
      <c r="A21" s="156"/>
      <c r="B21" s="158" t="s">
        <v>814</v>
      </c>
      <c r="C21" s="157">
        <v>13</v>
      </c>
      <c r="D21" s="148"/>
    </row>
    <row r="22" spans="1:4" s="167" customFormat="1" ht="13.8" x14ac:dyDescent="0.25">
      <c r="A22" s="154" t="s">
        <v>815</v>
      </c>
      <c r="B22" s="168"/>
      <c r="C22" s="169">
        <v>14</v>
      </c>
      <c r="D22" s="145">
        <f>SUM(D23:D25)</f>
        <v>0</v>
      </c>
    </row>
    <row r="23" spans="1:4" ht="13.8" x14ac:dyDescent="0.25">
      <c r="A23" s="156"/>
      <c r="B23" s="158" t="s">
        <v>816</v>
      </c>
      <c r="C23" s="157">
        <v>15</v>
      </c>
      <c r="D23" s="148"/>
    </row>
    <row r="24" spans="1:4" ht="13.8" x14ac:dyDescent="0.25">
      <c r="A24" s="156"/>
      <c r="B24" s="158" t="s">
        <v>817</v>
      </c>
      <c r="C24" s="157">
        <v>16</v>
      </c>
      <c r="D24" s="148">
        <f>TB!$L$67</f>
        <v>0</v>
      </c>
    </row>
    <row r="25" spans="1:4" ht="13.8" x14ac:dyDescent="0.25">
      <c r="A25" s="156"/>
      <c r="B25" s="158" t="s">
        <v>818</v>
      </c>
      <c r="C25" s="157">
        <v>17</v>
      </c>
      <c r="D25" s="148"/>
    </row>
    <row r="26" spans="1:4" ht="13.2" customHeight="1" x14ac:dyDescent="0.25">
      <c r="A26" s="904" t="s">
        <v>819</v>
      </c>
      <c r="B26" s="905"/>
      <c r="C26" s="157">
        <v>18</v>
      </c>
      <c r="D26" s="145">
        <f>D16+D18-D22</f>
        <v>6500000</v>
      </c>
    </row>
    <row r="27" spans="1:4" x14ac:dyDescent="0.25">
      <c r="A27" s="154" t="s">
        <v>820</v>
      </c>
    </row>
    <row r="28" spans="1:4" ht="13.8" x14ac:dyDescent="0.25">
      <c r="A28" s="135"/>
      <c r="B28" s="158" t="s">
        <v>821</v>
      </c>
      <c r="C28" s="157">
        <v>19</v>
      </c>
      <c r="D28" s="148"/>
    </row>
    <row r="29" spans="1:4" ht="13.8" x14ac:dyDescent="0.25">
      <c r="A29" s="134"/>
      <c r="B29" s="155" t="s">
        <v>822</v>
      </c>
      <c r="C29" s="138">
        <v>20</v>
      </c>
      <c r="D29" s="148">
        <v>0</v>
      </c>
    </row>
    <row r="30" spans="1:4" x14ac:dyDescent="0.25">
      <c r="A30" s="902" t="s">
        <v>823</v>
      </c>
      <c r="B30" s="899"/>
      <c r="C30" s="140">
        <v>21</v>
      </c>
      <c r="D30" s="145">
        <f>D26+D28-D29</f>
        <v>6500000</v>
      </c>
    </row>
    <row r="31" spans="1:4" ht="13.8" x14ac:dyDescent="0.25">
      <c r="A31" s="134"/>
      <c r="B31" s="155" t="s">
        <v>824</v>
      </c>
      <c r="C31" s="138">
        <v>22</v>
      </c>
      <c r="D31" s="148">
        <f>IF(D30&lt;0,0,D30*0.01)</f>
        <v>65000</v>
      </c>
    </row>
    <row r="32" spans="1:4" ht="27.6" x14ac:dyDescent="0.25">
      <c r="A32" s="135"/>
      <c r="B32" s="170" t="s">
        <v>825</v>
      </c>
      <c r="C32" s="157">
        <v>23</v>
      </c>
      <c r="D32" s="148"/>
    </row>
    <row r="33" spans="1:4" ht="27.6" x14ac:dyDescent="0.25">
      <c r="A33" s="135"/>
      <c r="B33" s="170" t="s">
        <v>826</v>
      </c>
      <c r="C33" s="157">
        <v>24</v>
      </c>
      <c r="D33" s="148"/>
    </row>
    <row r="34" spans="1:4" ht="13.8" x14ac:dyDescent="0.25">
      <c r="A34" s="135"/>
      <c r="B34" s="158" t="s">
        <v>827</v>
      </c>
      <c r="C34" s="157">
        <v>25</v>
      </c>
      <c r="D34" s="148"/>
    </row>
    <row r="35" spans="1:4" ht="13.8" x14ac:dyDescent="0.25">
      <c r="A35" s="135"/>
      <c r="B35" s="170" t="s">
        <v>828</v>
      </c>
      <c r="C35" s="157"/>
      <c r="D35" s="148"/>
    </row>
    <row r="36" spans="1:4" x14ac:dyDescent="0.25">
      <c r="A36" s="902" t="s">
        <v>829</v>
      </c>
      <c r="B36" s="903"/>
      <c r="C36" s="140">
        <v>28</v>
      </c>
      <c r="D36" s="145">
        <f>D31+D32-D33-D34-D35</f>
        <v>65000</v>
      </c>
    </row>
    <row r="37" spans="1:4" x14ac:dyDescent="0.25">
      <c r="A37" s="154" t="s">
        <v>830</v>
      </c>
    </row>
    <row r="38" spans="1:4" x14ac:dyDescent="0.25">
      <c r="A38" s="134"/>
      <c r="B38" s="290" t="s">
        <v>831</v>
      </c>
      <c r="C38" s="138">
        <v>29</v>
      </c>
      <c r="D38" s="148"/>
    </row>
    <row r="39" spans="1:4" ht="26.4" x14ac:dyDescent="0.25">
      <c r="A39" s="134"/>
      <c r="B39" s="134" t="s">
        <v>832</v>
      </c>
      <c r="C39" s="138">
        <v>30</v>
      </c>
      <c r="D39" s="148"/>
    </row>
    <row r="40" spans="1:4" x14ac:dyDescent="0.25">
      <c r="A40" s="134"/>
      <c r="B40" s="134" t="s">
        <v>833</v>
      </c>
      <c r="C40" s="138">
        <v>31</v>
      </c>
      <c r="D40" s="148"/>
    </row>
    <row r="41" spans="1:4" x14ac:dyDescent="0.25">
      <c r="A41" s="134"/>
      <c r="B41" s="134" t="s">
        <v>834</v>
      </c>
      <c r="C41" s="138">
        <v>32</v>
      </c>
      <c r="D41" s="148"/>
    </row>
    <row r="42" spans="1:4" x14ac:dyDescent="0.25">
      <c r="A42" s="898" t="s">
        <v>835</v>
      </c>
      <c r="B42" s="899"/>
      <c r="C42" s="140">
        <v>33</v>
      </c>
      <c r="D42" s="148">
        <f>D40-D41-D39-D38</f>
        <v>0</v>
      </c>
    </row>
    <row r="43" spans="1:4" x14ac:dyDescent="0.25">
      <c r="A43" s="154" t="s">
        <v>836</v>
      </c>
    </row>
    <row r="44" spans="1:4" x14ac:dyDescent="0.25">
      <c r="A44" s="134"/>
      <c r="B44" s="290" t="s">
        <v>837</v>
      </c>
      <c r="C44" s="138">
        <v>34</v>
      </c>
      <c r="D44" s="148"/>
    </row>
    <row r="45" spans="1:4" ht="26.4" x14ac:dyDescent="0.25">
      <c r="A45" s="134"/>
      <c r="B45" s="134" t="s">
        <v>838</v>
      </c>
      <c r="C45" s="138">
        <v>35</v>
      </c>
      <c r="D45" s="148"/>
    </row>
    <row r="46" spans="1:4" x14ac:dyDescent="0.25">
      <c r="A46" s="134"/>
      <c r="B46" s="134" t="s">
        <v>839</v>
      </c>
      <c r="C46" s="138">
        <v>36</v>
      </c>
      <c r="D46" s="148"/>
    </row>
    <row r="47" spans="1:4" x14ac:dyDescent="0.25">
      <c r="A47" s="134"/>
      <c r="B47" s="290" t="s">
        <v>840</v>
      </c>
      <c r="C47" s="138">
        <v>37</v>
      </c>
      <c r="D47" s="148"/>
    </row>
    <row r="48" spans="1:4" ht="26.4" x14ac:dyDescent="0.25">
      <c r="A48" s="134"/>
      <c r="B48" s="134" t="s">
        <v>841</v>
      </c>
      <c r="C48" s="138">
        <v>38</v>
      </c>
      <c r="D48" s="148"/>
    </row>
    <row r="49" spans="1:4" x14ac:dyDescent="0.25">
      <c r="A49" s="134"/>
      <c r="B49" s="134" t="s">
        <v>842</v>
      </c>
      <c r="C49" s="138">
        <v>39</v>
      </c>
      <c r="D49" s="148">
        <f>D46-D47+D48</f>
        <v>0</v>
      </c>
    </row>
    <row r="50" spans="1:4" ht="26.4" x14ac:dyDescent="0.25">
      <c r="A50" s="134"/>
      <c r="B50" s="134" t="s">
        <v>843</v>
      </c>
      <c r="C50" s="138">
        <v>40</v>
      </c>
      <c r="D50" s="148"/>
    </row>
    <row r="51" spans="1:4" x14ac:dyDescent="0.25">
      <c r="A51" s="898" t="s">
        <v>844</v>
      </c>
      <c r="B51" s="899"/>
      <c r="C51" s="140">
        <v>41</v>
      </c>
      <c r="D51" s="148">
        <f>D44+D45-D49+D50</f>
        <v>0</v>
      </c>
    </row>
    <row r="52" spans="1:4" x14ac:dyDescent="0.25">
      <c r="A52" s="154" t="s">
        <v>845</v>
      </c>
    </row>
    <row r="53" spans="1:4" ht="26.4" x14ac:dyDescent="0.25">
      <c r="A53" s="134"/>
      <c r="B53" s="134" t="s">
        <v>846</v>
      </c>
      <c r="C53" s="138">
        <v>42</v>
      </c>
      <c r="D53" s="148">
        <f>D54+D55+D56</f>
        <v>0</v>
      </c>
    </row>
    <row r="54" spans="1:4" x14ac:dyDescent="0.25">
      <c r="A54" s="134"/>
      <c r="B54" s="134" t="s">
        <v>847</v>
      </c>
      <c r="C54" s="138">
        <v>43</v>
      </c>
      <c r="D54" s="148"/>
    </row>
    <row r="55" spans="1:4" x14ac:dyDescent="0.25">
      <c r="A55" s="134"/>
      <c r="B55" s="134" t="s">
        <v>848</v>
      </c>
      <c r="C55" s="138">
        <v>44</v>
      </c>
      <c r="D55" s="148">
        <f>D42+D51</f>
        <v>0</v>
      </c>
    </row>
    <row r="56" spans="1:4" x14ac:dyDescent="0.25">
      <c r="A56" s="134"/>
      <c r="B56" s="134" t="s">
        <v>849</v>
      </c>
      <c r="C56" s="138">
        <v>45</v>
      </c>
      <c r="D56" s="148">
        <f>D39-D45</f>
        <v>0</v>
      </c>
    </row>
    <row r="57" spans="1:4" x14ac:dyDescent="0.25">
      <c r="A57" s="136"/>
      <c r="B57" s="136"/>
      <c r="C57" s="141"/>
      <c r="D57" s="149"/>
    </row>
    <row r="58" spans="1:4" x14ac:dyDescent="0.25">
      <c r="A58" s="136"/>
      <c r="B58" s="136"/>
      <c r="C58" s="141"/>
      <c r="D58" s="149"/>
    </row>
    <row r="59" spans="1:4" ht="12.9" customHeight="1" x14ac:dyDescent="0.25">
      <c r="A59" s="127" t="s">
        <v>850</v>
      </c>
    </row>
    <row r="60" spans="1:4" ht="12.9" customHeight="1" x14ac:dyDescent="0.25">
      <c r="A60" s="127" t="s">
        <v>851</v>
      </c>
    </row>
    <row r="61" spans="1:4" ht="12.9" customHeight="1" x14ac:dyDescent="0.25">
      <c r="A61" s="150" t="s">
        <v>852</v>
      </c>
    </row>
    <row r="62" spans="1:4" ht="12.9" customHeight="1" x14ac:dyDescent="0.25">
      <c r="A62" s="127" t="s">
        <v>853</v>
      </c>
    </row>
    <row r="63" spans="1:4" ht="12.9" customHeight="1" x14ac:dyDescent="0.25">
      <c r="A63" s="127" t="s">
        <v>854</v>
      </c>
    </row>
  </sheetData>
  <sheetProtection algorithmName="SHA-512" hashValue="Q5xvJT7arqSU651kZfhrCHb+JWDeoaYViQkKqqSaL0BLjej4+yWD0e1ia/gJd6LsgoM6qtaeORwBcMgxWqfB7g==" saltValue="fD8U1wqAdq3Ne87O+hfw4w==" spinCount="100000" sheet="1" objects="1" scenarios="1"/>
  <mergeCells count="7">
    <mergeCell ref="A42:B42"/>
    <mergeCell ref="A51:B51"/>
    <mergeCell ref="A7:B7"/>
    <mergeCell ref="A16:B16"/>
    <mergeCell ref="A30:B30"/>
    <mergeCell ref="A36:B36"/>
    <mergeCell ref="A26:B26"/>
  </mergeCells>
  <pageMargins left="0.7" right="0.7" top="0.75" bottom="0.75" header="0.3" footer="0.3"/>
  <pageSetup scale="57" orientation="portrait" r:id="rId1"/>
  <colBreaks count="1" manualBreakCount="1">
    <brk id="5"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W89"/>
  <sheetViews>
    <sheetView workbookViewId="0"/>
  </sheetViews>
  <sheetFormatPr defaultColWidth="12.6640625" defaultRowHeight="15" customHeight="1" x14ac:dyDescent="0.25"/>
  <cols>
    <col min="1" max="1" width="3.33203125" customWidth="1"/>
    <col min="2" max="15" width="2.44140625" customWidth="1"/>
    <col min="16" max="21" width="14.6640625" customWidth="1"/>
    <col min="22" max="22" width="6" customWidth="1"/>
    <col min="23" max="23" width="14.33203125" customWidth="1"/>
    <col min="24" max="26" width="9.109375" customWidth="1"/>
  </cols>
  <sheetData>
    <row r="1" spans="1:22" ht="13.5" customHeight="1" x14ac:dyDescent="0.35">
      <c r="A1" s="283"/>
      <c r="B1" s="283"/>
      <c r="C1" s="283"/>
      <c r="D1" s="283"/>
      <c r="E1" s="283"/>
      <c r="F1" s="283"/>
      <c r="G1" s="283"/>
      <c r="H1" s="283"/>
      <c r="I1" s="283"/>
      <c r="J1" s="283"/>
      <c r="K1" s="283"/>
      <c r="L1" s="283"/>
      <c r="M1" s="283"/>
      <c r="N1" s="283"/>
      <c r="O1" s="283"/>
      <c r="P1" s="283"/>
      <c r="Q1" s="291" t="s">
        <v>696</v>
      </c>
      <c r="R1" s="283"/>
      <c r="S1" s="283"/>
      <c r="T1" s="283"/>
      <c r="U1" s="292" t="s">
        <v>855</v>
      </c>
      <c r="V1" s="283"/>
    </row>
    <row r="2" spans="1:22" ht="13.5" customHeight="1" x14ac:dyDescent="0.25">
      <c r="A2" s="283"/>
      <c r="B2" s="283"/>
      <c r="C2" s="283"/>
      <c r="D2" s="283"/>
      <c r="E2" s="283"/>
      <c r="F2" s="283"/>
      <c r="G2" s="283"/>
      <c r="H2" s="283"/>
      <c r="I2" s="283"/>
      <c r="J2" s="283"/>
      <c r="K2" s="283"/>
      <c r="L2" s="283"/>
      <c r="M2" s="283"/>
      <c r="N2" s="283"/>
      <c r="O2" s="283"/>
      <c r="P2" s="283"/>
      <c r="Q2" s="283"/>
      <c r="R2" s="283"/>
      <c r="S2" s="283"/>
      <c r="T2" s="283"/>
      <c r="U2" s="292" t="s">
        <v>856</v>
      </c>
      <c r="V2" s="283"/>
    </row>
    <row r="3" spans="1:22" ht="13.5" customHeight="1" x14ac:dyDescent="0.25">
      <c r="A3" s="283"/>
      <c r="B3" s="283"/>
      <c r="C3" s="283"/>
      <c r="D3" s="283"/>
      <c r="E3" s="283"/>
      <c r="F3" s="283"/>
      <c r="G3" s="283"/>
      <c r="H3" s="283"/>
      <c r="I3" s="283"/>
      <c r="J3" s="283"/>
      <c r="K3" s="283"/>
      <c r="L3" s="283"/>
      <c r="M3" s="283"/>
      <c r="N3" s="283"/>
      <c r="O3" s="283"/>
      <c r="P3" s="293" t="s">
        <v>857</v>
      </c>
      <c r="Q3" s="283"/>
      <c r="R3" s="283"/>
      <c r="S3" s="283"/>
      <c r="T3" s="283"/>
      <c r="U3" s="283"/>
      <c r="V3" s="283"/>
    </row>
    <row r="4" spans="1:22" ht="13.5" customHeight="1" x14ac:dyDescent="0.25">
      <c r="A4" s="286"/>
      <c r="B4" s="286"/>
      <c r="C4" s="286"/>
      <c r="D4" s="286"/>
      <c r="E4" s="286"/>
      <c r="F4" s="286"/>
      <c r="G4" s="286"/>
      <c r="H4" s="286"/>
      <c r="I4" s="286"/>
      <c r="J4" s="286"/>
      <c r="K4" s="286"/>
      <c r="L4" s="286"/>
      <c r="M4" s="286"/>
      <c r="N4" s="286"/>
      <c r="O4" s="286"/>
      <c r="P4" s="285" t="s">
        <v>858</v>
      </c>
      <c r="Q4" s="286"/>
      <c r="R4" s="286"/>
      <c r="S4" s="286"/>
      <c r="T4" s="286"/>
      <c r="U4" s="286"/>
      <c r="V4" s="286" t="s">
        <v>859</v>
      </c>
    </row>
    <row r="5" spans="1:22" ht="13.5" customHeight="1" x14ac:dyDescent="0.25">
      <c r="A5" s="283"/>
      <c r="B5" s="283"/>
      <c r="C5" s="283"/>
      <c r="D5" s="283"/>
      <c r="E5" s="283"/>
      <c r="F5" s="283"/>
      <c r="G5" s="283"/>
      <c r="H5" s="283"/>
      <c r="I5" s="283"/>
      <c r="J5" s="283"/>
      <c r="K5" s="283"/>
      <c r="L5" s="283"/>
      <c r="M5" s="283"/>
      <c r="N5" s="283"/>
      <c r="O5" s="283"/>
      <c r="P5" s="283"/>
      <c r="Q5" s="283"/>
      <c r="R5" s="283"/>
      <c r="S5" s="283"/>
      <c r="T5" s="283"/>
      <c r="U5" s="283"/>
      <c r="V5" s="293"/>
    </row>
    <row r="6" spans="1:22" ht="13.5" customHeight="1" x14ac:dyDescent="0.25">
      <c r="A6" s="283">
        <f>ААНОАТ!A9</f>
        <v>1</v>
      </c>
      <c r="B6" s="283" t="str">
        <f>ААНОАТ!B9</f>
        <v>ТТД:</v>
      </c>
      <c r="C6" s="283"/>
      <c r="D6" s="283"/>
      <c r="E6" s="283"/>
      <c r="F6" s="107" t="str">
        <f>ААНОАТ!F9</f>
        <v/>
      </c>
      <c r="G6" s="107" t="str">
        <f>ААНОАТ!G9</f>
        <v/>
      </c>
      <c r="H6" s="107" t="str">
        <f>ААНОАТ!H9</f>
        <v/>
      </c>
      <c r="I6" s="107" t="str">
        <f>ААНОАТ!I9</f>
        <v/>
      </c>
      <c r="J6" s="107" t="str">
        <f>ААНОАТ!J9</f>
        <v/>
      </c>
      <c r="K6" s="107" t="str">
        <f>ААНОАТ!K9</f>
        <v/>
      </c>
      <c r="L6" s="107" t="str">
        <f>ААНОАТ!L9</f>
        <v/>
      </c>
      <c r="M6" s="283"/>
      <c r="N6" s="283"/>
      <c r="O6" s="283"/>
      <c r="P6" s="283">
        <f>ААНОАТ!P9</f>
        <v>2</v>
      </c>
      <c r="Q6" s="283" t="str">
        <f>ААНОАТ!Q9</f>
        <v>Нэр:</v>
      </c>
      <c r="R6" s="294" t="str">
        <f>ААНОАТ!S9</f>
        <v>"АЗЕЙ" ХХК</v>
      </c>
      <c r="S6" s="283" t="str">
        <f>ААНОАТ!V10</f>
        <v xml:space="preserve">3 Хариуцлагын хэлбэр </v>
      </c>
      <c r="T6" s="283"/>
      <c r="U6" s="295" t="e">
        <f>ААНОАТ!#REF!</f>
        <v>#REF!</v>
      </c>
      <c r="V6" s="283"/>
    </row>
    <row r="7" spans="1:22" ht="13.5" customHeight="1" x14ac:dyDescent="0.25">
      <c r="A7" s="283"/>
      <c r="B7" s="283"/>
      <c r="C7" s="283"/>
      <c r="D7" s="283"/>
      <c r="E7" s="283"/>
      <c r="F7" s="283"/>
      <c r="G7" s="283"/>
      <c r="H7" s="283"/>
      <c r="I7" s="283"/>
      <c r="J7" s="283"/>
      <c r="K7" s="283"/>
      <c r="L7" s="283"/>
      <c r="M7" s="283"/>
      <c r="N7" s="283"/>
      <c r="O7" s="283"/>
      <c r="P7" s="283"/>
      <c r="Q7" s="283"/>
      <c r="R7" s="283"/>
      <c r="S7" s="283"/>
      <c r="T7" s="296"/>
      <c r="U7" s="296"/>
      <c r="V7" s="283"/>
    </row>
    <row r="8" spans="1:22" ht="13.5" customHeight="1" x14ac:dyDescent="0.25">
      <c r="A8" s="283">
        <f>ААНОАТ!A12</f>
        <v>4</v>
      </c>
      <c r="B8" s="283" t="str">
        <f>ААНОАТ!B12</f>
        <v>Эрхлэх үйл ажиллагаа</v>
      </c>
      <c r="C8" s="283"/>
      <c r="D8" s="283"/>
      <c r="E8" s="283"/>
      <c r="F8" s="283"/>
      <c r="G8" s="283"/>
      <c r="H8" s="283"/>
      <c r="I8" s="283"/>
      <c r="J8" s="283"/>
      <c r="K8" s="283"/>
      <c r="L8" s="283"/>
      <c r="M8" s="283"/>
      <c r="N8" s="283"/>
      <c r="O8" s="283" t="s">
        <v>860</v>
      </c>
      <c r="P8" s="283"/>
      <c r="Q8" s="283"/>
      <c r="R8" s="283"/>
      <c r="S8" s="283"/>
      <c r="T8" s="284"/>
      <c r="U8" s="284"/>
      <c r="V8" s="283"/>
    </row>
    <row r="9" spans="1:22" ht="13.5" customHeight="1" x14ac:dyDescent="0.25">
      <c r="A9" s="283" t="s">
        <v>704</v>
      </c>
      <c r="B9" s="283"/>
      <c r="C9" s="283"/>
      <c r="D9" s="283" t="s">
        <v>705</v>
      </c>
      <c r="E9" s="283"/>
      <c r="F9" s="105"/>
      <c r="G9" s="105"/>
      <c r="H9" s="105"/>
      <c r="I9" s="105"/>
      <c r="J9" s="105"/>
      <c r="K9" s="105"/>
      <c r="L9" s="105"/>
      <c r="M9" s="283"/>
      <c r="N9" s="283"/>
      <c r="O9" s="283"/>
      <c r="P9" s="283"/>
      <c r="Q9" s="283"/>
      <c r="R9" s="283"/>
      <c r="S9" s="283"/>
      <c r="T9" s="296"/>
      <c r="U9" s="296"/>
      <c r="V9" s="283"/>
    </row>
    <row r="10" spans="1:22" ht="13.5" customHeight="1" x14ac:dyDescent="0.25">
      <c r="A10" s="283"/>
      <c r="B10" s="283"/>
      <c r="C10" s="283"/>
      <c r="D10" s="283"/>
      <c r="E10" s="283"/>
      <c r="F10" s="283"/>
      <c r="G10" s="283"/>
      <c r="H10" s="283"/>
      <c r="I10" s="283"/>
      <c r="J10" s="283"/>
      <c r="K10" s="283"/>
      <c r="L10" s="283"/>
      <c r="M10" s="283"/>
      <c r="N10" s="283"/>
      <c r="O10" s="283"/>
      <c r="P10" s="283"/>
      <c r="Q10" s="283"/>
      <c r="R10" s="283"/>
      <c r="S10" s="283"/>
      <c r="T10" s="296"/>
      <c r="U10" s="296"/>
      <c r="V10" s="283"/>
    </row>
    <row r="11" spans="1:22" ht="13.5" customHeight="1" x14ac:dyDescent="0.25">
      <c r="A11" s="283" t="str">
        <f>ААНОАТ!$A$15</f>
        <v>5. Тайлант хугацаа: он | 2 | 0 | 2 | 0 |  улирал          4</v>
      </c>
      <c r="B11" s="283"/>
      <c r="C11" s="283"/>
      <c r="D11" s="283"/>
      <c r="E11" s="283"/>
      <c r="F11" s="283"/>
      <c r="G11" s="283"/>
      <c r="H11" s="283"/>
      <c r="I11" s="283"/>
      <c r="J11" s="283"/>
      <c r="K11" s="283"/>
      <c r="L11" s="283"/>
      <c r="M11" s="283"/>
      <c r="N11" s="283"/>
      <c r="O11" s="283"/>
      <c r="P11" s="283"/>
      <c r="Q11" s="283"/>
      <c r="R11" s="283"/>
      <c r="S11" s="283"/>
      <c r="T11" s="296"/>
      <c r="U11" s="296"/>
      <c r="V11" s="283"/>
    </row>
    <row r="12" spans="1:22" ht="13.5" customHeight="1" x14ac:dyDescent="0.25">
      <c r="A12" s="283"/>
      <c r="B12" s="283"/>
      <c r="C12" s="283"/>
      <c r="D12" s="283"/>
      <c r="E12" s="283"/>
      <c r="F12" s="283"/>
      <c r="G12" s="283"/>
      <c r="H12" s="283"/>
      <c r="I12" s="283"/>
      <c r="J12" s="283"/>
      <c r="K12" s="283"/>
      <c r="L12" s="283"/>
      <c r="M12" s="283"/>
      <c r="N12" s="283"/>
      <c r="O12" s="283"/>
      <c r="P12" s="283"/>
      <c r="Q12" s="283"/>
      <c r="R12" s="283"/>
      <c r="S12" s="283"/>
      <c r="T12" s="296"/>
      <c r="U12" s="296"/>
      <c r="V12" s="283"/>
    </row>
    <row r="13" spans="1:22" ht="13.5" customHeight="1" x14ac:dyDescent="0.25">
      <c r="A13" s="293" t="s">
        <v>861</v>
      </c>
      <c r="B13" s="297"/>
      <c r="C13" s="283"/>
      <c r="D13" s="283"/>
      <c r="E13" s="283"/>
      <c r="F13" s="283"/>
      <c r="G13" s="283"/>
      <c r="H13" s="283"/>
      <c r="I13" s="283"/>
      <c r="J13" s="283"/>
      <c r="K13" s="283"/>
      <c r="L13" s="283"/>
      <c r="M13" s="283"/>
      <c r="N13" s="283"/>
      <c r="O13" s="283"/>
      <c r="P13" s="283"/>
      <c r="Q13" s="283"/>
      <c r="R13" s="283"/>
      <c r="S13" s="283"/>
      <c r="T13" s="283"/>
      <c r="U13" s="283"/>
      <c r="V13" s="283"/>
    </row>
    <row r="14" spans="1:22" ht="67.5" customHeight="1" x14ac:dyDescent="0.25">
      <c r="A14" s="108" t="s">
        <v>42</v>
      </c>
      <c r="B14" s="908" t="s">
        <v>862</v>
      </c>
      <c r="C14" s="690"/>
      <c r="D14" s="690"/>
      <c r="E14" s="690"/>
      <c r="F14" s="691"/>
      <c r="G14" s="908" t="s">
        <v>863</v>
      </c>
      <c r="H14" s="690"/>
      <c r="I14" s="690"/>
      <c r="J14" s="690"/>
      <c r="K14" s="691"/>
      <c r="L14" s="908" t="s">
        <v>864</v>
      </c>
      <c r="M14" s="690"/>
      <c r="N14" s="690"/>
      <c r="O14" s="691"/>
      <c r="P14" s="109" t="s">
        <v>865</v>
      </c>
      <c r="Q14" s="109" t="s">
        <v>866</v>
      </c>
      <c r="R14" s="176" t="s">
        <v>867</v>
      </c>
      <c r="S14" s="109" t="s">
        <v>868</v>
      </c>
      <c r="T14" s="109" t="s">
        <v>869</v>
      </c>
      <c r="U14" s="908" t="s">
        <v>870</v>
      </c>
      <c r="V14" s="691"/>
    </row>
    <row r="15" spans="1:22" ht="13.5" customHeight="1" x14ac:dyDescent="0.25">
      <c r="A15" s="110">
        <v>0</v>
      </c>
      <c r="B15" s="908">
        <v>1</v>
      </c>
      <c r="C15" s="690"/>
      <c r="D15" s="690"/>
      <c r="E15" s="690"/>
      <c r="F15" s="691"/>
      <c r="G15" s="908">
        <v>2</v>
      </c>
      <c r="H15" s="690"/>
      <c r="I15" s="690"/>
      <c r="J15" s="690"/>
      <c r="K15" s="691"/>
      <c r="L15" s="908">
        <v>3</v>
      </c>
      <c r="M15" s="690"/>
      <c r="N15" s="690"/>
      <c r="O15" s="691"/>
      <c r="P15" s="111">
        <v>4</v>
      </c>
      <c r="Q15" s="111">
        <v>5</v>
      </c>
      <c r="R15" s="111">
        <v>6</v>
      </c>
      <c r="S15" s="111">
        <v>7</v>
      </c>
      <c r="T15" s="111">
        <v>8</v>
      </c>
      <c r="U15" s="908">
        <v>9</v>
      </c>
      <c r="V15" s="691"/>
    </row>
    <row r="16" spans="1:22" ht="13.5" customHeight="1" x14ac:dyDescent="0.25">
      <c r="A16" s="112"/>
      <c r="B16" s="908"/>
      <c r="C16" s="690"/>
      <c r="D16" s="690"/>
      <c r="E16" s="690"/>
      <c r="F16" s="691"/>
      <c r="G16" s="908"/>
      <c r="H16" s="690"/>
      <c r="I16" s="690"/>
      <c r="J16" s="690"/>
      <c r="K16" s="691"/>
      <c r="L16" s="908"/>
      <c r="M16" s="690"/>
      <c r="N16" s="690"/>
      <c r="O16" s="691"/>
      <c r="P16" s="113"/>
      <c r="Q16" s="110"/>
      <c r="R16" s="111"/>
      <c r="S16" s="113"/>
      <c r="T16" s="108"/>
      <c r="U16" s="908"/>
      <c r="V16" s="691"/>
    </row>
    <row r="17" spans="1:23" ht="13.5" customHeight="1" x14ac:dyDescent="0.25">
      <c r="A17" s="112"/>
      <c r="B17" s="908"/>
      <c r="C17" s="690"/>
      <c r="D17" s="690"/>
      <c r="E17" s="690"/>
      <c r="F17" s="691"/>
      <c r="G17" s="908"/>
      <c r="H17" s="690"/>
      <c r="I17" s="690"/>
      <c r="J17" s="690"/>
      <c r="K17" s="691"/>
      <c r="L17" s="908"/>
      <c r="M17" s="690"/>
      <c r="N17" s="690"/>
      <c r="O17" s="691"/>
      <c r="P17" s="110"/>
      <c r="Q17" s="110"/>
      <c r="R17" s="111"/>
      <c r="S17" s="113"/>
      <c r="T17" s="108"/>
      <c r="U17" s="908"/>
      <c r="V17" s="691"/>
      <c r="W17" s="283"/>
    </row>
    <row r="18" spans="1:23" ht="13.5" customHeight="1" x14ac:dyDescent="0.25">
      <c r="A18" s="112"/>
      <c r="B18" s="908"/>
      <c r="C18" s="690"/>
      <c r="D18" s="690"/>
      <c r="E18" s="690"/>
      <c r="F18" s="691"/>
      <c r="G18" s="908"/>
      <c r="H18" s="690"/>
      <c r="I18" s="690"/>
      <c r="J18" s="690"/>
      <c r="K18" s="691"/>
      <c r="L18" s="908"/>
      <c r="M18" s="690"/>
      <c r="N18" s="690"/>
      <c r="O18" s="691"/>
      <c r="P18" s="112"/>
      <c r="Q18" s="112"/>
      <c r="R18" s="111"/>
      <c r="S18" s="113"/>
      <c r="T18" s="104"/>
      <c r="U18" s="908"/>
      <c r="V18" s="691"/>
      <c r="W18" s="283"/>
    </row>
    <row r="19" spans="1:23" ht="13.5" customHeight="1" x14ac:dyDescent="0.25">
      <c r="A19" s="112"/>
      <c r="B19" s="908"/>
      <c r="C19" s="690"/>
      <c r="D19" s="690"/>
      <c r="E19" s="690"/>
      <c r="F19" s="691"/>
      <c r="G19" s="908"/>
      <c r="H19" s="690"/>
      <c r="I19" s="690"/>
      <c r="J19" s="690"/>
      <c r="K19" s="691"/>
      <c r="L19" s="908"/>
      <c r="M19" s="690"/>
      <c r="N19" s="690"/>
      <c r="O19" s="691"/>
      <c r="P19" s="112"/>
      <c r="Q19" s="112"/>
      <c r="R19" s="111"/>
      <c r="S19" s="113"/>
      <c r="T19" s="104"/>
      <c r="U19" s="908"/>
      <c r="V19" s="691"/>
      <c r="W19" s="283"/>
    </row>
    <row r="20" spans="1:23" ht="13.5" customHeight="1" x14ac:dyDescent="0.25">
      <c r="A20" s="112"/>
      <c r="B20" s="908"/>
      <c r="C20" s="690"/>
      <c r="D20" s="690"/>
      <c r="E20" s="690"/>
      <c r="F20" s="691"/>
      <c r="G20" s="908"/>
      <c r="H20" s="690"/>
      <c r="I20" s="690"/>
      <c r="J20" s="690"/>
      <c r="K20" s="691"/>
      <c r="L20" s="908"/>
      <c r="M20" s="690"/>
      <c r="N20" s="690"/>
      <c r="O20" s="691"/>
      <c r="P20" s="112"/>
      <c r="Q20" s="112"/>
      <c r="R20" s="111"/>
      <c r="S20" s="113"/>
      <c r="T20" s="104"/>
      <c r="U20" s="908"/>
      <c r="V20" s="691"/>
      <c r="W20" s="283"/>
    </row>
    <row r="21" spans="1:23" ht="13.5" customHeight="1" x14ac:dyDescent="0.25">
      <c r="A21" s="112"/>
      <c r="B21" s="908"/>
      <c r="C21" s="690"/>
      <c r="D21" s="690"/>
      <c r="E21" s="690"/>
      <c r="F21" s="691"/>
      <c r="G21" s="908"/>
      <c r="H21" s="690"/>
      <c r="I21" s="690"/>
      <c r="J21" s="690"/>
      <c r="K21" s="691"/>
      <c r="L21" s="908"/>
      <c r="M21" s="690"/>
      <c r="N21" s="690"/>
      <c r="O21" s="691"/>
      <c r="P21" s="112"/>
      <c r="Q21" s="112"/>
      <c r="R21" s="111"/>
      <c r="S21" s="113"/>
      <c r="T21" s="104"/>
      <c r="U21" s="908"/>
      <c r="V21" s="691"/>
      <c r="W21" s="283"/>
    </row>
    <row r="22" spans="1:23" ht="13.5" customHeight="1" x14ac:dyDescent="0.25">
      <c r="A22" s="112"/>
      <c r="B22" s="908"/>
      <c r="C22" s="690"/>
      <c r="D22" s="690"/>
      <c r="E22" s="690"/>
      <c r="F22" s="691"/>
      <c r="G22" s="908"/>
      <c r="H22" s="690"/>
      <c r="I22" s="690"/>
      <c r="J22" s="690"/>
      <c r="K22" s="691"/>
      <c r="L22" s="908"/>
      <c r="M22" s="690"/>
      <c r="N22" s="690"/>
      <c r="O22" s="691"/>
      <c r="P22" s="112"/>
      <c r="Q22" s="112"/>
      <c r="R22" s="111"/>
      <c r="S22" s="113"/>
      <c r="T22" s="104"/>
      <c r="U22" s="908"/>
      <c r="V22" s="691"/>
      <c r="W22" s="283"/>
    </row>
    <row r="23" spans="1:23" ht="13.5" customHeight="1" x14ac:dyDescent="0.25">
      <c r="A23" s="112"/>
      <c r="B23" s="908"/>
      <c r="C23" s="690"/>
      <c r="D23" s="690"/>
      <c r="E23" s="690"/>
      <c r="F23" s="691"/>
      <c r="G23" s="908"/>
      <c r="H23" s="690"/>
      <c r="I23" s="690"/>
      <c r="J23" s="690"/>
      <c r="K23" s="691"/>
      <c r="L23" s="908"/>
      <c r="M23" s="690"/>
      <c r="N23" s="690"/>
      <c r="O23" s="691"/>
      <c r="P23" s="112"/>
      <c r="Q23" s="112"/>
      <c r="R23" s="111"/>
      <c r="S23" s="113"/>
      <c r="T23" s="104"/>
      <c r="U23" s="908"/>
      <c r="V23" s="691"/>
      <c r="W23" s="283"/>
    </row>
    <row r="24" spans="1:23" ht="13.5" customHeight="1" x14ac:dyDescent="0.25">
      <c r="A24" s="283"/>
      <c r="B24" s="283"/>
      <c r="C24" s="283"/>
      <c r="D24" s="283"/>
      <c r="E24" s="283"/>
      <c r="F24" s="283"/>
      <c r="G24" s="283"/>
      <c r="H24" s="283"/>
      <c r="I24" s="283"/>
      <c r="J24" s="283"/>
      <c r="K24" s="283"/>
      <c r="L24" s="283"/>
      <c r="M24" s="283"/>
      <c r="N24" s="283"/>
      <c r="O24" s="283"/>
      <c r="P24" s="283"/>
      <c r="Q24" s="283"/>
      <c r="R24" s="283"/>
      <c r="S24" s="283"/>
      <c r="T24" s="283"/>
      <c r="U24" s="283"/>
      <c r="V24" s="283"/>
      <c r="W24" s="283"/>
    </row>
    <row r="25" spans="1:23" ht="15" customHeight="1" x14ac:dyDescent="0.25">
      <c r="A25" s="915" t="s">
        <v>871</v>
      </c>
      <c r="B25" s="693"/>
      <c r="C25" s="693"/>
      <c r="D25" s="693"/>
      <c r="E25" s="693"/>
      <c r="F25" s="693"/>
      <c r="G25" s="693"/>
      <c r="H25" s="693"/>
      <c r="I25" s="693"/>
      <c r="J25" s="693"/>
      <c r="K25" s="693"/>
      <c r="L25" s="693"/>
      <c r="M25" s="693"/>
      <c r="N25" s="693"/>
      <c r="O25" s="693"/>
      <c r="P25" s="693"/>
      <c r="Q25" s="283"/>
      <c r="R25" s="283"/>
      <c r="S25" s="283"/>
      <c r="T25" s="283"/>
      <c r="U25" s="283"/>
      <c r="V25" s="283"/>
      <c r="W25" s="283"/>
    </row>
    <row r="26" spans="1:23" ht="29.25" customHeight="1" x14ac:dyDescent="0.25">
      <c r="A26" s="912" t="s">
        <v>42</v>
      </c>
      <c r="B26" s="913" t="s">
        <v>872</v>
      </c>
      <c r="C26" s="762"/>
      <c r="D26" s="762"/>
      <c r="E26" s="762"/>
      <c r="F26" s="746"/>
      <c r="G26" s="913" t="s">
        <v>873</v>
      </c>
      <c r="H26" s="762"/>
      <c r="I26" s="762"/>
      <c r="J26" s="762"/>
      <c r="K26" s="762"/>
      <c r="L26" s="746"/>
      <c r="M26" s="913" t="s">
        <v>874</v>
      </c>
      <c r="N26" s="762"/>
      <c r="O26" s="762"/>
      <c r="P26" s="746"/>
      <c r="Q26" s="909" t="s">
        <v>875</v>
      </c>
      <c r="R26" s="909" t="s">
        <v>876</v>
      </c>
      <c r="S26" s="913" t="s">
        <v>877</v>
      </c>
      <c r="T26" s="909" t="s">
        <v>878</v>
      </c>
      <c r="U26" s="909" t="s">
        <v>863</v>
      </c>
      <c r="V26" s="909" t="s">
        <v>879</v>
      </c>
      <c r="W26" s="909" t="s">
        <v>880</v>
      </c>
    </row>
    <row r="27" spans="1:23" ht="15" customHeight="1" x14ac:dyDescent="0.25">
      <c r="A27" s="910"/>
      <c r="B27" s="914"/>
      <c r="C27" s="697"/>
      <c r="D27" s="697"/>
      <c r="E27" s="697"/>
      <c r="F27" s="705"/>
      <c r="G27" s="763"/>
      <c r="H27" s="764"/>
      <c r="I27" s="764"/>
      <c r="J27" s="764"/>
      <c r="K27" s="764"/>
      <c r="L27" s="765"/>
      <c r="M27" s="763"/>
      <c r="N27" s="764"/>
      <c r="O27" s="764"/>
      <c r="P27" s="765"/>
      <c r="Q27" s="910"/>
      <c r="R27" s="910"/>
      <c r="S27" s="914"/>
      <c r="T27" s="910"/>
      <c r="U27" s="910"/>
      <c r="V27" s="910"/>
      <c r="W27" s="910"/>
    </row>
    <row r="28" spans="1:23" ht="15" customHeight="1" x14ac:dyDescent="0.25">
      <c r="A28" s="910"/>
      <c r="B28" s="914"/>
      <c r="C28" s="697"/>
      <c r="D28" s="697"/>
      <c r="E28" s="697"/>
      <c r="F28" s="705"/>
      <c r="G28" s="913" t="s">
        <v>881</v>
      </c>
      <c r="H28" s="762"/>
      <c r="I28" s="746"/>
      <c r="J28" s="913" t="s">
        <v>882</v>
      </c>
      <c r="K28" s="762"/>
      <c r="L28" s="746"/>
      <c r="M28" s="913" t="s">
        <v>881</v>
      </c>
      <c r="N28" s="762"/>
      <c r="O28" s="746"/>
      <c r="P28" s="909" t="s">
        <v>883</v>
      </c>
      <c r="Q28" s="910"/>
      <c r="R28" s="910"/>
      <c r="S28" s="914"/>
      <c r="T28" s="910"/>
      <c r="U28" s="910"/>
      <c r="V28" s="910"/>
      <c r="W28" s="910"/>
    </row>
    <row r="29" spans="1:23" ht="13.5" customHeight="1" x14ac:dyDescent="0.25">
      <c r="A29" s="758"/>
      <c r="B29" s="763"/>
      <c r="C29" s="764"/>
      <c r="D29" s="764"/>
      <c r="E29" s="764"/>
      <c r="F29" s="765"/>
      <c r="G29" s="763"/>
      <c r="H29" s="764"/>
      <c r="I29" s="765"/>
      <c r="J29" s="763"/>
      <c r="K29" s="764"/>
      <c r="L29" s="765"/>
      <c r="M29" s="763"/>
      <c r="N29" s="764"/>
      <c r="O29" s="765"/>
      <c r="P29" s="758"/>
      <c r="Q29" s="758"/>
      <c r="R29" s="758"/>
      <c r="S29" s="763"/>
      <c r="T29" s="758"/>
      <c r="U29" s="758"/>
      <c r="V29" s="758"/>
      <c r="W29" s="758"/>
    </row>
    <row r="30" spans="1:23" ht="13.5" customHeight="1" x14ac:dyDescent="0.25">
      <c r="A30" s="108">
        <v>0</v>
      </c>
      <c r="B30" s="911">
        <v>1</v>
      </c>
      <c r="C30" s="690"/>
      <c r="D30" s="690"/>
      <c r="E30" s="690"/>
      <c r="F30" s="691"/>
      <c r="G30" s="911">
        <v>2</v>
      </c>
      <c r="H30" s="690"/>
      <c r="I30" s="691"/>
      <c r="J30" s="908">
        <v>3</v>
      </c>
      <c r="K30" s="690"/>
      <c r="L30" s="691"/>
      <c r="M30" s="908">
        <v>4</v>
      </c>
      <c r="N30" s="690"/>
      <c r="O30" s="691"/>
      <c r="P30" s="111">
        <v>5</v>
      </c>
      <c r="Q30" s="108">
        <v>6</v>
      </c>
      <c r="R30" s="108">
        <v>7</v>
      </c>
      <c r="S30" s="111">
        <v>8</v>
      </c>
      <c r="T30" s="111">
        <v>9</v>
      </c>
      <c r="U30" s="108">
        <v>10</v>
      </c>
      <c r="V30" s="108">
        <v>11</v>
      </c>
      <c r="W30" s="108">
        <v>12</v>
      </c>
    </row>
    <row r="31" spans="1:23" ht="13.5" customHeight="1" x14ac:dyDescent="0.25">
      <c r="A31" s="112"/>
      <c r="B31" s="911"/>
      <c r="C31" s="690"/>
      <c r="D31" s="690"/>
      <c r="E31" s="690"/>
      <c r="F31" s="691"/>
      <c r="G31" s="911"/>
      <c r="H31" s="690"/>
      <c r="I31" s="691"/>
      <c r="J31" s="908"/>
      <c r="K31" s="690"/>
      <c r="L31" s="691"/>
      <c r="M31" s="908"/>
      <c r="N31" s="690"/>
      <c r="O31" s="691"/>
      <c r="P31" s="107"/>
      <c r="Q31" s="112"/>
      <c r="R31" s="112"/>
      <c r="S31" s="112"/>
      <c r="T31" s="111"/>
      <c r="U31" s="112"/>
      <c r="V31" s="110"/>
      <c r="W31" s="110"/>
    </row>
    <row r="32" spans="1:23" ht="13.5" customHeight="1" x14ac:dyDescent="0.25">
      <c r="A32" s="112"/>
      <c r="B32" s="911"/>
      <c r="C32" s="690"/>
      <c r="D32" s="690"/>
      <c r="E32" s="690"/>
      <c r="F32" s="691"/>
      <c r="G32" s="911"/>
      <c r="H32" s="690"/>
      <c r="I32" s="691"/>
      <c r="J32" s="908"/>
      <c r="K32" s="690"/>
      <c r="L32" s="691"/>
      <c r="M32" s="908"/>
      <c r="N32" s="690"/>
      <c r="O32" s="691"/>
      <c r="P32" s="107"/>
      <c r="Q32" s="112"/>
      <c r="R32" s="112"/>
      <c r="S32" s="112"/>
      <c r="T32" s="111"/>
      <c r="U32" s="112"/>
      <c r="V32" s="104"/>
      <c r="W32" s="104"/>
    </row>
    <row r="33" spans="1:23" ht="13.5" customHeight="1" x14ac:dyDescent="0.25">
      <c r="A33" s="112"/>
      <c r="B33" s="911"/>
      <c r="C33" s="690"/>
      <c r="D33" s="690"/>
      <c r="E33" s="690"/>
      <c r="F33" s="691"/>
      <c r="G33" s="911"/>
      <c r="H33" s="690"/>
      <c r="I33" s="691"/>
      <c r="J33" s="908"/>
      <c r="K33" s="690"/>
      <c r="L33" s="691"/>
      <c r="M33" s="908"/>
      <c r="N33" s="690"/>
      <c r="O33" s="691"/>
      <c r="P33" s="107"/>
      <c r="Q33" s="112"/>
      <c r="R33" s="112"/>
      <c r="S33" s="112"/>
      <c r="T33" s="111"/>
      <c r="U33" s="112"/>
      <c r="V33" s="104"/>
      <c r="W33" s="104"/>
    </row>
    <row r="34" spans="1:23" ht="13.5" customHeight="1" x14ac:dyDescent="0.25">
      <c r="A34" s="112"/>
      <c r="B34" s="911"/>
      <c r="C34" s="690"/>
      <c r="D34" s="690"/>
      <c r="E34" s="690"/>
      <c r="F34" s="691"/>
      <c r="G34" s="911"/>
      <c r="H34" s="690"/>
      <c r="I34" s="691"/>
      <c r="J34" s="908"/>
      <c r="K34" s="690"/>
      <c r="L34" s="691"/>
      <c r="M34" s="908"/>
      <c r="N34" s="690"/>
      <c r="O34" s="691"/>
      <c r="P34" s="107"/>
      <c r="Q34" s="112"/>
      <c r="R34" s="112"/>
      <c r="S34" s="112"/>
      <c r="T34" s="111"/>
      <c r="U34" s="112"/>
      <c r="V34" s="104"/>
      <c r="W34" s="104"/>
    </row>
    <row r="35" spans="1:23" ht="13.5" customHeight="1" x14ac:dyDescent="0.25">
      <c r="A35" s="112"/>
      <c r="B35" s="911"/>
      <c r="C35" s="690"/>
      <c r="D35" s="690"/>
      <c r="E35" s="690"/>
      <c r="F35" s="691"/>
      <c r="G35" s="911"/>
      <c r="H35" s="690"/>
      <c r="I35" s="691"/>
      <c r="J35" s="908"/>
      <c r="K35" s="690"/>
      <c r="L35" s="691"/>
      <c r="M35" s="908"/>
      <c r="N35" s="690"/>
      <c r="O35" s="691"/>
      <c r="P35" s="107"/>
      <c r="Q35" s="112"/>
      <c r="R35" s="112"/>
      <c r="S35" s="112"/>
      <c r="T35" s="111"/>
      <c r="U35" s="112"/>
      <c r="V35" s="104"/>
      <c r="W35" s="104"/>
    </row>
    <row r="36" spans="1:23" ht="13.5" customHeight="1" x14ac:dyDescent="0.25">
      <c r="A36" s="112"/>
      <c r="B36" s="911"/>
      <c r="C36" s="690"/>
      <c r="D36" s="690"/>
      <c r="E36" s="690"/>
      <c r="F36" s="691"/>
      <c r="G36" s="911"/>
      <c r="H36" s="690"/>
      <c r="I36" s="691"/>
      <c r="J36" s="908"/>
      <c r="K36" s="690"/>
      <c r="L36" s="691"/>
      <c r="M36" s="908"/>
      <c r="N36" s="690"/>
      <c r="O36" s="691"/>
      <c r="P36" s="107"/>
      <c r="Q36" s="112"/>
      <c r="R36" s="112"/>
      <c r="S36" s="112"/>
      <c r="T36" s="111"/>
      <c r="U36" s="112"/>
      <c r="V36" s="104"/>
      <c r="W36" s="104"/>
    </row>
    <row r="37" spans="1:23" ht="13.5" customHeight="1" x14ac:dyDescent="0.25">
      <c r="A37" s="112"/>
      <c r="B37" s="911"/>
      <c r="C37" s="690"/>
      <c r="D37" s="690"/>
      <c r="E37" s="690"/>
      <c r="F37" s="691"/>
      <c r="G37" s="911"/>
      <c r="H37" s="690"/>
      <c r="I37" s="691"/>
      <c r="J37" s="908"/>
      <c r="K37" s="690"/>
      <c r="L37" s="691"/>
      <c r="M37" s="908"/>
      <c r="N37" s="690"/>
      <c r="O37" s="691"/>
      <c r="P37" s="107"/>
      <c r="Q37" s="112"/>
      <c r="R37" s="112"/>
      <c r="S37" s="112"/>
      <c r="T37" s="111"/>
      <c r="U37" s="112"/>
      <c r="V37" s="104"/>
      <c r="W37" s="104"/>
    </row>
    <row r="38" spans="1:23" ht="13.5" customHeight="1" x14ac:dyDescent="0.25">
      <c r="A38" s="112"/>
      <c r="B38" s="911"/>
      <c r="C38" s="690"/>
      <c r="D38" s="690"/>
      <c r="E38" s="690"/>
      <c r="F38" s="691"/>
      <c r="G38" s="911"/>
      <c r="H38" s="690"/>
      <c r="I38" s="691"/>
      <c r="J38" s="908"/>
      <c r="K38" s="690"/>
      <c r="L38" s="691"/>
      <c r="M38" s="908"/>
      <c r="N38" s="690"/>
      <c r="O38" s="691"/>
      <c r="P38" s="107"/>
      <c r="Q38" s="112"/>
      <c r="R38" s="112"/>
      <c r="S38" s="112"/>
      <c r="T38" s="111"/>
      <c r="U38" s="112"/>
      <c r="V38" s="104"/>
      <c r="W38" s="104"/>
    </row>
    <row r="39" spans="1:23" ht="13.5" customHeight="1" x14ac:dyDescent="0.25">
      <c r="A39" s="283"/>
      <c r="B39" s="283"/>
      <c r="C39" s="283"/>
      <c r="D39" s="283"/>
      <c r="E39" s="283"/>
      <c r="F39" s="283"/>
      <c r="G39" s="283"/>
      <c r="H39" s="283"/>
      <c r="I39" s="283"/>
      <c r="J39" s="283"/>
      <c r="K39" s="283"/>
      <c r="L39" s="283"/>
      <c r="M39" s="283"/>
      <c r="N39" s="283"/>
      <c r="O39" s="283"/>
      <c r="P39" s="283"/>
      <c r="Q39" s="283"/>
      <c r="R39" s="283"/>
      <c r="S39" s="283"/>
      <c r="T39" s="283"/>
      <c r="U39" s="283"/>
      <c r="V39" s="283"/>
      <c r="W39" s="283"/>
    </row>
    <row r="40" spans="1:23" ht="13.5" customHeight="1" x14ac:dyDescent="0.25">
      <c r="A40" s="283" t="s">
        <v>884</v>
      </c>
      <c r="B40" s="283"/>
      <c r="C40" s="283"/>
      <c r="D40" s="283"/>
      <c r="E40" s="283"/>
      <c r="F40" s="283"/>
      <c r="G40" s="283"/>
      <c r="H40" s="283"/>
      <c r="I40" s="283"/>
      <c r="J40" s="283"/>
      <c r="K40" s="283"/>
      <c r="L40" s="283"/>
      <c r="M40" s="283"/>
      <c r="N40" s="283"/>
      <c r="O40" s="283"/>
      <c r="P40" s="283"/>
      <c r="Q40" s="283"/>
      <c r="R40" s="283"/>
      <c r="S40" s="283"/>
      <c r="T40" s="283"/>
      <c r="U40" s="283"/>
      <c r="V40" s="283"/>
      <c r="W40" s="283"/>
    </row>
    <row r="41" spans="1:23" ht="60" customHeight="1" x14ac:dyDescent="0.25">
      <c r="A41" s="114" t="s">
        <v>42</v>
      </c>
      <c r="B41" s="908" t="s">
        <v>862</v>
      </c>
      <c r="C41" s="690"/>
      <c r="D41" s="690"/>
      <c r="E41" s="690"/>
      <c r="F41" s="691"/>
      <c r="G41" s="908" t="s">
        <v>885</v>
      </c>
      <c r="H41" s="690"/>
      <c r="I41" s="690"/>
      <c r="J41" s="690"/>
      <c r="K41" s="690"/>
      <c r="L41" s="691"/>
      <c r="M41" s="908" t="s">
        <v>886</v>
      </c>
      <c r="N41" s="690"/>
      <c r="O41" s="690"/>
      <c r="P41" s="691"/>
      <c r="Q41" s="908" t="s">
        <v>887</v>
      </c>
      <c r="R41" s="691"/>
      <c r="S41" s="115" t="s">
        <v>888</v>
      </c>
      <c r="T41" s="115" t="s">
        <v>889</v>
      </c>
      <c r="U41" s="115" t="s">
        <v>890</v>
      </c>
      <c r="V41" s="908" t="s">
        <v>891</v>
      </c>
      <c r="W41" s="691"/>
    </row>
    <row r="42" spans="1:23" ht="13.5" customHeight="1" x14ac:dyDescent="0.25">
      <c r="A42" s="116">
        <v>0</v>
      </c>
      <c r="B42" s="907">
        <v>1</v>
      </c>
      <c r="C42" s="690"/>
      <c r="D42" s="690"/>
      <c r="E42" s="690"/>
      <c r="F42" s="691"/>
      <c r="G42" s="907">
        <v>2</v>
      </c>
      <c r="H42" s="690"/>
      <c r="I42" s="690"/>
      <c r="J42" s="690"/>
      <c r="K42" s="690"/>
      <c r="L42" s="691"/>
      <c r="M42" s="908">
        <v>3</v>
      </c>
      <c r="N42" s="690"/>
      <c r="O42" s="690"/>
      <c r="P42" s="691"/>
      <c r="Q42" s="907">
        <v>4</v>
      </c>
      <c r="R42" s="691"/>
      <c r="S42" s="115">
        <v>5</v>
      </c>
      <c r="T42" s="115">
        <v>6</v>
      </c>
      <c r="U42" s="115">
        <v>7</v>
      </c>
      <c r="V42" s="907">
        <v>8</v>
      </c>
      <c r="W42" s="691"/>
    </row>
    <row r="43" spans="1:23" ht="13.5" customHeight="1" x14ac:dyDescent="0.25">
      <c r="A43" s="112"/>
      <c r="B43" s="907"/>
      <c r="C43" s="690"/>
      <c r="D43" s="690"/>
      <c r="E43" s="690"/>
      <c r="F43" s="691"/>
      <c r="G43" s="907"/>
      <c r="H43" s="690"/>
      <c r="I43" s="690"/>
      <c r="J43" s="690"/>
      <c r="K43" s="690"/>
      <c r="L43" s="691"/>
      <c r="M43" s="908"/>
      <c r="N43" s="690"/>
      <c r="O43" s="690"/>
      <c r="P43" s="691"/>
      <c r="Q43" s="907"/>
      <c r="R43" s="691"/>
      <c r="S43" s="106"/>
      <c r="T43" s="106"/>
      <c r="U43" s="117"/>
      <c r="V43" s="907"/>
      <c r="W43" s="691"/>
    </row>
    <row r="44" spans="1:23" ht="13.5" customHeight="1" x14ac:dyDescent="0.25">
      <c r="A44" s="112"/>
      <c r="B44" s="907"/>
      <c r="C44" s="690"/>
      <c r="D44" s="690"/>
      <c r="E44" s="690"/>
      <c r="F44" s="691"/>
      <c r="G44" s="907"/>
      <c r="H44" s="690"/>
      <c r="I44" s="690"/>
      <c r="J44" s="690"/>
      <c r="K44" s="690"/>
      <c r="L44" s="691"/>
      <c r="M44" s="908"/>
      <c r="N44" s="690"/>
      <c r="O44" s="690"/>
      <c r="P44" s="691"/>
      <c r="Q44" s="907"/>
      <c r="R44" s="691"/>
      <c r="S44" s="106"/>
      <c r="T44" s="106"/>
      <c r="U44" s="117"/>
      <c r="V44" s="907"/>
      <c r="W44" s="691"/>
    </row>
    <row r="45" spans="1:23" ht="13.5" customHeight="1" x14ac:dyDescent="0.25">
      <c r="A45" s="112"/>
      <c r="B45" s="907"/>
      <c r="C45" s="690"/>
      <c r="D45" s="690"/>
      <c r="E45" s="690"/>
      <c r="F45" s="691"/>
      <c r="G45" s="907"/>
      <c r="H45" s="690"/>
      <c r="I45" s="690"/>
      <c r="J45" s="690"/>
      <c r="K45" s="690"/>
      <c r="L45" s="691"/>
      <c r="M45" s="908"/>
      <c r="N45" s="690"/>
      <c r="O45" s="690"/>
      <c r="P45" s="691"/>
      <c r="Q45" s="907"/>
      <c r="R45" s="691"/>
      <c r="S45" s="106"/>
      <c r="T45" s="106"/>
      <c r="U45" s="117"/>
      <c r="V45" s="907"/>
      <c r="W45" s="691"/>
    </row>
    <row r="46" spans="1:23" ht="13.5" customHeight="1" x14ac:dyDescent="0.25">
      <c r="A46" s="112"/>
      <c r="B46" s="907"/>
      <c r="C46" s="690"/>
      <c r="D46" s="690"/>
      <c r="E46" s="690"/>
      <c r="F46" s="691"/>
      <c r="G46" s="907"/>
      <c r="H46" s="690"/>
      <c r="I46" s="690"/>
      <c r="J46" s="690"/>
      <c r="K46" s="690"/>
      <c r="L46" s="691"/>
      <c r="M46" s="908"/>
      <c r="N46" s="690"/>
      <c r="O46" s="690"/>
      <c r="P46" s="691"/>
      <c r="Q46" s="907"/>
      <c r="R46" s="691"/>
      <c r="S46" s="106"/>
      <c r="T46" s="106"/>
      <c r="U46" s="117"/>
      <c r="V46" s="907"/>
      <c r="W46" s="691"/>
    </row>
    <row r="47" spans="1:23" ht="13.5" customHeight="1" x14ac:dyDescent="0.25">
      <c r="A47" s="112"/>
      <c r="B47" s="907"/>
      <c r="C47" s="690"/>
      <c r="D47" s="690"/>
      <c r="E47" s="690"/>
      <c r="F47" s="691"/>
      <c r="G47" s="907"/>
      <c r="H47" s="690"/>
      <c r="I47" s="690"/>
      <c r="J47" s="690"/>
      <c r="K47" s="690"/>
      <c r="L47" s="691"/>
      <c r="M47" s="908"/>
      <c r="N47" s="690"/>
      <c r="O47" s="690"/>
      <c r="P47" s="691"/>
      <c r="Q47" s="907"/>
      <c r="R47" s="691"/>
      <c r="S47" s="106"/>
      <c r="T47" s="106"/>
      <c r="U47" s="117"/>
      <c r="V47" s="907"/>
      <c r="W47" s="691"/>
    </row>
    <row r="48" spans="1:23" ht="13.5" customHeight="1" x14ac:dyDescent="0.25">
      <c r="A48" s="112"/>
      <c r="B48" s="907"/>
      <c r="C48" s="690"/>
      <c r="D48" s="690"/>
      <c r="E48" s="690"/>
      <c r="F48" s="691"/>
      <c r="G48" s="907"/>
      <c r="H48" s="690"/>
      <c r="I48" s="690"/>
      <c r="J48" s="690"/>
      <c r="K48" s="690"/>
      <c r="L48" s="691"/>
      <c r="M48" s="908"/>
      <c r="N48" s="690"/>
      <c r="O48" s="690"/>
      <c r="P48" s="691"/>
      <c r="Q48" s="907"/>
      <c r="R48" s="691"/>
      <c r="S48" s="106"/>
      <c r="T48" s="106"/>
      <c r="U48" s="117"/>
      <c r="V48" s="907"/>
      <c r="W48" s="691"/>
    </row>
    <row r="50" spans="1:23" ht="13.5" customHeight="1" x14ac:dyDescent="0.25">
      <c r="A50" s="298" t="s">
        <v>892</v>
      </c>
      <c r="B50" s="283"/>
      <c r="C50" s="283"/>
      <c r="D50" s="283"/>
      <c r="E50" s="283"/>
      <c r="F50" s="283"/>
      <c r="G50" s="283"/>
      <c r="H50" s="283"/>
      <c r="I50" s="283"/>
      <c r="J50" s="283"/>
      <c r="K50" s="283"/>
      <c r="L50" s="283"/>
      <c r="M50" s="283"/>
      <c r="N50" s="283"/>
      <c r="O50" s="283"/>
      <c r="P50" s="283"/>
      <c r="Q50" s="283"/>
      <c r="R50" s="283"/>
      <c r="S50" s="283"/>
      <c r="T50" s="283"/>
      <c r="U50" s="283"/>
      <c r="V50" s="283"/>
      <c r="W50" s="283"/>
    </row>
    <row r="51" spans="1:23" ht="51" customHeight="1" x14ac:dyDescent="0.25">
      <c r="A51" s="116" t="s">
        <v>42</v>
      </c>
      <c r="B51" s="906" t="s">
        <v>893</v>
      </c>
      <c r="C51" s="690"/>
      <c r="D51" s="690"/>
      <c r="E51" s="690"/>
      <c r="F51" s="691"/>
      <c r="G51" s="906" t="s">
        <v>894</v>
      </c>
      <c r="H51" s="690"/>
      <c r="I51" s="690"/>
      <c r="J51" s="690"/>
      <c r="K51" s="690"/>
      <c r="L51" s="691"/>
      <c r="M51" s="906" t="s">
        <v>895</v>
      </c>
      <c r="N51" s="690"/>
      <c r="O51" s="690"/>
      <c r="P51" s="691"/>
      <c r="Q51" s="906" t="s">
        <v>896</v>
      </c>
      <c r="R51" s="691"/>
      <c r="S51" s="906" t="s">
        <v>897</v>
      </c>
      <c r="T51" s="691"/>
      <c r="U51" s="115" t="s">
        <v>898</v>
      </c>
      <c r="V51" s="906" t="s">
        <v>899</v>
      </c>
      <c r="W51" s="691"/>
    </row>
    <row r="52" spans="1:23" ht="13.5" customHeight="1" x14ac:dyDescent="0.25">
      <c r="A52" s="118">
        <v>0</v>
      </c>
      <c r="B52" s="906">
        <v>1</v>
      </c>
      <c r="C52" s="690"/>
      <c r="D52" s="690"/>
      <c r="E52" s="690"/>
      <c r="F52" s="691"/>
      <c r="G52" s="906">
        <v>2</v>
      </c>
      <c r="H52" s="690"/>
      <c r="I52" s="690"/>
      <c r="J52" s="690"/>
      <c r="K52" s="690"/>
      <c r="L52" s="691"/>
      <c r="M52" s="906">
        <v>3</v>
      </c>
      <c r="N52" s="690"/>
      <c r="O52" s="690"/>
      <c r="P52" s="691"/>
      <c r="Q52" s="906">
        <v>4</v>
      </c>
      <c r="R52" s="691"/>
      <c r="S52" s="906">
        <v>5</v>
      </c>
      <c r="T52" s="691"/>
      <c r="U52" s="116">
        <v>6</v>
      </c>
      <c r="V52" s="906">
        <v>7</v>
      </c>
      <c r="W52" s="691"/>
    </row>
    <row r="53" spans="1:23" ht="13.5" customHeight="1" x14ac:dyDescent="0.25">
      <c r="A53" s="112"/>
      <c r="B53" s="906"/>
      <c r="C53" s="690"/>
      <c r="D53" s="690"/>
      <c r="E53" s="690"/>
      <c r="F53" s="691"/>
      <c r="G53" s="906"/>
      <c r="H53" s="690"/>
      <c r="I53" s="690"/>
      <c r="J53" s="690"/>
      <c r="K53" s="690"/>
      <c r="L53" s="691"/>
      <c r="M53" s="906"/>
      <c r="N53" s="690"/>
      <c r="O53" s="690"/>
      <c r="P53" s="691"/>
      <c r="Q53" s="906"/>
      <c r="R53" s="691"/>
      <c r="S53" s="906"/>
      <c r="T53" s="691"/>
      <c r="U53" s="104"/>
      <c r="V53" s="906"/>
      <c r="W53" s="691"/>
    </row>
    <row r="54" spans="1:23" ht="13.5" customHeight="1" x14ac:dyDescent="0.25">
      <c r="A54" s="112"/>
      <c r="B54" s="906"/>
      <c r="C54" s="690"/>
      <c r="D54" s="690"/>
      <c r="E54" s="690"/>
      <c r="F54" s="691"/>
      <c r="G54" s="906"/>
      <c r="H54" s="690"/>
      <c r="I54" s="690"/>
      <c r="J54" s="690"/>
      <c r="K54" s="690"/>
      <c r="L54" s="691"/>
      <c r="M54" s="906"/>
      <c r="N54" s="690"/>
      <c r="O54" s="690"/>
      <c r="P54" s="691"/>
      <c r="Q54" s="906"/>
      <c r="R54" s="691"/>
      <c r="S54" s="906"/>
      <c r="T54" s="691"/>
      <c r="U54" s="104"/>
      <c r="V54" s="906"/>
      <c r="W54" s="691"/>
    </row>
    <row r="55" spans="1:23" ht="13.5" customHeight="1" x14ac:dyDescent="0.25">
      <c r="A55" s="112"/>
      <c r="B55" s="906"/>
      <c r="C55" s="690"/>
      <c r="D55" s="690"/>
      <c r="E55" s="690"/>
      <c r="F55" s="691"/>
      <c r="G55" s="906"/>
      <c r="H55" s="690"/>
      <c r="I55" s="690"/>
      <c r="J55" s="690"/>
      <c r="K55" s="690"/>
      <c r="L55" s="691"/>
      <c r="M55" s="906"/>
      <c r="N55" s="690"/>
      <c r="O55" s="690"/>
      <c r="P55" s="691"/>
      <c r="Q55" s="906"/>
      <c r="R55" s="691"/>
      <c r="S55" s="906"/>
      <c r="T55" s="691"/>
      <c r="U55" s="104"/>
      <c r="V55" s="906"/>
      <c r="W55" s="691"/>
    </row>
    <row r="56" spans="1:23" ht="13.5" customHeight="1" x14ac:dyDescent="0.25">
      <c r="A56" s="112"/>
      <c r="B56" s="906"/>
      <c r="C56" s="690"/>
      <c r="D56" s="690"/>
      <c r="E56" s="690"/>
      <c r="F56" s="691"/>
      <c r="G56" s="906"/>
      <c r="H56" s="690"/>
      <c r="I56" s="690"/>
      <c r="J56" s="690"/>
      <c r="K56" s="690"/>
      <c r="L56" s="691"/>
      <c r="M56" s="906"/>
      <c r="N56" s="690"/>
      <c r="O56" s="690"/>
      <c r="P56" s="691"/>
      <c r="Q56" s="906"/>
      <c r="R56" s="691"/>
      <c r="S56" s="906"/>
      <c r="T56" s="691"/>
      <c r="U56" s="104"/>
      <c r="V56" s="906"/>
      <c r="W56" s="691"/>
    </row>
    <row r="57" spans="1:23" ht="13.5" customHeight="1" x14ac:dyDescent="0.25">
      <c r="A57" s="283"/>
      <c r="B57" s="283"/>
      <c r="C57" s="283"/>
      <c r="D57" s="283"/>
      <c r="E57" s="283"/>
      <c r="F57" s="283"/>
      <c r="G57" s="283"/>
      <c r="H57" s="283"/>
      <c r="I57" s="283"/>
      <c r="J57" s="283"/>
      <c r="K57" s="283"/>
      <c r="L57" s="283"/>
      <c r="M57" s="283"/>
      <c r="N57" s="283"/>
      <c r="O57" s="283"/>
      <c r="P57" s="283"/>
      <c r="Q57" s="283"/>
      <c r="R57" s="283"/>
      <c r="S57" s="283"/>
      <c r="T57" s="283"/>
      <c r="U57" s="283"/>
      <c r="V57" s="283"/>
      <c r="W57" s="283"/>
    </row>
    <row r="58" spans="1:23" ht="13.5" customHeight="1" x14ac:dyDescent="0.25">
      <c r="A58" s="299" t="s">
        <v>900</v>
      </c>
      <c r="B58" s="283"/>
      <c r="C58" s="283"/>
      <c r="D58" s="283"/>
      <c r="E58" s="283"/>
      <c r="F58" s="283"/>
      <c r="G58" s="283"/>
      <c r="H58" s="283"/>
      <c r="I58" s="283"/>
      <c r="J58" s="283"/>
      <c r="K58" s="283"/>
      <c r="L58" s="283"/>
      <c r="M58" s="283"/>
      <c r="N58" s="283"/>
      <c r="O58" s="283"/>
      <c r="P58" s="283"/>
      <c r="Q58" s="283"/>
      <c r="R58" s="283"/>
      <c r="S58" s="283"/>
      <c r="T58" s="283"/>
      <c r="U58" s="283"/>
      <c r="V58" s="283"/>
      <c r="W58" s="283"/>
    </row>
    <row r="59" spans="1:23" ht="60" customHeight="1" x14ac:dyDescent="0.25">
      <c r="A59" s="916" t="s">
        <v>42</v>
      </c>
      <c r="B59" s="917" t="s">
        <v>901</v>
      </c>
      <c r="C59" s="762"/>
      <c r="D59" s="762"/>
      <c r="E59" s="762"/>
      <c r="F59" s="746"/>
      <c r="G59" s="917" t="s">
        <v>902</v>
      </c>
      <c r="H59" s="762"/>
      <c r="I59" s="762"/>
      <c r="J59" s="762"/>
      <c r="K59" s="762"/>
      <c r="L59" s="746"/>
      <c r="M59" s="917" t="s">
        <v>863</v>
      </c>
      <c r="N59" s="762"/>
      <c r="O59" s="762"/>
      <c r="P59" s="746"/>
      <c r="Q59" s="918" t="s">
        <v>880</v>
      </c>
      <c r="R59" s="906" t="s">
        <v>903</v>
      </c>
      <c r="S59" s="691"/>
      <c r="T59" s="906" t="s">
        <v>904</v>
      </c>
      <c r="U59" s="691"/>
      <c r="V59" s="906" t="s">
        <v>905</v>
      </c>
      <c r="W59" s="691"/>
    </row>
    <row r="60" spans="1:23" ht="13.5" customHeight="1" x14ac:dyDescent="0.25">
      <c r="A60" s="758"/>
      <c r="B60" s="763"/>
      <c r="C60" s="764"/>
      <c r="D60" s="764"/>
      <c r="E60" s="764"/>
      <c r="F60" s="765"/>
      <c r="G60" s="763"/>
      <c r="H60" s="764"/>
      <c r="I60" s="764"/>
      <c r="J60" s="764"/>
      <c r="K60" s="764"/>
      <c r="L60" s="765"/>
      <c r="M60" s="763"/>
      <c r="N60" s="764"/>
      <c r="O60" s="764"/>
      <c r="P60" s="765"/>
      <c r="Q60" s="758"/>
      <c r="R60" s="111" t="s">
        <v>906</v>
      </c>
      <c r="S60" s="111" t="s">
        <v>907</v>
      </c>
      <c r="T60" s="111" t="s">
        <v>908</v>
      </c>
      <c r="U60" s="111" t="s">
        <v>907</v>
      </c>
      <c r="V60" s="906"/>
      <c r="W60" s="691"/>
    </row>
    <row r="61" spans="1:23" ht="13.5" customHeight="1" x14ac:dyDescent="0.25">
      <c r="A61" s="118">
        <v>0</v>
      </c>
      <c r="B61" s="906">
        <v>1</v>
      </c>
      <c r="C61" s="690"/>
      <c r="D61" s="690"/>
      <c r="E61" s="690"/>
      <c r="F61" s="691"/>
      <c r="G61" s="906">
        <v>2</v>
      </c>
      <c r="H61" s="690"/>
      <c r="I61" s="690"/>
      <c r="J61" s="690"/>
      <c r="K61" s="690"/>
      <c r="L61" s="691"/>
      <c r="M61" s="907">
        <v>3</v>
      </c>
      <c r="N61" s="690"/>
      <c r="O61" s="690"/>
      <c r="P61" s="691"/>
      <c r="Q61" s="116">
        <v>4</v>
      </c>
      <c r="R61" s="116">
        <v>5</v>
      </c>
      <c r="S61" s="115">
        <v>6</v>
      </c>
      <c r="T61" s="116">
        <v>7</v>
      </c>
      <c r="U61" s="115">
        <v>8</v>
      </c>
      <c r="V61" s="906">
        <v>9</v>
      </c>
      <c r="W61" s="691"/>
    </row>
    <row r="62" spans="1:23" ht="13.5" customHeight="1" x14ac:dyDescent="0.25">
      <c r="A62" s="112"/>
      <c r="B62" s="906"/>
      <c r="C62" s="690"/>
      <c r="D62" s="690"/>
      <c r="E62" s="690"/>
      <c r="F62" s="691"/>
      <c r="G62" s="906"/>
      <c r="H62" s="690"/>
      <c r="I62" s="690"/>
      <c r="J62" s="690"/>
      <c r="K62" s="690"/>
      <c r="L62" s="691"/>
      <c r="M62" s="907"/>
      <c r="N62" s="690"/>
      <c r="O62" s="690"/>
      <c r="P62" s="691"/>
      <c r="Q62" s="116"/>
      <c r="R62" s="116"/>
      <c r="S62" s="115"/>
      <c r="T62" s="116"/>
      <c r="U62" s="115"/>
      <c r="V62" s="906"/>
      <c r="W62" s="691"/>
    </row>
    <row r="63" spans="1:23" ht="13.5" customHeight="1" x14ac:dyDescent="0.25">
      <c r="A63" s="112"/>
      <c r="B63" s="906"/>
      <c r="C63" s="690"/>
      <c r="D63" s="690"/>
      <c r="E63" s="690"/>
      <c r="F63" s="691"/>
      <c r="G63" s="906"/>
      <c r="H63" s="690"/>
      <c r="I63" s="690"/>
      <c r="J63" s="690"/>
      <c r="K63" s="690"/>
      <c r="L63" s="691"/>
      <c r="M63" s="907"/>
      <c r="N63" s="690"/>
      <c r="O63" s="690"/>
      <c r="P63" s="691"/>
      <c r="Q63" s="112"/>
      <c r="R63" s="104"/>
      <c r="S63" s="115"/>
      <c r="T63" s="104"/>
      <c r="U63" s="115"/>
      <c r="V63" s="906"/>
      <c r="W63" s="691"/>
    </row>
    <row r="64" spans="1:23" ht="13.5" customHeight="1" x14ac:dyDescent="0.25">
      <c r="A64" s="112"/>
      <c r="B64" s="906"/>
      <c r="C64" s="690"/>
      <c r="D64" s="690"/>
      <c r="E64" s="690"/>
      <c r="F64" s="691"/>
      <c r="G64" s="906"/>
      <c r="H64" s="690"/>
      <c r="I64" s="690"/>
      <c r="J64" s="690"/>
      <c r="K64" s="690"/>
      <c r="L64" s="691"/>
      <c r="M64" s="907"/>
      <c r="N64" s="690"/>
      <c r="O64" s="690"/>
      <c r="P64" s="691"/>
      <c r="Q64" s="112"/>
      <c r="R64" s="104"/>
      <c r="S64" s="115"/>
      <c r="T64" s="104"/>
      <c r="U64" s="115"/>
      <c r="V64" s="906"/>
      <c r="W64" s="691"/>
    </row>
    <row r="66" spans="1:23" ht="13.5" customHeight="1" x14ac:dyDescent="0.25">
      <c r="A66" s="299" t="s">
        <v>909</v>
      </c>
      <c r="B66" s="283"/>
      <c r="C66" s="283"/>
      <c r="D66" s="283"/>
      <c r="E66" s="283"/>
      <c r="F66" s="283"/>
      <c r="G66" s="283"/>
      <c r="H66" s="283"/>
      <c r="I66" s="283"/>
      <c r="J66" s="283"/>
      <c r="K66" s="283"/>
      <c r="L66" s="283"/>
      <c r="M66" s="283"/>
      <c r="N66" s="283"/>
      <c r="O66" s="283"/>
      <c r="P66" s="283"/>
      <c r="Q66" s="283"/>
      <c r="R66" s="283"/>
      <c r="S66" s="283"/>
      <c r="T66" s="283"/>
      <c r="U66" s="283"/>
      <c r="V66" s="283"/>
      <c r="W66" s="283"/>
    </row>
    <row r="67" spans="1:23" ht="48" customHeight="1" x14ac:dyDescent="0.25">
      <c r="A67" s="116" t="s">
        <v>42</v>
      </c>
      <c r="B67" s="906" t="s">
        <v>910</v>
      </c>
      <c r="C67" s="690"/>
      <c r="D67" s="690"/>
      <c r="E67" s="690"/>
      <c r="F67" s="691"/>
      <c r="G67" s="906" t="s">
        <v>911</v>
      </c>
      <c r="H67" s="690"/>
      <c r="I67" s="690"/>
      <c r="J67" s="690"/>
      <c r="K67" s="690"/>
      <c r="L67" s="691"/>
      <c r="M67" s="906" t="s">
        <v>912</v>
      </c>
      <c r="N67" s="690"/>
      <c r="O67" s="690"/>
      <c r="P67" s="691"/>
      <c r="Q67" s="115" t="s">
        <v>913</v>
      </c>
      <c r="R67" s="115" t="s">
        <v>914</v>
      </c>
      <c r="S67" s="115" t="s">
        <v>915</v>
      </c>
      <c r="T67" s="115" t="s">
        <v>916</v>
      </c>
      <c r="U67" s="115" t="s">
        <v>917</v>
      </c>
      <c r="V67" s="906" t="s">
        <v>918</v>
      </c>
      <c r="W67" s="691"/>
    </row>
    <row r="68" spans="1:23" ht="13.5" customHeight="1" x14ac:dyDescent="0.25">
      <c r="A68" s="118">
        <v>0</v>
      </c>
      <c r="B68" s="906">
        <v>1</v>
      </c>
      <c r="C68" s="690"/>
      <c r="D68" s="690"/>
      <c r="E68" s="690"/>
      <c r="F68" s="691"/>
      <c r="G68" s="906">
        <v>2</v>
      </c>
      <c r="H68" s="690"/>
      <c r="I68" s="690"/>
      <c r="J68" s="690"/>
      <c r="K68" s="690"/>
      <c r="L68" s="691"/>
      <c r="M68" s="906">
        <v>3</v>
      </c>
      <c r="N68" s="690"/>
      <c r="O68" s="690"/>
      <c r="P68" s="691"/>
      <c r="Q68" s="116">
        <v>4</v>
      </c>
      <c r="R68" s="116">
        <v>5</v>
      </c>
      <c r="S68" s="115">
        <v>6</v>
      </c>
      <c r="T68" s="115">
        <v>7</v>
      </c>
      <c r="U68" s="116">
        <v>8</v>
      </c>
      <c r="V68" s="906">
        <v>9</v>
      </c>
      <c r="W68" s="691"/>
    </row>
    <row r="69" spans="1:23" ht="13.5" customHeight="1" x14ac:dyDescent="0.25">
      <c r="A69" s="104"/>
      <c r="B69" s="906"/>
      <c r="C69" s="690"/>
      <c r="D69" s="690"/>
      <c r="E69" s="690"/>
      <c r="F69" s="691"/>
      <c r="G69" s="906"/>
      <c r="H69" s="690"/>
      <c r="I69" s="690"/>
      <c r="J69" s="690"/>
      <c r="K69" s="690"/>
      <c r="L69" s="691"/>
      <c r="M69" s="906"/>
      <c r="N69" s="690"/>
      <c r="O69" s="690"/>
      <c r="P69" s="691"/>
      <c r="Q69" s="116"/>
      <c r="R69" s="116"/>
      <c r="S69" s="115"/>
      <c r="T69" s="115"/>
      <c r="U69" s="116"/>
      <c r="V69" s="906"/>
      <c r="W69" s="691"/>
    </row>
    <row r="70" spans="1:23" ht="13.5" customHeight="1" x14ac:dyDescent="0.25">
      <c r="A70" s="104"/>
      <c r="B70" s="906"/>
      <c r="C70" s="690"/>
      <c r="D70" s="690"/>
      <c r="E70" s="690"/>
      <c r="F70" s="691"/>
      <c r="G70" s="906"/>
      <c r="H70" s="690"/>
      <c r="I70" s="690"/>
      <c r="J70" s="690"/>
      <c r="K70" s="690"/>
      <c r="L70" s="691"/>
      <c r="M70" s="906"/>
      <c r="N70" s="690"/>
      <c r="O70" s="690"/>
      <c r="P70" s="691"/>
      <c r="Q70" s="116"/>
      <c r="R70" s="116"/>
      <c r="S70" s="115"/>
      <c r="T70" s="115"/>
      <c r="U70" s="116"/>
      <c r="V70" s="906"/>
      <c r="W70" s="691"/>
    </row>
    <row r="71" spans="1:23" ht="13.5" customHeight="1" x14ac:dyDescent="0.25">
      <c r="A71" s="283"/>
      <c r="B71" s="283"/>
      <c r="C71" s="283"/>
      <c r="D71" s="283"/>
      <c r="E71" s="283"/>
      <c r="F71" s="283"/>
      <c r="G71" s="283"/>
      <c r="H71" s="283"/>
      <c r="I71" s="283"/>
      <c r="J71" s="283"/>
      <c r="K71" s="283"/>
      <c r="L71" s="283"/>
      <c r="M71" s="283"/>
      <c r="N71" s="283"/>
      <c r="O71" s="283"/>
      <c r="P71" s="283"/>
      <c r="Q71" s="283"/>
      <c r="R71" s="283"/>
      <c r="S71" s="283"/>
      <c r="T71" s="283"/>
      <c r="U71" s="283"/>
      <c r="V71" s="283"/>
      <c r="W71" s="283"/>
    </row>
    <row r="72" spans="1:23" ht="13.5" customHeight="1" x14ac:dyDescent="0.25">
      <c r="A72" s="299" t="s">
        <v>919</v>
      </c>
      <c r="B72" s="283"/>
      <c r="C72" s="283"/>
      <c r="D72" s="283"/>
      <c r="E72" s="283"/>
      <c r="F72" s="283"/>
      <c r="G72" s="283"/>
      <c r="H72" s="283"/>
      <c r="I72" s="283"/>
      <c r="J72" s="283"/>
      <c r="K72" s="283"/>
      <c r="L72" s="283"/>
      <c r="M72" s="283"/>
      <c r="N72" s="283"/>
      <c r="O72" s="283"/>
      <c r="P72" s="283"/>
      <c r="Q72" s="283"/>
      <c r="R72" s="283"/>
      <c r="S72" s="283"/>
      <c r="T72" s="283"/>
      <c r="U72" s="283"/>
      <c r="V72" s="283"/>
      <c r="W72" s="283"/>
    </row>
    <row r="73" spans="1:23" ht="60" customHeight="1" x14ac:dyDescent="0.25">
      <c r="A73" s="116" t="s">
        <v>42</v>
      </c>
      <c r="B73" s="906" t="s">
        <v>863</v>
      </c>
      <c r="C73" s="690"/>
      <c r="D73" s="690"/>
      <c r="E73" s="690"/>
      <c r="F73" s="691"/>
      <c r="G73" s="906" t="s">
        <v>920</v>
      </c>
      <c r="H73" s="690"/>
      <c r="I73" s="690"/>
      <c r="J73" s="690"/>
      <c r="K73" s="690"/>
      <c r="L73" s="691"/>
      <c r="M73" s="906" t="s">
        <v>913</v>
      </c>
      <c r="N73" s="690"/>
      <c r="O73" s="691"/>
      <c r="P73" s="115" t="s">
        <v>914</v>
      </c>
      <c r="Q73" s="115" t="s">
        <v>915</v>
      </c>
      <c r="R73" s="115" t="s">
        <v>916</v>
      </c>
      <c r="S73" s="115" t="s">
        <v>921</v>
      </c>
      <c r="T73" s="115" t="s">
        <v>918</v>
      </c>
      <c r="U73" s="283"/>
      <c r="V73" s="283"/>
      <c r="W73" s="283"/>
    </row>
    <row r="74" spans="1:23" ht="13.5" customHeight="1" x14ac:dyDescent="0.25">
      <c r="A74" s="118">
        <v>0</v>
      </c>
      <c r="B74" s="906">
        <v>1</v>
      </c>
      <c r="C74" s="690"/>
      <c r="D74" s="690"/>
      <c r="E74" s="690"/>
      <c r="F74" s="691"/>
      <c r="G74" s="906">
        <v>2</v>
      </c>
      <c r="H74" s="690"/>
      <c r="I74" s="690"/>
      <c r="J74" s="690"/>
      <c r="K74" s="690"/>
      <c r="L74" s="691"/>
      <c r="M74" s="906">
        <v>3</v>
      </c>
      <c r="N74" s="690"/>
      <c r="O74" s="691"/>
      <c r="P74" s="116">
        <v>4</v>
      </c>
      <c r="Q74" s="115">
        <v>5</v>
      </c>
      <c r="R74" s="115">
        <v>6</v>
      </c>
      <c r="S74" s="116">
        <v>7</v>
      </c>
      <c r="T74" s="115">
        <v>8</v>
      </c>
      <c r="U74" s="283"/>
      <c r="V74" s="283"/>
      <c r="W74" s="283"/>
    </row>
    <row r="75" spans="1:23" ht="13.5" customHeight="1" x14ac:dyDescent="0.25">
      <c r="A75" s="104"/>
      <c r="B75" s="906" t="s">
        <v>922</v>
      </c>
      <c r="C75" s="690"/>
      <c r="D75" s="690"/>
      <c r="E75" s="690"/>
      <c r="F75" s="691"/>
      <c r="G75" s="906"/>
      <c r="H75" s="690"/>
      <c r="I75" s="690"/>
      <c r="J75" s="690"/>
      <c r="K75" s="690"/>
      <c r="L75" s="691"/>
      <c r="M75" s="906"/>
      <c r="N75" s="690"/>
      <c r="O75" s="691"/>
      <c r="P75" s="116"/>
      <c r="Q75" s="115"/>
      <c r="R75" s="115"/>
      <c r="S75" s="116"/>
      <c r="T75" s="115"/>
      <c r="U75" s="283"/>
      <c r="V75" s="283"/>
      <c r="W75" s="283"/>
    </row>
    <row r="76" spans="1:23" ht="13.5" customHeight="1" x14ac:dyDescent="0.25">
      <c r="A76" s="104"/>
      <c r="B76" s="906" t="s">
        <v>922</v>
      </c>
      <c r="C76" s="690"/>
      <c r="D76" s="690"/>
      <c r="E76" s="690"/>
      <c r="F76" s="691"/>
      <c r="G76" s="906"/>
      <c r="H76" s="690"/>
      <c r="I76" s="690"/>
      <c r="J76" s="690"/>
      <c r="K76" s="690"/>
      <c r="L76" s="691"/>
      <c r="M76" s="906"/>
      <c r="N76" s="690"/>
      <c r="O76" s="691"/>
      <c r="P76" s="116"/>
      <c r="Q76" s="115"/>
      <c r="R76" s="115"/>
      <c r="S76" s="116"/>
      <c r="T76" s="115"/>
      <c r="U76" s="283"/>
      <c r="V76" s="283"/>
      <c r="W76" s="283"/>
    </row>
    <row r="77" spans="1:23" ht="13.5" customHeight="1" x14ac:dyDescent="0.25">
      <c r="A77" s="104"/>
      <c r="B77" s="906"/>
      <c r="C77" s="690"/>
      <c r="D77" s="690"/>
      <c r="E77" s="690"/>
      <c r="F77" s="691"/>
      <c r="G77" s="906"/>
      <c r="H77" s="690"/>
      <c r="I77" s="690"/>
      <c r="J77" s="690"/>
      <c r="K77" s="690"/>
      <c r="L77" s="691"/>
      <c r="M77" s="906"/>
      <c r="N77" s="690"/>
      <c r="O77" s="691"/>
      <c r="P77" s="104"/>
      <c r="Q77" s="115"/>
      <c r="R77" s="115"/>
      <c r="S77" s="104"/>
      <c r="T77" s="115"/>
      <c r="U77" s="283"/>
      <c r="V77" s="283"/>
      <c r="W77" s="283"/>
    </row>
    <row r="78" spans="1:23" ht="13.5" customHeight="1" x14ac:dyDescent="0.25">
      <c r="A78" s="283"/>
      <c r="B78" s="283"/>
      <c r="C78" s="283"/>
      <c r="D78" s="283"/>
      <c r="E78" s="283"/>
      <c r="F78" s="283"/>
      <c r="G78" s="283"/>
      <c r="H78" s="283"/>
      <c r="I78" s="283"/>
      <c r="J78" s="283"/>
      <c r="K78" s="283"/>
      <c r="L78" s="283"/>
      <c r="M78" s="283"/>
      <c r="N78" s="283"/>
      <c r="O78" s="283"/>
      <c r="P78" s="283"/>
      <c r="Q78" s="283"/>
      <c r="R78" s="283"/>
      <c r="S78" s="283"/>
      <c r="T78" s="283"/>
      <c r="U78" s="283"/>
      <c r="V78" s="283"/>
      <c r="W78" s="283"/>
    </row>
    <row r="79" spans="1:23" ht="13.5" customHeight="1" x14ac:dyDescent="0.25">
      <c r="A79" s="283"/>
      <c r="B79" s="283"/>
      <c r="C79" s="283"/>
      <c r="D79" s="283"/>
      <c r="E79" s="283"/>
      <c r="F79" s="283"/>
      <c r="G79" s="283"/>
      <c r="H79" s="283"/>
      <c r="I79" s="283"/>
      <c r="J79" s="283"/>
      <c r="K79" s="283"/>
      <c r="L79" s="283"/>
      <c r="M79" s="283"/>
      <c r="N79" s="283"/>
      <c r="O79" s="283"/>
      <c r="P79" s="283"/>
      <c r="Q79" s="283"/>
      <c r="R79" s="283"/>
      <c r="S79" s="283"/>
      <c r="T79" s="919"/>
      <c r="U79" s="693"/>
      <c r="V79" s="283"/>
      <c r="W79" s="283"/>
    </row>
    <row r="80" spans="1:23" ht="13.5" customHeight="1" x14ac:dyDescent="0.25">
      <c r="A80" s="299" t="s">
        <v>923</v>
      </c>
      <c r="B80" s="296"/>
      <c r="C80" s="283"/>
      <c r="D80" s="283"/>
      <c r="E80" s="283"/>
      <c r="F80" s="283"/>
      <c r="G80" s="283"/>
      <c r="H80" s="283"/>
      <c r="I80" s="283"/>
      <c r="J80" s="283"/>
      <c r="K80" s="283"/>
      <c r="L80" s="283"/>
      <c r="M80" s="283"/>
      <c r="N80" s="283"/>
      <c r="O80" s="283"/>
      <c r="P80" s="283"/>
      <c r="Q80" s="283"/>
      <c r="R80" s="283"/>
      <c r="S80" s="283"/>
      <c r="T80" s="283"/>
      <c r="U80" s="283"/>
      <c r="V80" s="283"/>
      <c r="W80" s="283"/>
    </row>
    <row r="81" spans="1:19" ht="13.5" customHeight="1" x14ac:dyDescent="0.25">
      <c r="A81" s="299" t="s">
        <v>924</v>
      </c>
      <c r="B81" s="296"/>
      <c r="C81" s="283"/>
      <c r="D81" s="283"/>
      <c r="E81" s="283"/>
      <c r="F81" s="283"/>
      <c r="G81" s="283"/>
      <c r="H81" s="283"/>
      <c r="I81" s="283"/>
      <c r="J81" s="283"/>
      <c r="K81" s="283"/>
      <c r="L81" s="283"/>
      <c r="M81" s="283"/>
      <c r="N81" s="283"/>
      <c r="O81" s="283"/>
      <c r="P81" s="283"/>
      <c r="Q81" s="283"/>
      <c r="R81" s="283"/>
      <c r="S81" s="283"/>
    </row>
    <row r="82" spans="1:19" ht="13.5" customHeight="1" x14ac:dyDescent="0.25">
      <c r="A82" s="300" t="s">
        <v>925</v>
      </c>
      <c r="B82" s="300"/>
      <c r="C82" s="283"/>
      <c r="D82" s="283"/>
      <c r="E82" s="283"/>
      <c r="F82" s="283"/>
      <c r="G82" s="283"/>
      <c r="H82" s="283"/>
      <c r="I82" s="283"/>
      <c r="J82" s="283"/>
      <c r="K82" s="283"/>
      <c r="L82" s="283"/>
      <c r="M82" s="283"/>
      <c r="N82" s="283"/>
      <c r="O82" s="283"/>
      <c r="P82" s="283"/>
      <c r="Q82" s="283"/>
      <c r="R82" s="283"/>
      <c r="S82" s="283"/>
    </row>
    <row r="83" spans="1:19" ht="13.5" customHeight="1" x14ac:dyDescent="0.25">
      <c r="A83" s="301"/>
      <c r="B83" s="284"/>
      <c r="C83" s="283"/>
      <c r="D83" s="283"/>
      <c r="E83" s="283"/>
      <c r="F83" s="283"/>
      <c r="G83" s="283"/>
      <c r="H83" s="283"/>
      <c r="I83" s="283"/>
      <c r="J83" s="283"/>
      <c r="K83" s="283"/>
      <c r="L83" s="283"/>
      <c r="M83" s="283"/>
      <c r="N83" s="283"/>
      <c r="O83" s="283"/>
      <c r="P83" s="283"/>
      <c r="Q83" s="283"/>
      <c r="R83" s="283"/>
      <c r="S83" s="283"/>
    </row>
    <row r="84" spans="1:19" ht="13.5" customHeight="1" x14ac:dyDescent="0.25">
      <c r="A84" s="302" t="s">
        <v>926</v>
      </c>
      <c r="B84" s="283"/>
      <c r="C84" s="283"/>
      <c r="D84" s="283"/>
      <c r="E84" s="283"/>
      <c r="F84" s="283"/>
      <c r="G84" s="283"/>
      <c r="H84" s="283"/>
      <c r="I84" s="283"/>
      <c r="J84" s="283"/>
      <c r="K84" s="283"/>
      <c r="L84" s="283"/>
      <c r="M84" s="283"/>
      <c r="N84" s="283"/>
      <c r="O84" s="283"/>
      <c r="P84" s="283"/>
      <c r="Q84" s="283"/>
      <c r="R84" s="283"/>
      <c r="S84" s="302" t="s">
        <v>927</v>
      </c>
    </row>
    <row r="85" spans="1:19" ht="13.5" customHeight="1" x14ac:dyDescent="0.25">
      <c r="A85" s="302" t="s">
        <v>928</v>
      </c>
      <c r="B85" s="283"/>
      <c r="C85" s="283"/>
      <c r="D85" s="283"/>
      <c r="E85" s="283"/>
      <c r="F85" s="283"/>
      <c r="G85" s="283"/>
      <c r="H85" s="283"/>
      <c r="I85" s="283"/>
      <c r="J85" s="283"/>
      <c r="K85" s="283"/>
      <c r="L85" s="283"/>
      <c r="M85" s="283"/>
      <c r="N85" s="283"/>
      <c r="O85" s="283"/>
      <c r="P85" s="283"/>
      <c r="Q85" s="283"/>
      <c r="R85" s="283"/>
      <c r="S85" s="302" t="s">
        <v>929</v>
      </c>
    </row>
    <row r="86" spans="1:19" ht="13.5" customHeight="1" x14ac:dyDescent="0.25">
      <c r="A86" s="302"/>
      <c r="B86" s="283"/>
      <c r="C86" s="283"/>
      <c r="D86" s="283"/>
      <c r="E86" s="283"/>
      <c r="F86" s="283"/>
      <c r="G86" s="283"/>
      <c r="H86" s="283"/>
      <c r="I86" s="283"/>
      <c r="J86" s="283"/>
      <c r="K86" s="283"/>
      <c r="L86" s="283"/>
      <c r="M86" s="283"/>
      <c r="N86" s="283"/>
      <c r="O86" s="283"/>
      <c r="P86" s="283"/>
      <c r="Q86" s="283"/>
      <c r="R86" s="283"/>
      <c r="S86" s="283"/>
    </row>
    <row r="87" spans="1:19" ht="13.5" customHeight="1" x14ac:dyDescent="0.25">
      <c r="A87" s="303" t="s">
        <v>930</v>
      </c>
      <c r="B87" s="283"/>
      <c r="C87" s="283"/>
      <c r="D87" s="283"/>
      <c r="E87" s="283"/>
      <c r="F87" s="283"/>
      <c r="G87" s="283"/>
      <c r="H87" s="283"/>
      <c r="I87" s="283"/>
      <c r="J87" s="283"/>
      <c r="K87" s="283"/>
      <c r="L87" s="283"/>
      <c r="M87" s="283"/>
      <c r="N87" s="283"/>
      <c r="O87" s="283"/>
      <c r="P87" s="283"/>
      <c r="Q87" s="283"/>
      <c r="R87" s="283"/>
      <c r="S87" s="303" t="s">
        <v>930</v>
      </c>
    </row>
    <row r="88" spans="1:19" ht="13.5" customHeight="1" x14ac:dyDescent="0.25">
      <c r="A88" s="302" t="s">
        <v>931</v>
      </c>
      <c r="B88" s="283"/>
      <c r="C88" s="283"/>
      <c r="D88" s="283"/>
      <c r="E88" s="283"/>
      <c r="F88" s="283"/>
      <c r="G88" s="283"/>
      <c r="H88" s="283"/>
      <c r="I88" s="283"/>
      <c r="J88" s="283"/>
      <c r="K88" s="283"/>
      <c r="L88" s="283"/>
      <c r="M88" s="283"/>
      <c r="N88" s="283"/>
      <c r="O88" s="283"/>
      <c r="P88" s="283"/>
      <c r="Q88" s="283"/>
      <c r="R88" s="283"/>
      <c r="S88" s="283"/>
    </row>
    <row r="89" spans="1:19" ht="13.5" customHeight="1" x14ac:dyDescent="0.25">
      <c r="A89" s="302"/>
      <c r="B89" s="283"/>
      <c r="C89" s="302" t="s">
        <v>932</v>
      </c>
      <c r="D89" s="283"/>
      <c r="E89" s="283"/>
      <c r="F89" s="283"/>
      <c r="G89" s="283"/>
      <c r="H89" s="283"/>
      <c r="I89" s="283"/>
      <c r="J89" s="283"/>
      <c r="K89" s="283"/>
      <c r="L89" s="283"/>
      <c r="M89" s="283"/>
      <c r="N89" s="283"/>
      <c r="O89" s="283"/>
      <c r="P89" s="283"/>
      <c r="Q89" s="283"/>
      <c r="R89" s="283"/>
      <c r="S89" s="302" t="s">
        <v>932</v>
      </c>
    </row>
  </sheetData>
  <mergeCells count="225">
    <mergeCell ref="G73:L73"/>
    <mergeCell ref="M73:O73"/>
    <mergeCell ref="B69:F69"/>
    <mergeCell ref="G69:L69"/>
    <mergeCell ref="M69:P69"/>
    <mergeCell ref="B70:F70"/>
    <mergeCell ref="G70:L70"/>
    <mergeCell ref="M70:P70"/>
    <mergeCell ref="B73:F73"/>
    <mergeCell ref="G76:L76"/>
    <mergeCell ref="M76:O76"/>
    <mergeCell ref="B77:F77"/>
    <mergeCell ref="G77:L77"/>
    <mergeCell ref="M77:O77"/>
    <mergeCell ref="T79:U79"/>
    <mergeCell ref="B74:F74"/>
    <mergeCell ref="G74:L74"/>
    <mergeCell ref="M74:O74"/>
    <mergeCell ref="B75:F75"/>
    <mergeCell ref="G75:L75"/>
    <mergeCell ref="M75:O75"/>
    <mergeCell ref="B76:F76"/>
    <mergeCell ref="A59:A60"/>
    <mergeCell ref="B59:F60"/>
    <mergeCell ref="G59:L60"/>
    <mergeCell ref="M59:P60"/>
    <mergeCell ref="Q59:Q60"/>
    <mergeCell ref="R59:S59"/>
    <mergeCell ref="T59:U59"/>
    <mergeCell ref="G63:L63"/>
    <mergeCell ref="M63:P63"/>
    <mergeCell ref="B61:F61"/>
    <mergeCell ref="G61:L61"/>
    <mergeCell ref="M61:P61"/>
    <mergeCell ref="B62:F62"/>
    <mergeCell ref="G62:L62"/>
    <mergeCell ref="M62:P62"/>
    <mergeCell ref="B63:F63"/>
    <mergeCell ref="L21:O21"/>
    <mergeCell ref="B22:F22"/>
    <mergeCell ref="G22:K22"/>
    <mergeCell ref="L22:O22"/>
    <mergeCell ref="A25:P25"/>
    <mergeCell ref="V68:W68"/>
    <mergeCell ref="V69:W69"/>
    <mergeCell ref="V70:W70"/>
    <mergeCell ref="V59:W59"/>
    <mergeCell ref="V60:W60"/>
    <mergeCell ref="V61:W61"/>
    <mergeCell ref="V62:W62"/>
    <mergeCell ref="V63:W63"/>
    <mergeCell ref="V64:W64"/>
    <mergeCell ref="V67:W67"/>
    <mergeCell ref="G68:L68"/>
    <mergeCell ref="M68:P68"/>
    <mergeCell ref="B64:F64"/>
    <mergeCell ref="G64:L64"/>
    <mergeCell ref="M64:P64"/>
    <mergeCell ref="B67:F67"/>
    <mergeCell ref="G67:L67"/>
    <mergeCell ref="M67:P67"/>
    <mergeCell ref="B68:F68"/>
    <mergeCell ref="T26:T29"/>
    <mergeCell ref="U26:U29"/>
    <mergeCell ref="B23:F23"/>
    <mergeCell ref="A26:A29"/>
    <mergeCell ref="B26:F29"/>
    <mergeCell ref="B30:F30"/>
    <mergeCell ref="G30:I30"/>
    <mergeCell ref="J30:L30"/>
    <mergeCell ref="M30:O30"/>
    <mergeCell ref="G28:I29"/>
    <mergeCell ref="J28:L29"/>
    <mergeCell ref="M28:O29"/>
    <mergeCell ref="P28:P29"/>
    <mergeCell ref="G26:L27"/>
    <mergeCell ref="M26:P27"/>
    <mergeCell ref="Q26:Q29"/>
    <mergeCell ref="R26:R29"/>
    <mergeCell ref="S26:S29"/>
    <mergeCell ref="G23:K23"/>
    <mergeCell ref="L23:O23"/>
    <mergeCell ref="M32:O32"/>
    <mergeCell ref="J34:L34"/>
    <mergeCell ref="M34:O34"/>
    <mergeCell ref="B32:F32"/>
    <mergeCell ref="B33:F33"/>
    <mergeCell ref="G33:I33"/>
    <mergeCell ref="J33:L33"/>
    <mergeCell ref="M33:O33"/>
    <mergeCell ref="B34:F34"/>
    <mergeCell ref="G34:I34"/>
    <mergeCell ref="B14:F14"/>
    <mergeCell ref="G14:K14"/>
    <mergeCell ref="L14:O14"/>
    <mergeCell ref="U14:V14"/>
    <mergeCell ref="G15:K15"/>
    <mergeCell ref="L15:O15"/>
    <mergeCell ref="U15:V15"/>
    <mergeCell ref="U16:V16"/>
    <mergeCell ref="U17:V17"/>
    <mergeCell ref="U18:V18"/>
    <mergeCell ref="U19:V19"/>
    <mergeCell ref="U20:V20"/>
    <mergeCell ref="U21:V21"/>
    <mergeCell ref="U22:V22"/>
    <mergeCell ref="U23:V23"/>
    <mergeCell ref="B15:F15"/>
    <mergeCell ref="B16:F16"/>
    <mergeCell ref="G16:K16"/>
    <mergeCell ref="L16:O16"/>
    <mergeCell ref="B17:F17"/>
    <mergeCell ref="G17:K17"/>
    <mergeCell ref="L17:O17"/>
    <mergeCell ref="G20:K20"/>
    <mergeCell ref="L20:O20"/>
    <mergeCell ref="B18:F18"/>
    <mergeCell ref="G18:K18"/>
    <mergeCell ref="L18:O18"/>
    <mergeCell ref="B19:F19"/>
    <mergeCell ref="G19:K19"/>
    <mergeCell ref="L19:O19"/>
    <mergeCell ref="B20:F20"/>
    <mergeCell ref="B21:F21"/>
    <mergeCell ref="G21:K21"/>
    <mergeCell ref="V26:V29"/>
    <mergeCell ref="W26:W29"/>
    <mergeCell ref="J38:L38"/>
    <mergeCell ref="M38:O38"/>
    <mergeCell ref="B35:F35"/>
    <mergeCell ref="G35:I35"/>
    <mergeCell ref="J35:L35"/>
    <mergeCell ref="M35:O35"/>
    <mergeCell ref="G36:I36"/>
    <mergeCell ref="J36:L36"/>
    <mergeCell ref="M36:O36"/>
    <mergeCell ref="B36:F36"/>
    <mergeCell ref="B37:F37"/>
    <mergeCell ref="G37:I37"/>
    <mergeCell ref="J37:L37"/>
    <mergeCell ref="M37:O37"/>
    <mergeCell ref="B38:F38"/>
    <mergeCell ref="G38:I38"/>
    <mergeCell ref="B31:F31"/>
    <mergeCell ref="G31:I31"/>
    <mergeCell ref="J31:L31"/>
    <mergeCell ref="M31:O31"/>
    <mergeCell ref="G32:I32"/>
    <mergeCell ref="J32:L32"/>
    <mergeCell ref="B41:F41"/>
    <mergeCell ref="G41:L41"/>
    <mergeCell ref="M41:P41"/>
    <mergeCell ref="Q41:R41"/>
    <mergeCell ref="V41:W41"/>
    <mergeCell ref="G42:L42"/>
    <mergeCell ref="V42:W42"/>
    <mergeCell ref="M44:P44"/>
    <mergeCell ref="M45:P45"/>
    <mergeCell ref="Q45:R45"/>
    <mergeCell ref="V45:W45"/>
    <mergeCell ref="M42:P42"/>
    <mergeCell ref="Q42:R42"/>
    <mergeCell ref="M43:P43"/>
    <mergeCell ref="Q43:R43"/>
    <mergeCell ref="V43:W43"/>
    <mergeCell ref="Q44:R44"/>
    <mergeCell ref="V44:W44"/>
    <mergeCell ref="B46:F46"/>
    <mergeCell ref="G46:L46"/>
    <mergeCell ref="M46:P46"/>
    <mergeCell ref="Q46:R46"/>
    <mergeCell ref="V46:W46"/>
    <mergeCell ref="B42:F42"/>
    <mergeCell ref="B43:F43"/>
    <mergeCell ref="G43:L43"/>
    <mergeCell ref="B44:F44"/>
    <mergeCell ref="G44:L44"/>
    <mergeCell ref="B45:F45"/>
    <mergeCell ref="G45:L45"/>
    <mergeCell ref="B47:F47"/>
    <mergeCell ref="G47:L47"/>
    <mergeCell ref="M47:P47"/>
    <mergeCell ref="Q47:R47"/>
    <mergeCell ref="V47:W47"/>
    <mergeCell ref="B48:F48"/>
    <mergeCell ref="G48:L48"/>
    <mergeCell ref="V48:W48"/>
    <mergeCell ref="M48:P48"/>
    <mergeCell ref="Q48:R48"/>
    <mergeCell ref="B53:F53"/>
    <mergeCell ref="G53:L53"/>
    <mergeCell ref="M53:P53"/>
    <mergeCell ref="Q53:R53"/>
    <mergeCell ref="S53:T53"/>
    <mergeCell ref="V53:W53"/>
    <mergeCell ref="B54:F54"/>
    <mergeCell ref="V54:W54"/>
    <mergeCell ref="G51:L51"/>
    <mergeCell ref="M51:P51"/>
    <mergeCell ref="Q51:R51"/>
    <mergeCell ref="S51:T51"/>
    <mergeCell ref="V51:W51"/>
    <mergeCell ref="B51:F51"/>
    <mergeCell ref="B52:F52"/>
    <mergeCell ref="G52:L52"/>
    <mergeCell ref="M52:P52"/>
    <mergeCell ref="Q52:R52"/>
    <mergeCell ref="S52:T52"/>
    <mergeCell ref="V52:W52"/>
    <mergeCell ref="M56:P56"/>
    <mergeCell ref="Q56:R56"/>
    <mergeCell ref="S56:T56"/>
    <mergeCell ref="V56:W56"/>
    <mergeCell ref="G54:L54"/>
    <mergeCell ref="M54:P54"/>
    <mergeCell ref="B55:F55"/>
    <mergeCell ref="G55:L55"/>
    <mergeCell ref="M55:P55"/>
    <mergeCell ref="B56:F56"/>
    <mergeCell ref="G56:L56"/>
    <mergeCell ref="Q54:R54"/>
    <mergeCell ref="S54:T54"/>
    <mergeCell ref="Q55:R55"/>
    <mergeCell ref="S55:T55"/>
    <mergeCell ref="V55:W55"/>
  </mergeCells>
  <pageMargins left="0.25" right="0.25" top="0.75" bottom="0.75" header="0" footer="0"/>
  <pageSetup scale="70" orientation="portrait"/>
  <headerFooter>
    <oddHeader>&amp;R</oddHead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W71"/>
  <sheetViews>
    <sheetView showGridLines="0" view="pageBreakPreview" zoomScaleNormal="100" zoomScaleSheetLayoutView="100" workbookViewId="0">
      <selection activeCell="P41" sqref="P41"/>
    </sheetView>
  </sheetViews>
  <sheetFormatPr defaultColWidth="12.6640625" defaultRowHeight="15" customHeight="1" x14ac:dyDescent="0.25"/>
  <cols>
    <col min="1" max="1" width="2.44140625" style="120" customWidth="1"/>
    <col min="2" max="2" width="2.109375" style="120" customWidth="1"/>
    <col min="3" max="3" width="2.6640625" style="120" customWidth="1"/>
    <col min="4" max="4" width="1.6640625" style="120" customWidth="1"/>
    <col min="5" max="5" width="3.109375" style="120" customWidth="1"/>
    <col min="6" max="13" width="2.44140625" style="120" customWidth="1"/>
    <col min="14" max="14" width="3.109375" style="120" customWidth="1"/>
    <col min="15" max="15" width="3" style="120" customWidth="1"/>
    <col min="16" max="17" width="2.6640625" style="120" customWidth="1"/>
    <col min="18" max="18" width="3.109375" style="120" customWidth="1"/>
    <col min="19" max="19" width="4.44140625" style="120" customWidth="1"/>
    <col min="20" max="20" width="36.6640625" style="120" customWidth="1"/>
    <col min="21" max="21" width="5.44140625" style="120" customWidth="1"/>
    <col min="22" max="22" width="19.44140625" style="120" customWidth="1"/>
    <col min="23" max="23" width="16.6640625" style="120" customWidth="1"/>
    <col min="24" max="16384" width="12.6640625" style="120"/>
  </cols>
  <sheetData>
    <row r="1" spans="1:23" ht="13.5" customHeight="1" x14ac:dyDescent="0.3">
      <c r="A1" s="920" t="s">
        <v>1000</v>
      </c>
      <c r="B1" s="921"/>
      <c r="C1" s="921"/>
      <c r="D1" s="921"/>
      <c r="E1" s="921"/>
      <c r="F1" s="921"/>
      <c r="G1" s="921"/>
      <c r="H1" s="921"/>
      <c r="I1" s="921"/>
      <c r="J1" s="921"/>
      <c r="K1" s="921"/>
      <c r="L1" s="921"/>
      <c r="M1" s="921"/>
      <c r="N1" s="921"/>
      <c r="O1" s="921"/>
      <c r="P1" s="921"/>
      <c r="Q1" s="921"/>
      <c r="R1" s="921"/>
      <c r="S1" s="921"/>
      <c r="T1" s="921"/>
      <c r="U1" s="921"/>
      <c r="V1" s="921"/>
      <c r="W1" s="171"/>
    </row>
    <row r="2" spans="1:23" ht="12.75" customHeight="1" x14ac:dyDescent="0.25">
      <c r="A2" s="171"/>
      <c r="B2" s="171"/>
      <c r="C2" s="171"/>
      <c r="D2" s="171"/>
      <c r="E2" s="171"/>
      <c r="F2" s="171"/>
      <c r="G2" s="171"/>
      <c r="H2" s="171"/>
      <c r="I2" s="171"/>
      <c r="J2" s="171"/>
      <c r="K2" s="171"/>
      <c r="L2" s="171"/>
      <c r="M2" s="171"/>
      <c r="N2" s="171"/>
      <c r="O2" s="171"/>
      <c r="P2" s="171"/>
      <c r="Q2" s="171"/>
      <c r="R2" s="171"/>
      <c r="S2" s="171"/>
      <c r="T2" s="922" t="s">
        <v>933</v>
      </c>
      <c r="U2" s="921"/>
      <c r="V2" s="921"/>
      <c r="W2" s="171"/>
    </row>
    <row r="3" spans="1:23" ht="13.5" customHeight="1" x14ac:dyDescent="0.25">
      <c r="A3" s="923" t="s">
        <v>710</v>
      </c>
      <c r="B3" s="924"/>
      <c r="C3" s="924"/>
      <c r="D3" s="924"/>
      <c r="E3" s="924"/>
      <c r="F3" s="924"/>
      <c r="G3" s="924"/>
      <c r="H3" s="924"/>
      <c r="I3" s="924"/>
      <c r="J3" s="924"/>
      <c r="K3" s="924"/>
      <c r="L3" s="924"/>
      <c r="M3" s="924"/>
      <c r="N3" s="924"/>
      <c r="O3" s="924"/>
      <c r="P3" s="924"/>
      <c r="Q3" s="924"/>
      <c r="R3" s="924"/>
      <c r="S3" s="924"/>
      <c r="T3" s="925"/>
      <c r="U3" s="575" t="s">
        <v>711</v>
      </c>
      <c r="V3" s="491" t="s">
        <v>712</v>
      </c>
      <c r="W3" s="171"/>
    </row>
    <row r="4" spans="1:23" ht="28.95" customHeight="1" x14ac:dyDescent="0.25">
      <c r="A4" s="926" t="s">
        <v>934</v>
      </c>
      <c r="B4" s="927"/>
      <c r="C4" s="932" t="s">
        <v>935</v>
      </c>
      <c r="D4" s="924"/>
      <c r="E4" s="924"/>
      <c r="F4" s="924"/>
      <c r="G4" s="924"/>
      <c r="H4" s="924"/>
      <c r="I4" s="924"/>
      <c r="J4" s="924"/>
      <c r="K4" s="924"/>
      <c r="L4" s="924"/>
      <c r="M4" s="924"/>
      <c r="N4" s="924"/>
      <c r="O4" s="924"/>
      <c r="P4" s="924"/>
      <c r="Q4" s="924"/>
      <c r="R4" s="924"/>
      <c r="S4" s="924"/>
      <c r="T4" s="925"/>
      <c r="U4" s="576">
        <v>1</v>
      </c>
      <c r="V4" s="526">
        <f>SUMIF(TB!$Q:$Q,'Зардлын задаргаа'!$U4,TB!$K:$K)</f>
        <v>0</v>
      </c>
      <c r="W4" s="304">
        <f>ААНОАТ!V39</f>
        <v>0</v>
      </c>
    </row>
    <row r="5" spans="1:23" ht="30" customHeight="1" x14ac:dyDescent="0.25">
      <c r="A5" s="928"/>
      <c r="B5" s="929"/>
      <c r="C5" s="933" t="s">
        <v>936</v>
      </c>
      <c r="D5" s="924"/>
      <c r="E5" s="924"/>
      <c r="F5" s="924"/>
      <c r="G5" s="924"/>
      <c r="H5" s="924"/>
      <c r="I5" s="924"/>
      <c r="J5" s="924"/>
      <c r="K5" s="924"/>
      <c r="L5" s="924"/>
      <c r="M5" s="924"/>
      <c r="N5" s="924"/>
      <c r="O5" s="924"/>
      <c r="P5" s="924"/>
      <c r="Q5" s="924"/>
      <c r="R5" s="924"/>
      <c r="S5" s="924"/>
      <c r="T5" s="925"/>
      <c r="U5" s="576">
        <v>2</v>
      </c>
      <c r="V5" s="526">
        <f>SUMIF(TB!$Q:$Q,'Зардлын задаргаа'!$U5,TB!$K:$K)</f>
        <v>0</v>
      </c>
      <c r="W5" s="171"/>
    </row>
    <row r="6" spans="1:23" ht="13.8" x14ac:dyDescent="0.25">
      <c r="A6" s="928"/>
      <c r="B6" s="929"/>
      <c r="C6" s="934" t="s">
        <v>937</v>
      </c>
      <c r="D6" s="924"/>
      <c r="E6" s="924"/>
      <c r="F6" s="924"/>
      <c r="G6" s="924"/>
      <c r="H6" s="924"/>
      <c r="I6" s="924"/>
      <c r="J6" s="924"/>
      <c r="K6" s="924"/>
      <c r="L6" s="924"/>
      <c r="M6" s="924"/>
      <c r="N6" s="924"/>
      <c r="O6" s="924"/>
      <c r="P6" s="924"/>
      <c r="Q6" s="924"/>
      <c r="R6" s="924"/>
      <c r="S6" s="924"/>
      <c r="T6" s="925"/>
      <c r="U6" s="576">
        <v>3</v>
      </c>
      <c r="V6" s="526">
        <f>SUMIF(TB!$Q:$Q,'Зардлын задаргаа'!$U6,TB!$K:$K)</f>
        <v>0</v>
      </c>
      <c r="W6" s="171"/>
    </row>
    <row r="7" spans="1:23" ht="28.95" customHeight="1" x14ac:dyDescent="0.25">
      <c r="A7" s="928"/>
      <c r="B7" s="929"/>
      <c r="C7" s="933" t="s">
        <v>938</v>
      </c>
      <c r="D7" s="924"/>
      <c r="E7" s="924"/>
      <c r="F7" s="924"/>
      <c r="G7" s="924"/>
      <c r="H7" s="924"/>
      <c r="I7" s="924"/>
      <c r="J7" s="924"/>
      <c r="K7" s="924"/>
      <c r="L7" s="924"/>
      <c r="M7" s="924"/>
      <c r="N7" s="924"/>
      <c r="O7" s="924"/>
      <c r="P7" s="924"/>
      <c r="Q7" s="924"/>
      <c r="R7" s="924"/>
      <c r="S7" s="924"/>
      <c r="T7" s="925"/>
      <c r="U7" s="576">
        <v>4</v>
      </c>
      <c r="V7" s="526">
        <f>SUMIF(TB!$Q:$Q,'Зардлын задаргаа'!$U7,TB!$K:$K)</f>
        <v>0</v>
      </c>
      <c r="W7" s="171"/>
    </row>
    <row r="8" spans="1:23" ht="13.8" x14ac:dyDescent="0.25">
      <c r="A8" s="928"/>
      <c r="B8" s="929"/>
      <c r="C8" s="934" t="s">
        <v>939</v>
      </c>
      <c r="D8" s="924"/>
      <c r="E8" s="924"/>
      <c r="F8" s="924"/>
      <c r="G8" s="924"/>
      <c r="H8" s="924"/>
      <c r="I8" s="924"/>
      <c r="J8" s="924"/>
      <c r="K8" s="924"/>
      <c r="L8" s="924"/>
      <c r="M8" s="924"/>
      <c r="N8" s="924"/>
      <c r="O8" s="924"/>
      <c r="P8" s="924"/>
      <c r="Q8" s="924"/>
      <c r="R8" s="924"/>
      <c r="S8" s="924"/>
      <c r="T8" s="925"/>
      <c r="U8" s="576">
        <v>5</v>
      </c>
      <c r="V8" s="526">
        <f>SUMIF(TB!$Q:$Q,'Зардлын задаргаа'!$U8,TB!$K:$K)</f>
        <v>0</v>
      </c>
      <c r="W8" s="171"/>
    </row>
    <row r="9" spans="1:23" ht="28.2" customHeight="1" x14ac:dyDescent="0.25">
      <c r="A9" s="928"/>
      <c r="B9" s="929"/>
      <c r="C9" s="955" t="s">
        <v>940</v>
      </c>
      <c r="D9" s="924"/>
      <c r="E9" s="924"/>
      <c r="F9" s="924"/>
      <c r="G9" s="924"/>
      <c r="H9" s="924"/>
      <c r="I9" s="924"/>
      <c r="J9" s="924"/>
      <c r="K9" s="924"/>
      <c r="L9" s="924"/>
      <c r="M9" s="924"/>
      <c r="N9" s="924"/>
      <c r="O9" s="924"/>
      <c r="P9" s="924"/>
      <c r="Q9" s="924"/>
      <c r="R9" s="924"/>
      <c r="S9" s="924"/>
      <c r="T9" s="925"/>
      <c r="U9" s="576">
        <v>6</v>
      </c>
      <c r="V9" s="526">
        <f>SUMIF(TB!$Q:$Q,'Зардлын задаргаа'!$U9,TB!$K:$K)</f>
        <v>0</v>
      </c>
      <c r="W9" s="171"/>
    </row>
    <row r="10" spans="1:23" ht="27.6" customHeight="1" x14ac:dyDescent="0.25">
      <c r="A10" s="928"/>
      <c r="B10" s="929"/>
      <c r="C10" s="955" t="s">
        <v>941</v>
      </c>
      <c r="D10" s="924"/>
      <c r="E10" s="924"/>
      <c r="F10" s="924"/>
      <c r="G10" s="924"/>
      <c r="H10" s="924"/>
      <c r="I10" s="924"/>
      <c r="J10" s="924"/>
      <c r="K10" s="924"/>
      <c r="L10" s="924"/>
      <c r="M10" s="924"/>
      <c r="N10" s="924"/>
      <c r="O10" s="924"/>
      <c r="P10" s="924"/>
      <c r="Q10" s="924"/>
      <c r="R10" s="924"/>
      <c r="S10" s="924"/>
      <c r="T10" s="925"/>
      <c r="U10" s="576">
        <v>7</v>
      </c>
      <c r="V10" s="526">
        <f>SUMIF(TB!$Q:$Q,'Зардлын задаргаа'!$U10,TB!$K:$K)</f>
        <v>0</v>
      </c>
      <c r="W10" s="171"/>
    </row>
    <row r="11" spans="1:23" ht="13.8" x14ac:dyDescent="0.25">
      <c r="A11" s="928"/>
      <c r="B11" s="929"/>
      <c r="C11" s="934" t="s">
        <v>942</v>
      </c>
      <c r="D11" s="924"/>
      <c r="E11" s="924"/>
      <c r="F11" s="924"/>
      <c r="G11" s="924"/>
      <c r="H11" s="924"/>
      <c r="I11" s="924"/>
      <c r="J11" s="924"/>
      <c r="K11" s="924"/>
      <c r="L11" s="924"/>
      <c r="M11" s="924"/>
      <c r="N11" s="924"/>
      <c r="O11" s="924"/>
      <c r="P11" s="924"/>
      <c r="Q11" s="924"/>
      <c r="R11" s="924"/>
      <c r="S11" s="924"/>
      <c r="T11" s="925"/>
      <c r="U11" s="576">
        <v>8</v>
      </c>
      <c r="V11" s="526">
        <f>SUMIF(TB!$Q:$Q,'Зардлын задаргаа'!$U11,TB!$K:$K)</f>
        <v>0</v>
      </c>
      <c r="W11" s="171"/>
    </row>
    <row r="12" spans="1:23" ht="13.8" x14ac:dyDescent="0.25">
      <c r="A12" s="928"/>
      <c r="B12" s="929"/>
      <c r="C12" s="934" t="s">
        <v>172</v>
      </c>
      <c r="D12" s="924"/>
      <c r="E12" s="924"/>
      <c r="F12" s="924"/>
      <c r="G12" s="924"/>
      <c r="H12" s="924"/>
      <c r="I12" s="924"/>
      <c r="J12" s="924"/>
      <c r="K12" s="924"/>
      <c r="L12" s="924"/>
      <c r="M12" s="924"/>
      <c r="N12" s="924"/>
      <c r="O12" s="924"/>
      <c r="P12" s="924"/>
      <c r="Q12" s="924"/>
      <c r="R12" s="924"/>
      <c r="S12" s="924"/>
      <c r="T12" s="925"/>
      <c r="U12" s="576">
        <v>9</v>
      </c>
      <c r="V12" s="526">
        <f>SUMIF(TB!$Q:$Q,'Зардлын задаргаа'!$U12,TB!$K:$K)</f>
        <v>0</v>
      </c>
      <c r="W12" s="171"/>
    </row>
    <row r="13" spans="1:23" ht="13.8" x14ac:dyDescent="0.25">
      <c r="A13" s="928"/>
      <c r="B13" s="929"/>
      <c r="C13" s="934" t="s">
        <v>943</v>
      </c>
      <c r="D13" s="924"/>
      <c r="E13" s="924"/>
      <c r="F13" s="924"/>
      <c r="G13" s="924"/>
      <c r="H13" s="924"/>
      <c r="I13" s="924"/>
      <c r="J13" s="924"/>
      <c r="K13" s="924"/>
      <c r="L13" s="924"/>
      <c r="M13" s="924"/>
      <c r="N13" s="924"/>
      <c r="O13" s="924"/>
      <c r="P13" s="924"/>
      <c r="Q13" s="924"/>
      <c r="R13" s="924"/>
      <c r="S13" s="924"/>
      <c r="T13" s="925"/>
      <c r="U13" s="576">
        <v>10</v>
      </c>
      <c r="V13" s="526">
        <f>SUMIF(TB!$Q:$Q,'Зардлын задаргаа'!$U13,TB!$K:$K)</f>
        <v>0</v>
      </c>
      <c r="W13" s="171"/>
    </row>
    <row r="14" spans="1:23" ht="13.8" x14ac:dyDescent="0.25">
      <c r="A14" s="928"/>
      <c r="B14" s="929"/>
      <c r="C14" s="934" t="s">
        <v>944</v>
      </c>
      <c r="D14" s="924"/>
      <c r="E14" s="924"/>
      <c r="F14" s="924"/>
      <c r="G14" s="924"/>
      <c r="H14" s="924"/>
      <c r="I14" s="924"/>
      <c r="J14" s="924"/>
      <c r="K14" s="924"/>
      <c r="L14" s="924"/>
      <c r="M14" s="924"/>
      <c r="N14" s="924"/>
      <c r="O14" s="924"/>
      <c r="P14" s="924"/>
      <c r="Q14" s="924"/>
      <c r="R14" s="924"/>
      <c r="S14" s="924"/>
      <c r="T14" s="925"/>
      <c r="U14" s="576">
        <v>11</v>
      </c>
      <c r="V14" s="526">
        <f>SUMIF(TB!$Q:$Q,'Зардлын задаргаа'!$U14,TB!$K:$K)</f>
        <v>0</v>
      </c>
      <c r="W14" s="171"/>
    </row>
    <row r="15" spans="1:23" ht="13.8" x14ac:dyDescent="0.25">
      <c r="A15" s="928"/>
      <c r="B15" s="929"/>
      <c r="C15" s="934" t="s">
        <v>945</v>
      </c>
      <c r="D15" s="924"/>
      <c r="E15" s="924"/>
      <c r="F15" s="924"/>
      <c r="G15" s="924"/>
      <c r="H15" s="924"/>
      <c r="I15" s="924"/>
      <c r="J15" s="924"/>
      <c r="K15" s="924"/>
      <c r="L15" s="924"/>
      <c r="M15" s="924"/>
      <c r="N15" s="924"/>
      <c r="O15" s="924"/>
      <c r="P15" s="924"/>
      <c r="Q15" s="924"/>
      <c r="R15" s="924"/>
      <c r="S15" s="924"/>
      <c r="T15" s="925"/>
      <c r="U15" s="576">
        <v>12</v>
      </c>
      <c r="V15" s="526">
        <f>SUMIF(TB!$Q:$Q,'Зардлын задаргаа'!$U15,TB!$K:$K)</f>
        <v>0</v>
      </c>
      <c r="W15" s="171"/>
    </row>
    <row r="16" spans="1:23" ht="13.8" x14ac:dyDescent="0.25">
      <c r="A16" s="928"/>
      <c r="B16" s="929"/>
      <c r="C16" s="934" t="s">
        <v>946</v>
      </c>
      <c r="D16" s="924"/>
      <c r="E16" s="924"/>
      <c r="F16" s="924"/>
      <c r="G16" s="924"/>
      <c r="H16" s="924"/>
      <c r="I16" s="924"/>
      <c r="J16" s="924"/>
      <c r="K16" s="924"/>
      <c r="L16" s="924"/>
      <c r="M16" s="924"/>
      <c r="N16" s="924"/>
      <c r="O16" s="924"/>
      <c r="P16" s="924"/>
      <c r="Q16" s="924"/>
      <c r="R16" s="924"/>
      <c r="S16" s="924"/>
      <c r="T16" s="925"/>
      <c r="U16" s="576">
        <v>13</v>
      </c>
      <c r="V16" s="526">
        <f>SUMIF(TB!$Q:$Q,'Зардлын задаргаа'!$U16,TB!$K:$K)</f>
        <v>0</v>
      </c>
      <c r="W16" s="171"/>
    </row>
    <row r="17" spans="1:23" ht="13.8" x14ac:dyDescent="0.25">
      <c r="A17" s="928"/>
      <c r="B17" s="929"/>
      <c r="C17" s="933" t="s">
        <v>947</v>
      </c>
      <c r="D17" s="924"/>
      <c r="E17" s="924"/>
      <c r="F17" s="924"/>
      <c r="G17" s="924"/>
      <c r="H17" s="924"/>
      <c r="I17" s="924"/>
      <c r="J17" s="924"/>
      <c r="K17" s="924"/>
      <c r="L17" s="924"/>
      <c r="M17" s="924"/>
      <c r="N17" s="924"/>
      <c r="O17" s="924"/>
      <c r="P17" s="924"/>
      <c r="Q17" s="924"/>
      <c r="R17" s="924"/>
      <c r="S17" s="924"/>
      <c r="T17" s="925"/>
      <c r="U17" s="576">
        <v>14</v>
      </c>
      <c r="V17" s="526">
        <f>SUMIF(TB!$Q:$Q,'Зардлын задаргаа'!$U17,TB!$K:$K)</f>
        <v>0</v>
      </c>
      <c r="W17" s="171"/>
    </row>
    <row r="18" spans="1:23" ht="37.950000000000003" customHeight="1" x14ac:dyDescent="0.25">
      <c r="A18" s="928"/>
      <c r="B18" s="929"/>
      <c r="C18" s="933" t="s">
        <v>948</v>
      </c>
      <c r="D18" s="924"/>
      <c r="E18" s="924"/>
      <c r="F18" s="924"/>
      <c r="G18" s="924"/>
      <c r="H18" s="924"/>
      <c r="I18" s="924"/>
      <c r="J18" s="924"/>
      <c r="K18" s="924"/>
      <c r="L18" s="924"/>
      <c r="M18" s="924"/>
      <c r="N18" s="924"/>
      <c r="O18" s="924"/>
      <c r="P18" s="924"/>
      <c r="Q18" s="924"/>
      <c r="R18" s="924"/>
      <c r="S18" s="924"/>
      <c r="T18" s="925"/>
      <c r="U18" s="576">
        <v>15</v>
      </c>
      <c r="V18" s="526">
        <f>SUMIF(TB!$Q:$Q,'Зардлын задаргаа'!$U18,TB!$K:$K)</f>
        <v>0</v>
      </c>
      <c r="W18" s="171"/>
    </row>
    <row r="19" spans="1:23" ht="30.6" customHeight="1" x14ac:dyDescent="0.25">
      <c r="A19" s="928"/>
      <c r="B19" s="929"/>
      <c r="C19" s="933" t="s">
        <v>949</v>
      </c>
      <c r="D19" s="924"/>
      <c r="E19" s="924"/>
      <c r="F19" s="924"/>
      <c r="G19" s="924"/>
      <c r="H19" s="924"/>
      <c r="I19" s="924"/>
      <c r="J19" s="924"/>
      <c r="K19" s="924"/>
      <c r="L19" s="924"/>
      <c r="M19" s="924"/>
      <c r="N19" s="924"/>
      <c r="O19" s="924"/>
      <c r="P19" s="924"/>
      <c r="Q19" s="924"/>
      <c r="R19" s="924"/>
      <c r="S19" s="924"/>
      <c r="T19" s="925"/>
      <c r="U19" s="576">
        <v>16</v>
      </c>
      <c r="V19" s="526">
        <f>SUMIF(TB!$Q:$Q,'Зардлын задаргаа'!$U19,TB!$K:$K)</f>
        <v>0</v>
      </c>
      <c r="W19" s="171"/>
    </row>
    <row r="20" spans="1:23" ht="13.8" x14ac:dyDescent="0.25">
      <c r="A20" s="928"/>
      <c r="B20" s="929"/>
      <c r="C20" s="934" t="s">
        <v>176</v>
      </c>
      <c r="D20" s="924"/>
      <c r="E20" s="924"/>
      <c r="F20" s="924"/>
      <c r="G20" s="924"/>
      <c r="H20" s="924"/>
      <c r="I20" s="924"/>
      <c r="J20" s="924"/>
      <c r="K20" s="924"/>
      <c r="L20" s="924"/>
      <c r="M20" s="924"/>
      <c r="N20" s="924"/>
      <c r="O20" s="924"/>
      <c r="P20" s="924"/>
      <c r="Q20" s="924"/>
      <c r="R20" s="924"/>
      <c r="S20" s="924"/>
      <c r="T20" s="925"/>
      <c r="U20" s="576">
        <v>17</v>
      </c>
      <c r="V20" s="526">
        <f>SUMIF(TB!$Q:$Q,'Зардлын задаргаа'!$U20,TB!$K:$K)</f>
        <v>0</v>
      </c>
      <c r="W20" s="171"/>
    </row>
    <row r="21" spans="1:23" ht="29.4" customHeight="1" x14ac:dyDescent="0.25">
      <c r="A21" s="928"/>
      <c r="B21" s="929"/>
      <c r="C21" s="935" t="s">
        <v>950</v>
      </c>
      <c r="D21" s="924"/>
      <c r="E21" s="924"/>
      <c r="F21" s="924"/>
      <c r="G21" s="924"/>
      <c r="H21" s="924"/>
      <c r="I21" s="924"/>
      <c r="J21" s="924"/>
      <c r="K21" s="924"/>
      <c r="L21" s="924"/>
      <c r="M21" s="924"/>
      <c r="N21" s="924"/>
      <c r="O21" s="924"/>
      <c r="P21" s="924"/>
      <c r="Q21" s="924"/>
      <c r="R21" s="924"/>
      <c r="S21" s="924"/>
      <c r="T21" s="925"/>
      <c r="U21" s="576">
        <v>18</v>
      </c>
      <c r="V21" s="526">
        <f>SUMIF(TB!$Q:$Q,'Зардлын задаргаа'!$U21,TB!$K:$K)</f>
        <v>0</v>
      </c>
      <c r="W21" s="171"/>
    </row>
    <row r="22" spans="1:23" ht="27.6" customHeight="1" x14ac:dyDescent="0.25">
      <c r="A22" s="928"/>
      <c r="B22" s="929"/>
      <c r="C22" s="933" t="s">
        <v>951</v>
      </c>
      <c r="D22" s="924"/>
      <c r="E22" s="924"/>
      <c r="F22" s="924"/>
      <c r="G22" s="924"/>
      <c r="H22" s="924"/>
      <c r="I22" s="924"/>
      <c r="J22" s="924"/>
      <c r="K22" s="924"/>
      <c r="L22" s="924"/>
      <c r="M22" s="924"/>
      <c r="N22" s="924"/>
      <c r="O22" s="924"/>
      <c r="P22" s="924"/>
      <c r="Q22" s="924"/>
      <c r="R22" s="924"/>
      <c r="S22" s="924"/>
      <c r="T22" s="925"/>
      <c r="U22" s="576">
        <v>19</v>
      </c>
      <c r="V22" s="526">
        <f>SUMIF(TB!$Q:$Q,'Зардлын задаргаа'!$U22,TB!$K:$K)</f>
        <v>0</v>
      </c>
      <c r="W22" s="171"/>
    </row>
    <row r="23" spans="1:23" ht="13.8" x14ac:dyDescent="0.25">
      <c r="A23" s="928"/>
      <c r="B23" s="929"/>
      <c r="C23" s="933" t="s">
        <v>952</v>
      </c>
      <c r="D23" s="924"/>
      <c r="E23" s="924"/>
      <c r="F23" s="924"/>
      <c r="G23" s="924"/>
      <c r="H23" s="924"/>
      <c r="I23" s="924"/>
      <c r="J23" s="924"/>
      <c r="K23" s="924"/>
      <c r="L23" s="924"/>
      <c r="M23" s="924"/>
      <c r="N23" s="924"/>
      <c r="O23" s="924"/>
      <c r="P23" s="924"/>
      <c r="Q23" s="924"/>
      <c r="R23" s="924"/>
      <c r="S23" s="924"/>
      <c r="T23" s="925"/>
      <c r="U23" s="576">
        <v>20</v>
      </c>
      <c r="V23" s="526">
        <f>SUMIF(TB!$Q:$Q,'Зардлын задаргаа'!$U23,TB!$K:$K)</f>
        <v>0</v>
      </c>
      <c r="W23" s="171"/>
    </row>
    <row r="24" spans="1:23" ht="13.8" x14ac:dyDescent="0.25">
      <c r="A24" s="928"/>
      <c r="B24" s="929"/>
      <c r="C24" s="934" t="s">
        <v>166</v>
      </c>
      <c r="D24" s="924"/>
      <c r="E24" s="924"/>
      <c r="F24" s="924"/>
      <c r="G24" s="924"/>
      <c r="H24" s="924"/>
      <c r="I24" s="924"/>
      <c r="J24" s="924"/>
      <c r="K24" s="924"/>
      <c r="L24" s="924"/>
      <c r="M24" s="924"/>
      <c r="N24" s="924"/>
      <c r="O24" s="924"/>
      <c r="P24" s="924"/>
      <c r="Q24" s="924"/>
      <c r="R24" s="924"/>
      <c r="S24" s="924"/>
      <c r="T24" s="925"/>
      <c r="U24" s="576">
        <v>21</v>
      </c>
      <c r="V24" s="526">
        <f>SUMIF(TB!$Q:$Q,'Зардлын задаргаа'!$U24,TB!$K:$K)</f>
        <v>0</v>
      </c>
      <c r="W24" s="171"/>
    </row>
    <row r="25" spans="1:23" ht="13.8" x14ac:dyDescent="0.25">
      <c r="A25" s="928"/>
      <c r="B25" s="929"/>
      <c r="C25" s="934" t="s">
        <v>953</v>
      </c>
      <c r="D25" s="924"/>
      <c r="E25" s="924"/>
      <c r="F25" s="924"/>
      <c r="G25" s="924"/>
      <c r="H25" s="924"/>
      <c r="I25" s="924"/>
      <c r="J25" s="924"/>
      <c r="K25" s="924"/>
      <c r="L25" s="924"/>
      <c r="M25" s="924"/>
      <c r="N25" s="924"/>
      <c r="O25" s="924"/>
      <c r="P25" s="924"/>
      <c r="Q25" s="924"/>
      <c r="R25" s="924"/>
      <c r="S25" s="924"/>
      <c r="T25" s="925"/>
      <c r="U25" s="576">
        <v>22</v>
      </c>
      <c r="V25" s="526">
        <f>SUMIF(TB!$Q:$Q,'Зардлын задаргаа'!$U25,TB!$K:$K)</f>
        <v>0</v>
      </c>
      <c r="W25" s="171"/>
    </row>
    <row r="26" spans="1:23" ht="13.8" x14ac:dyDescent="0.25">
      <c r="A26" s="928"/>
      <c r="B26" s="929"/>
      <c r="C26" s="934" t="s">
        <v>954</v>
      </c>
      <c r="D26" s="924"/>
      <c r="E26" s="924"/>
      <c r="F26" s="924"/>
      <c r="G26" s="924"/>
      <c r="H26" s="924"/>
      <c r="I26" s="924"/>
      <c r="J26" s="924"/>
      <c r="K26" s="924"/>
      <c r="L26" s="924"/>
      <c r="M26" s="924"/>
      <c r="N26" s="924"/>
      <c r="O26" s="924"/>
      <c r="P26" s="924"/>
      <c r="Q26" s="924"/>
      <c r="R26" s="924"/>
      <c r="S26" s="924"/>
      <c r="T26" s="925"/>
      <c r="U26" s="576">
        <v>23</v>
      </c>
      <c r="V26" s="526">
        <f>SUMIF(TB!$Q:$Q,'Зардлын задаргаа'!$U26,TB!$K:$K)</f>
        <v>0</v>
      </c>
      <c r="W26" s="171"/>
    </row>
    <row r="27" spans="1:23" ht="13.8" x14ac:dyDescent="0.25">
      <c r="A27" s="928"/>
      <c r="B27" s="929"/>
      <c r="C27" s="934" t="s">
        <v>955</v>
      </c>
      <c r="D27" s="924"/>
      <c r="E27" s="924"/>
      <c r="F27" s="924"/>
      <c r="G27" s="924"/>
      <c r="H27" s="924"/>
      <c r="I27" s="924"/>
      <c r="J27" s="924"/>
      <c r="K27" s="924"/>
      <c r="L27" s="924"/>
      <c r="M27" s="924"/>
      <c r="N27" s="924"/>
      <c r="O27" s="924"/>
      <c r="P27" s="924"/>
      <c r="Q27" s="924"/>
      <c r="R27" s="924"/>
      <c r="S27" s="924"/>
      <c r="T27" s="925"/>
      <c r="U27" s="576">
        <v>24</v>
      </c>
      <c r="V27" s="526">
        <f>SUMIF(TB!$Q:$Q,'Зардлын задаргаа'!$U27,TB!$K:$K)</f>
        <v>0</v>
      </c>
      <c r="W27" s="171"/>
    </row>
    <row r="28" spans="1:23" ht="13.8" x14ac:dyDescent="0.25">
      <c r="A28" s="928"/>
      <c r="B28" s="929"/>
      <c r="C28" s="934" t="s">
        <v>956</v>
      </c>
      <c r="D28" s="924"/>
      <c r="E28" s="924"/>
      <c r="F28" s="924"/>
      <c r="G28" s="924"/>
      <c r="H28" s="924"/>
      <c r="I28" s="924"/>
      <c r="J28" s="924"/>
      <c r="K28" s="924"/>
      <c r="L28" s="924"/>
      <c r="M28" s="924"/>
      <c r="N28" s="924"/>
      <c r="O28" s="924"/>
      <c r="P28" s="924"/>
      <c r="Q28" s="924"/>
      <c r="R28" s="924"/>
      <c r="S28" s="924"/>
      <c r="T28" s="925"/>
      <c r="U28" s="576">
        <v>25</v>
      </c>
      <c r="V28" s="526">
        <f>SUMIF(TB!$Q:$Q,'Зардлын задаргаа'!$U28,TB!$K:$K)</f>
        <v>0</v>
      </c>
      <c r="W28" s="171"/>
    </row>
    <row r="29" spans="1:23" ht="42.6" customHeight="1" x14ac:dyDescent="0.25">
      <c r="A29" s="928"/>
      <c r="B29" s="929"/>
      <c r="C29" s="933" t="s">
        <v>957</v>
      </c>
      <c r="D29" s="924"/>
      <c r="E29" s="924"/>
      <c r="F29" s="924"/>
      <c r="G29" s="924"/>
      <c r="H29" s="924"/>
      <c r="I29" s="924"/>
      <c r="J29" s="924"/>
      <c r="K29" s="924"/>
      <c r="L29" s="924"/>
      <c r="M29" s="924"/>
      <c r="N29" s="924"/>
      <c r="O29" s="924"/>
      <c r="P29" s="924"/>
      <c r="Q29" s="924"/>
      <c r="R29" s="924"/>
      <c r="S29" s="924"/>
      <c r="T29" s="925"/>
      <c r="U29" s="576">
        <v>26</v>
      </c>
      <c r="V29" s="526">
        <f>SUMIF(TB!$Q:$Q,'Зардлын задаргаа'!$U29,TB!$K:$K)</f>
        <v>0</v>
      </c>
      <c r="W29" s="171"/>
    </row>
    <row r="30" spans="1:23" ht="29.4" customHeight="1" x14ac:dyDescent="0.25">
      <c r="A30" s="928"/>
      <c r="B30" s="929"/>
      <c r="C30" s="933" t="s">
        <v>958</v>
      </c>
      <c r="D30" s="924"/>
      <c r="E30" s="924"/>
      <c r="F30" s="924"/>
      <c r="G30" s="924"/>
      <c r="H30" s="924"/>
      <c r="I30" s="924"/>
      <c r="J30" s="924"/>
      <c r="K30" s="924"/>
      <c r="L30" s="924"/>
      <c r="M30" s="924"/>
      <c r="N30" s="924"/>
      <c r="O30" s="924"/>
      <c r="P30" s="924"/>
      <c r="Q30" s="924"/>
      <c r="R30" s="924"/>
      <c r="S30" s="924"/>
      <c r="T30" s="925"/>
      <c r="U30" s="576">
        <v>27</v>
      </c>
      <c r="V30" s="526">
        <f>SUMIF(TB!$Q:$Q,'Зардлын задаргаа'!$U30,TB!$K:$K)</f>
        <v>0</v>
      </c>
      <c r="W30" s="171"/>
    </row>
    <row r="31" spans="1:23" ht="30" customHeight="1" x14ac:dyDescent="0.25">
      <c r="A31" s="928"/>
      <c r="B31" s="929"/>
      <c r="C31" s="933" t="s">
        <v>959</v>
      </c>
      <c r="D31" s="924"/>
      <c r="E31" s="924"/>
      <c r="F31" s="924"/>
      <c r="G31" s="924"/>
      <c r="H31" s="924"/>
      <c r="I31" s="924"/>
      <c r="J31" s="924"/>
      <c r="K31" s="924"/>
      <c r="L31" s="924"/>
      <c r="M31" s="924"/>
      <c r="N31" s="924"/>
      <c r="O31" s="924"/>
      <c r="P31" s="924"/>
      <c r="Q31" s="924"/>
      <c r="R31" s="924"/>
      <c r="S31" s="924"/>
      <c r="T31" s="925"/>
      <c r="U31" s="576">
        <v>28</v>
      </c>
      <c r="V31" s="526">
        <f>SUMIF(TB!$Q:$Q,'Зардлын задаргаа'!$U31,TB!$K:$K)</f>
        <v>0</v>
      </c>
      <c r="W31" s="171"/>
    </row>
    <row r="32" spans="1:23" ht="13.8" x14ac:dyDescent="0.25">
      <c r="A32" s="928"/>
      <c r="B32" s="929"/>
      <c r="C32" s="935" t="s">
        <v>960</v>
      </c>
      <c r="D32" s="924"/>
      <c r="E32" s="924"/>
      <c r="F32" s="924"/>
      <c r="G32" s="924"/>
      <c r="H32" s="924"/>
      <c r="I32" s="924"/>
      <c r="J32" s="924"/>
      <c r="K32" s="924"/>
      <c r="L32" s="924"/>
      <c r="M32" s="924"/>
      <c r="N32" s="924"/>
      <c r="O32" s="924"/>
      <c r="P32" s="924"/>
      <c r="Q32" s="924"/>
      <c r="R32" s="924"/>
      <c r="S32" s="924"/>
      <c r="T32" s="925"/>
      <c r="U32" s="576">
        <v>29</v>
      </c>
      <c r="V32" s="526">
        <f>SUMIF(TB!$Q:$Q,'Зардлын задаргаа'!$U32,TB!$K:$K)</f>
        <v>0</v>
      </c>
      <c r="W32" s="171"/>
    </row>
    <row r="33" spans="1:23" ht="31.2" customHeight="1" x14ac:dyDescent="0.25">
      <c r="A33" s="928"/>
      <c r="B33" s="929"/>
      <c r="C33" s="935" t="s">
        <v>961</v>
      </c>
      <c r="D33" s="924"/>
      <c r="E33" s="924"/>
      <c r="F33" s="924"/>
      <c r="G33" s="924"/>
      <c r="H33" s="924"/>
      <c r="I33" s="924"/>
      <c r="J33" s="924"/>
      <c r="K33" s="924"/>
      <c r="L33" s="924"/>
      <c r="M33" s="924"/>
      <c r="N33" s="924"/>
      <c r="O33" s="924"/>
      <c r="P33" s="924"/>
      <c r="Q33" s="924"/>
      <c r="R33" s="924"/>
      <c r="S33" s="924"/>
      <c r="T33" s="925"/>
      <c r="U33" s="576">
        <v>30</v>
      </c>
      <c r="V33" s="526">
        <f>SUMIF(TB!$Q:$Q,'Зардлын задаргаа'!$U33,TB!$K:$K)</f>
        <v>0</v>
      </c>
      <c r="W33" s="171"/>
    </row>
    <row r="34" spans="1:23" ht="13.8" x14ac:dyDescent="0.25">
      <c r="A34" s="928"/>
      <c r="B34" s="929"/>
      <c r="C34" s="935" t="s">
        <v>962</v>
      </c>
      <c r="D34" s="924"/>
      <c r="E34" s="924"/>
      <c r="F34" s="924"/>
      <c r="G34" s="924"/>
      <c r="H34" s="924"/>
      <c r="I34" s="924"/>
      <c r="J34" s="924"/>
      <c r="K34" s="924"/>
      <c r="L34" s="924"/>
      <c r="M34" s="924"/>
      <c r="N34" s="924"/>
      <c r="O34" s="924"/>
      <c r="P34" s="924"/>
      <c r="Q34" s="924"/>
      <c r="R34" s="924"/>
      <c r="S34" s="924"/>
      <c r="T34" s="925"/>
      <c r="U34" s="576">
        <v>31</v>
      </c>
      <c r="V34" s="526">
        <f>SUMIF(TB!$Q:$Q,'Зардлын задаргаа'!$U34,TB!$K:$K)</f>
        <v>0</v>
      </c>
      <c r="W34" s="171"/>
    </row>
    <row r="35" spans="1:23" ht="13.8" x14ac:dyDescent="0.25">
      <c r="A35" s="928"/>
      <c r="B35" s="929"/>
      <c r="C35" s="935" t="s">
        <v>963</v>
      </c>
      <c r="D35" s="924"/>
      <c r="E35" s="924"/>
      <c r="F35" s="924"/>
      <c r="G35" s="924"/>
      <c r="H35" s="924"/>
      <c r="I35" s="924"/>
      <c r="J35" s="924"/>
      <c r="K35" s="924"/>
      <c r="L35" s="924"/>
      <c r="M35" s="924"/>
      <c r="N35" s="924"/>
      <c r="O35" s="924"/>
      <c r="P35" s="924"/>
      <c r="Q35" s="924"/>
      <c r="R35" s="924"/>
      <c r="S35" s="924"/>
      <c r="T35" s="925"/>
      <c r="U35" s="576">
        <v>32</v>
      </c>
      <c r="V35" s="526">
        <f>SUMIF(TB!$Q:$Q,'Зардлын задаргаа'!$U35,TB!$K:$K)</f>
        <v>0</v>
      </c>
      <c r="W35" s="171"/>
    </row>
    <row r="36" spans="1:23" ht="13.8" x14ac:dyDescent="0.25">
      <c r="A36" s="928"/>
      <c r="B36" s="929"/>
      <c r="C36" s="933" t="s">
        <v>964</v>
      </c>
      <c r="D36" s="924"/>
      <c r="E36" s="924"/>
      <c r="F36" s="924"/>
      <c r="G36" s="924"/>
      <c r="H36" s="924"/>
      <c r="I36" s="924"/>
      <c r="J36" s="924"/>
      <c r="K36" s="924"/>
      <c r="L36" s="924"/>
      <c r="M36" s="924"/>
      <c r="N36" s="924"/>
      <c r="O36" s="924"/>
      <c r="P36" s="924"/>
      <c r="Q36" s="924"/>
      <c r="R36" s="924"/>
      <c r="S36" s="924"/>
      <c r="T36" s="925"/>
      <c r="U36" s="576">
        <v>33</v>
      </c>
      <c r="V36" s="526">
        <f>SUMIF(TB!$Q:$Q,'Зардлын задаргаа'!$U36,TB!$K:$K)</f>
        <v>0</v>
      </c>
      <c r="W36" s="171"/>
    </row>
    <row r="37" spans="1:23" ht="39" customHeight="1" x14ac:dyDescent="0.25">
      <c r="A37" s="928"/>
      <c r="B37" s="929"/>
      <c r="C37" s="935" t="s">
        <v>965</v>
      </c>
      <c r="D37" s="924"/>
      <c r="E37" s="924"/>
      <c r="F37" s="924"/>
      <c r="G37" s="924"/>
      <c r="H37" s="924"/>
      <c r="I37" s="924"/>
      <c r="J37" s="924"/>
      <c r="K37" s="924"/>
      <c r="L37" s="924"/>
      <c r="M37" s="924"/>
      <c r="N37" s="924"/>
      <c r="O37" s="924"/>
      <c r="P37" s="924"/>
      <c r="Q37" s="924"/>
      <c r="R37" s="924"/>
      <c r="S37" s="924"/>
      <c r="T37" s="925"/>
      <c r="U37" s="576">
        <v>34</v>
      </c>
      <c r="V37" s="526">
        <f>SUMIF(TB!$Q:$Q,'Зардлын задаргаа'!$U37,TB!$K:$K)</f>
        <v>0</v>
      </c>
      <c r="W37" s="171"/>
    </row>
    <row r="38" spans="1:23" ht="30" customHeight="1" x14ac:dyDescent="0.25">
      <c r="A38" s="928"/>
      <c r="B38" s="929"/>
      <c r="C38" s="935" t="s">
        <v>966</v>
      </c>
      <c r="D38" s="924"/>
      <c r="E38" s="924"/>
      <c r="F38" s="924"/>
      <c r="G38" s="924"/>
      <c r="H38" s="924"/>
      <c r="I38" s="924"/>
      <c r="J38" s="924"/>
      <c r="K38" s="924"/>
      <c r="L38" s="924"/>
      <c r="M38" s="924"/>
      <c r="N38" s="924"/>
      <c r="O38" s="924"/>
      <c r="P38" s="924"/>
      <c r="Q38" s="924"/>
      <c r="R38" s="924"/>
      <c r="S38" s="924"/>
      <c r="T38" s="925"/>
      <c r="U38" s="576">
        <v>35</v>
      </c>
      <c r="V38" s="526">
        <f>SUMIF(TB!$Q:$Q,'Зардлын задаргаа'!$U38,TB!$K:$K)</f>
        <v>0</v>
      </c>
      <c r="W38" s="171"/>
    </row>
    <row r="39" spans="1:23" ht="13.8" x14ac:dyDescent="0.25">
      <c r="A39" s="928"/>
      <c r="B39" s="929"/>
      <c r="C39" s="936" t="s">
        <v>967</v>
      </c>
      <c r="D39" s="924"/>
      <c r="E39" s="924"/>
      <c r="F39" s="924"/>
      <c r="G39" s="924"/>
      <c r="H39" s="924"/>
      <c r="I39" s="924"/>
      <c r="J39" s="924"/>
      <c r="K39" s="924"/>
      <c r="L39" s="924"/>
      <c r="M39" s="924"/>
      <c r="N39" s="924"/>
      <c r="O39" s="924"/>
      <c r="P39" s="924"/>
      <c r="Q39" s="924"/>
      <c r="R39" s="924"/>
      <c r="S39" s="924"/>
      <c r="T39" s="925"/>
      <c r="U39" s="576">
        <v>36</v>
      </c>
      <c r="V39" s="526">
        <f>SUMIF(TB!$Q:$Q,'Зардлын задаргаа'!$U39,TB!$K:$K)</f>
        <v>0</v>
      </c>
      <c r="W39" s="171"/>
    </row>
    <row r="40" spans="1:23" ht="27.6" customHeight="1" x14ac:dyDescent="0.25">
      <c r="A40" s="928"/>
      <c r="B40" s="929"/>
      <c r="C40" s="935" t="s">
        <v>968</v>
      </c>
      <c r="D40" s="924"/>
      <c r="E40" s="924"/>
      <c r="F40" s="924"/>
      <c r="G40" s="924"/>
      <c r="H40" s="924"/>
      <c r="I40" s="924"/>
      <c r="J40" s="924"/>
      <c r="K40" s="924"/>
      <c r="L40" s="924"/>
      <c r="M40" s="924"/>
      <c r="N40" s="924"/>
      <c r="O40" s="924"/>
      <c r="P40" s="924"/>
      <c r="Q40" s="924"/>
      <c r="R40" s="924"/>
      <c r="S40" s="924"/>
      <c r="T40" s="925"/>
      <c r="U40" s="576">
        <v>37</v>
      </c>
      <c r="V40" s="526">
        <f>SUMIF(TB!$Q:$Q,'Зардлын задаргаа'!$U40,TB!$K:$K)</f>
        <v>0</v>
      </c>
      <c r="W40" s="171"/>
    </row>
    <row r="41" spans="1:23" ht="13.8" x14ac:dyDescent="0.25">
      <c r="A41" s="928"/>
      <c r="B41" s="929"/>
      <c r="C41" s="937" t="s">
        <v>969</v>
      </c>
      <c r="D41" s="938"/>
      <c r="E41" s="938"/>
      <c r="F41" s="938"/>
      <c r="G41" s="927"/>
      <c r="H41" s="577" t="s">
        <v>1009</v>
      </c>
      <c r="I41" s="577"/>
      <c r="J41" s="577"/>
      <c r="K41" s="577"/>
      <c r="L41" s="577"/>
      <c r="M41" s="577"/>
      <c r="N41" s="577"/>
      <c r="O41" s="577"/>
      <c r="P41" s="577"/>
      <c r="Q41" s="577"/>
      <c r="R41" s="577"/>
      <c r="S41" s="577"/>
      <c r="T41" s="578"/>
      <c r="U41" s="576">
        <v>38</v>
      </c>
      <c r="V41" s="526">
        <f>SUMIF(TB!$Q:$Q,'Зардлын задаргаа'!$U41,TB!$K:$K)</f>
        <v>0</v>
      </c>
      <c r="W41" s="171"/>
    </row>
    <row r="42" spans="1:23" ht="13.8" x14ac:dyDescent="0.25">
      <c r="A42" s="928"/>
      <c r="B42" s="929"/>
      <c r="C42" s="928"/>
      <c r="D42" s="939"/>
      <c r="E42" s="939"/>
      <c r="F42" s="939"/>
      <c r="G42" s="929"/>
      <c r="H42" s="577" t="s">
        <v>178</v>
      </c>
      <c r="I42" s="577"/>
      <c r="J42" s="577"/>
      <c r="K42" s="577"/>
      <c r="L42" s="577"/>
      <c r="M42" s="577"/>
      <c r="N42" s="577"/>
      <c r="O42" s="577"/>
      <c r="P42" s="577"/>
      <c r="Q42" s="577"/>
      <c r="R42" s="577"/>
      <c r="S42" s="577"/>
      <c r="T42" s="578"/>
      <c r="U42" s="576">
        <v>39</v>
      </c>
      <c r="V42" s="526">
        <f>SUMIF(TB!$Q:$Q,'Зардлын задаргаа'!$U42,TB!$K:$K)</f>
        <v>0</v>
      </c>
      <c r="W42" s="171"/>
    </row>
    <row r="43" spans="1:23" ht="13.8" x14ac:dyDescent="0.25">
      <c r="A43" s="928"/>
      <c r="B43" s="929"/>
      <c r="C43" s="928"/>
      <c r="D43" s="939"/>
      <c r="E43" s="939"/>
      <c r="F43" s="939"/>
      <c r="G43" s="929"/>
      <c r="H43" s="577" t="s">
        <v>179</v>
      </c>
      <c r="I43" s="577"/>
      <c r="J43" s="577"/>
      <c r="K43" s="577"/>
      <c r="L43" s="577"/>
      <c r="M43" s="577"/>
      <c r="N43" s="577"/>
      <c r="O43" s="577"/>
      <c r="P43" s="577"/>
      <c r="Q43" s="577"/>
      <c r="R43" s="577"/>
      <c r="S43" s="577"/>
      <c r="T43" s="578"/>
      <c r="U43" s="576">
        <v>40</v>
      </c>
      <c r="V43" s="526">
        <f>SUMIF(TB!$Q:$Q,'Зардлын задаргаа'!$U43,TB!$K:$K)</f>
        <v>0</v>
      </c>
      <c r="W43" s="171"/>
    </row>
    <row r="44" spans="1:23" ht="13.8" x14ac:dyDescent="0.25">
      <c r="A44" s="928"/>
      <c r="B44" s="929"/>
      <c r="C44" s="928"/>
      <c r="D44" s="939"/>
      <c r="E44" s="939"/>
      <c r="F44" s="939"/>
      <c r="G44" s="929"/>
      <c r="H44" s="577" t="s">
        <v>180</v>
      </c>
      <c r="I44" s="577"/>
      <c r="J44" s="577"/>
      <c r="K44" s="577"/>
      <c r="L44" s="577"/>
      <c r="M44" s="577"/>
      <c r="N44" s="577"/>
      <c r="O44" s="577"/>
      <c r="P44" s="577"/>
      <c r="Q44" s="577"/>
      <c r="R44" s="577"/>
      <c r="S44" s="577"/>
      <c r="T44" s="578"/>
      <c r="U44" s="576">
        <v>41</v>
      </c>
      <c r="V44" s="526">
        <f>SUMIF(TB!$Q:$Q,'Зардлын задаргаа'!$U44,TB!$K:$K)</f>
        <v>0</v>
      </c>
      <c r="W44" s="171"/>
    </row>
    <row r="45" spans="1:23" ht="13.8" x14ac:dyDescent="0.25">
      <c r="A45" s="928"/>
      <c r="B45" s="929"/>
      <c r="C45" s="928"/>
      <c r="D45" s="939"/>
      <c r="E45" s="939"/>
      <c r="F45" s="939"/>
      <c r="G45" s="929"/>
      <c r="H45" s="577" t="s">
        <v>970</v>
      </c>
      <c r="I45" s="577"/>
      <c r="J45" s="577"/>
      <c r="K45" s="577"/>
      <c r="L45" s="577"/>
      <c r="M45" s="577"/>
      <c r="N45" s="577"/>
      <c r="O45" s="577"/>
      <c r="P45" s="577"/>
      <c r="Q45" s="577"/>
      <c r="R45" s="577"/>
      <c r="S45" s="577"/>
      <c r="T45" s="578"/>
      <c r="U45" s="576">
        <v>42</v>
      </c>
      <c r="V45" s="526">
        <f>SUMIF(TB!$Q:$Q,'Зардлын задаргаа'!$U45,TB!$K:$K)</f>
        <v>0</v>
      </c>
      <c r="W45" s="171"/>
    </row>
    <row r="46" spans="1:23" ht="13.8" x14ac:dyDescent="0.25">
      <c r="A46" s="928"/>
      <c r="B46" s="929"/>
      <c r="C46" s="930"/>
      <c r="D46" s="940"/>
      <c r="E46" s="940"/>
      <c r="F46" s="940"/>
      <c r="G46" s="931"/>
      <c r="H46" s="577" t="s">
        <v>971</v>
      </c>
      <c r="I46" s="577"/>
      <c r="J46" s="577"/>
      <c r="K46" s="577"/>
      <c r="L46" s="577"/>
      <c r="M46" s="577"/>
      <c r="N46" s="577"/>
      <c r="O46" s="577"/>
      <c r="P46" s="577"/>
      <c r="Q46" s="577"/>
      <c r="R46" s="577"/>
      <c r="S46" s="577"/>
      <c r="T46" s="578"/>
      <c r="U46" s="576">
        <v>43</v>
      </c>
      <c r="V46" s="526">
        <f>SUMIF(TB!$Q:$Q,'Зардлын задаргаа'!$U46,TB!$K:$K)</f>
        <v>0</v>
      </c>
      <c r="W46" s="171"/>
    </row>
    <row r="47" spans="1:23" ht="13.8" x14ac:dyDescent="0.25">
      <c r="A47" s="930"/>
      <c r="B47" s="931"/>
      <c r="C47" s="934" t="s">
        <v>183</v>
      </c>
      <c r="D47" s="924"/>
      <c r="E47" s="924"/>
      <c r="F47" s="924"/>
      <c r="G47" s="924"/>
      <c r="H47" s="924"/>
      <c r="I47" s="924"/>
      <c r="J47" s="924"/>
      <c r="K47" s="924"/>
      <c r="L47" s="924"/>
      <c r="M47" s="924"/>
      <c r="N47" s="924"/>
      <c r="O47" s="924"/>
      <c r="P47" s="924"/>
      <c r="Q47" s="924"/>
      <c r="R47" s="924"/>
      <c r="S47" s="924"/>
      <c r="T47" s="925"/>
      <c r="U47" s="576">
        <v>44</v>
      </c>
      <c r="V47" s="526">
        <f>SUMIF(TB!$Q:$Q,'Зардлын задаргаа'!$U47,TB!$K:$K)</f>
        <v>0</v>
      </c>
      <c r="W47" s="287"/>
    </row>
    <row r="48" spans="1:23" ht="13.8" x14ac:dyDescent="0.25">
      <c r="A48" s="950" t="s">
        <v>972</v>
      </c>
      <c r="B48" s="924"/>
      <c r="C48" s="924"/>
      <c r="D48" s="924"/>
      <c r="E48" s="924"/>
      <c r="F48" s="924"/>
      <c r="G48" s="924"/>
      <c r="H48" s="924"/>
      <c r="I48" s="924"/>
      <c r="J48" s="924"/>
      <c r="K48" s="924"/>
      <c r="L48" s="924"/>
      <c r="M48" s="924"/>
      <c r="N48" s="924"/>
      <c r="O48" s="924"/>
      <c r="P48" s="924"/>
      <c r="Q48" s="924"/>
      <c r="R48" s="924"/>
      <c r="S48" s="924"/>
      <c r="T48" s="925"/>
      <c r="U48" s="579">
        <v>45</v>
      </c>
      <c r="V48" s="602">
        <f>SUM(V4:V47)</f>
        <v>0</v>
      </c>
      <c r="W48" s="171"/>
    </row>
    <row r="49" spans="1:23" ht="16.5" customHeight="1" x14ac:dyDescent="0.25">
      <c r="A49" s="580"/>
      <c r="B49" s="581"/>
      <c r="C49" s="581"/>
      <c r="D49" s="581"/>
      <c r="E49" s="581"/>
      <c r="F49" s="581"/>
      <c r="G49" s="581"/>
      <c r="H49" s="581"/>
      <c r="I49" s="581"/>
      <c r="J49" s="581"/>
      <c r="K49" s="581"/>
      <c r="L49" s="581"/>
      <c r="M49" s="581"/>
      <c r="N49" s="581"/>
      <c r="O49" s="581"/>
      <c r="P49" s="581"/>
      <c r="Q49" s="581"/>
      <c r="R49" s="581"/>
      <c r="S49" s="581"/>
      <c r="T49" s="581"/>
      <c r="U49" s="582"/>
      <c r="V49" s="305"/>
      <c r="W49" s="305">
        <f>V48+ААНОАТ!V39</f>
        <v>0</v>
      </c>
    </row>
    <row r="50" spans="1:23" ht="16.5" customHeight="1" x14ac:dyDescent="0.3">
      <c r="A50" s="920" t="s">
        <v>1001</v>
      </c>
      <c r="B50" s="921"/>
      <c r="C50" s="921"/>
      <c r="D50" s="921"/>
      <c r="E50" s="921"/>
      <c r="F50" s="921"/>
      <c r="G50" s="921"/>
      <c r="H50" s="921"/>
      <c r="I50" s="921"/>
      <c r="J50" s="921"/>
      <c r="K50" s="921"/>
      <c r="L50" s="921"/>
      <c r="M50" s="921"/>
      <c r="N50" s="921"/>
      <c r="O50" s="921"/>
      <c r="P50" s="921"/>
      <c r="Q50" s="921"/>
      <c r="R50" s="921"/>
      <c r="S50" s="921"/>
      <c r="T50" s="921"/>
      <c r="U50" s="921"/>
      <c r="V50" s="921"/>
      <c r="W50" s="171"/>
    </row>
    <row r="51" spans="1:23" ht="16.5" customHeight="1" x14ac:dyDescent="0.25">
      <c r="A51" s="171"/>
      <c r="B51" s="171"/>
      <c r="C51" s="171"/>
      <c r="D51" s="171"/>
      <c r="E51" s="171"/>
      <c r="F51" s="171"/>
      <c r="G51" s="171"/>
      <c r="H51" s="171"/>
      <c r="I51" s="171"/>
      <c r="J51" s="171"/>
      <c r="K51" s="171"/>
      <c r="L51" s="171"/>
      <c r="M51" s="171"/>
      <c r="N51" s="171"/>
      <c r="O51" s="171"/>
      <c r="P51" s="171"/>
      <c r="Q51" s="171"/>
      <c r="R51" s="171"/>
      <c r="S51" s="171"/>
      <c r="T51" s="922" t="s">
        <v>709</v>
      </c>
      <c r="U51" s="921"/>
      <c r="V51" s="921"/>
      <c r="W51" s="171"/>
    </row>
    <row r="52" spans="1:23" ht="16.5" customHeight="1" x14ac:dyDescent="0.3">
      <c r="A52" s="583"/>
      <c r="B52" s="584"/>
      <c r="C52" s="584"/>
      <c r="D52" s="584"/>
      <c r="E52" s="584"/>
      <c r="F52" s="584"/>
      <c r="G52" s="584"/>
      <c r="H52" s="584"/>
      <c r="I52" s="584"/>
      <c r="J52" s="584"/>
      <c r="K52" s="584"/>
      <c r="L52" s="584"/>
      <c r="M52" s="584"/>
      <c r="N52" s="584"/>
      <c r="O52" s="584"/>
      <c r="P52" s="584"/>
      <c r="Q52" s="584"/>
      <c r="R52" s="584"/>
      <c r="S52" s="584"/>
      <c r="T52" s="584"/>
      <c r="U52" s="584"/>
      <c r="V52" s="585"/>
      <c r="W52" s="171"/>
    </row>
    <row r="53" spans="1:23" ht="13.5" customHeight="1" x14ac:dyDescent="0.25">
      <c r="A53" s="923" t="s">
        <v>710</v>
      </c>
      <c r="B53" s="924"/>
      <c r="C53" s="924"/>
      <c r="D53" s="924"/>
      <c r="E53" s="924"/>
      <c r="F53" s="924"/>
      <c r="G53" s="924"/>
      <c r="H53" s="924"/>
      <c r="I53" s="924"/>
      <c r="J53" s="924"/>
      <c r="K53" s="924"/>
      <c r="L53" s="924"/>
      <c r="M53" s="924"/>
      <c r="N53" s="924"/>
      <c r="O53" s="924"/>
      <c r="P53" s="924"/>
      <c r="Q53" s="924"/>
      <c r="R53" s="924"/>
      <c r="S53" s="924"/>
      <c r="T53" s="925"/>
      <c r="U53" s="575" t="s">
        <v>711</v>
      </c>
      <c r="V53" s="491" t="s">
        <v>712</v>
      </c>
      <c r="W53" s="171"/>
    </row>
    <row r="54" spans="1:23" ht="13.5" customHeight="1" x14ac:dyDescent="0.25">
      <c r="A54" s="586" t="s">
        <v>973</v>
      </c>
      <c r="B54" s="587"/>
      <c r="C54" s="587"/>
      <c r="D54" s="587"/>
      <c r="E54" s="587"/>
      <c r="F54" s="587"/>
      <c r="G54" s="587"/>
      <c r="H54" s="587"/>
      <c r="I54" s="587"/>
      <c r="J54" s="587"/>
      <c r="K54" s="587"/>
      <c r="L54" s="587"/>
      <c r="M54" s="587"/>
      <c r="N54" s="587"/>
      <c r="O54" s="587"/>
      <c r="P54" s="587"/>
      <c r="Q54" s="587"/>
      <c r="R54" s="587"/>
      <c r="S54" s="587"/>
      <c r="T54" s="588"/>
      <c r="U54" s="589">
        <v>50</v>
      </c>
      <c r="V54" s="526">
        <f>SUMIF(TB!$Q:$Q,'Зардлын задаргаа'!$U54,TB!$K:$K)</f>
        <v>0</v>
      </c>
      <c r="W54" s="171"/>
    </row>
    <row r="55" spans="1:23" ht="13.5" customHeight="1" x14ac:dyDescent="0.25">
      <c r="A55" s="951" t="s">
        <v>974</v>
      </c>
      <c r="B55" s="952"/>
      <c r="C55" s="952"/>
      <c r="D55" s="952"/>
      <c r="E55" s="952"/>
      <c r="F55" s="952"/>
      <c r="G55" s="952"/>
      <c r="H55" s="952"/>
      <c r="I55" s="952"/>
      <c r="J55" s="952"/>
      <c r="K55" s="952"/>
      <c r="L55" s="952"/>
      <c r="M55" s="952"/>
      <c r="N55" s="952"/>
      <c r="O55" s="952"/>
      <c r="P55" s="952"/>
      <c r="Q55" s="952"/>
      <c r="R55" s="952"/>
      <c r="S55" s="952"/>
      <c r="T55" s="953"/>
      <c r="U55" s="589">
        <v>51</v>
      </c>
      <c r="V55" s="526">
        <f>SUMIF(TB!$Q:$Q,'Зардлын задаргаа'!$U55,TB!$K:$K)</f>
        <v>0</v>
      </c>
      <c r="W55" s="171"/>
    </row>
    <row r="56" spans="1:23" ht="25.95" customHeight="1" x14ac:dyDescent="0.25">
      <c r="A56" s="944" t="s">
        <v>975</v>
      </c>
      <c r="B56" s="945"/>
      <c r="C56" s="945"/>
      <c r="D56" s="945"/>
      <c r="E56" s="945"/>
      <c r="F56" s="945"/>
      <c r="G56" s="945"/>
      <c r="H56" s="945"/>
      <c r="I56" s="945"/>
      <c r="J56" s="945"/>
      <c r="K56" s="945"/>
      <c r="L56" s="945"/>
      <c r="M56" s="945"/>
      <c r="N56" s="945"/>
      <c r="O56" s="945"/>
      <c r="P56" s="945"/>
      <c r="Q56" s="945"/>
      <c r="R56" s="945"/>
      <c r="S56" s="945"/>
      <c r="T56" s="946"/>
      <c r="U56" s="589">
        <v>52</v>
      </c>
      <c r="V56" s="526">
        <f>SUMIF(TB!$Q:$Q,'Зардлын задаргаа'!$U56,TB!$K:$K)</f>
        <v>0</v>
      </c>
      <c r="W56" s="171"/>
    </row>
    <row r="57" spans="1:23" ht="13.8" x14ac:dyDescent="0.25">
      <c r="A57" s="947" t="s">
        <v>976</v>
      </c>
      <c r="B57" s="948"/>
      <c r="C57" s="948"/>
      <c r="D57" s="948"/>
      <c r="E57" s="948"/>
      <c r="F57" s="948"/>
      <c r="G57" s="948"/>
      <c r="H57" s="948"/>
      <c r="I57" s="948"/>
      <c r="J57" s="948"/>
      <c r="K57" s="948"/>
      <c r="L57" s="948"/>
      <c r="M57" s="948"/>
      <c r="N57" s="948"/>
      <c r="O57" s="948"/>
      <c r="P57" s="948"/>
      <c r="Q57" s="948"/>
      <c r="R57" s="948"/>
      <c r="S57" s="948"/>
      <c r="T57" s="949"/>
      <c r="U57" s="589">
        <v>53</v>
      </c>
      <c r="V57" s="526">
        <f>SUMIF(TB!$Q:$Q,'Зардлын задаргаа'!$U57,TB!$K:$K)</f>
        <v>0</v>
      </c>
      <c r="W57" s="171"/>
    </row>
    <row r="58" spans="1:23" ht="27" customHeight="1" x14ac:dyDescent="0.25">
      <c r="A58" s="954" t="s">
        <v>977</v>
      </c>
      <c r="B58" s="954"/>
      <c r="C58" s="954"/>
      <c r="D58" s="954"/>
      <c r="E58" s="954"/>
      <c r="F58" s="954"/>
      <c r="G58" s="954"/>
      <c r="H58" s="954"/>
      <c r="I58" s="954"/>
      <c r="J58" s="954"/>
      <c r="K58" s="954"/>
      <c r="L58" s="954"/>
      <c r="M58" s="954"/>
      <c r="N58" s="954"/>
      <c r="O58" s="954"/>
      <c r="P58" s="954"/>
      <c r="Q58" s="954"/>
      <c r="R58" s="954"/>
      <c r="S58" s="954"/>
      <c r="T58" s="954"/>
      <c r="U58" s="589">
        <v>54</v>
      </c>
      <c r="V58" s="526">
        <f>SUMIF(TB!$Q:$Q,'Зардлын задаргаа'!$U58,TB!$K:$K)</f>
        <v>0</v>
      </c>
      <c r="W58" s="171"/>
    </row>
    <row r="59" spans="1:23" ht="13.8" x14ac:dyDescent="0.25">
      <c r="A59" s="941" t="s">
        <v>978</v>
      </c>
      <c r="B59" s="942"/>
      <c r="C59" s="942"/>
      <c r="D59" s="942"/>
      <c r="E59" s="942"/>
      <c r="F59" s="942"/>
      <c r="G59" s="942"/>
      <c r="H59" s="942"/>
      <c r="I59" s="942"/>
      <c r="J59" s="942"/>
      <c r="K59" s="942"/>
      <c r="L59" s="942"/>
      <c r="M59" s="942"/>
      <c r="N59" s="942"/>
      <c r="O59" s="942"/>
      <c r="P59" s="942"/>
      <c r="Q59" s="942"/>
      <c r="R59" s="942"/>
      <c r="S59" s="942"/>
      <c r="T59" s="943"/>
      <c r="U59" s="589">
        <v>55</v>
      </c>
      <c r="V59" s="526"/>
      <c r="W59" s="171"/>
    </row>
    <row r="60" spans="1:23" ht="13.5" customHeight="1" x14ac:dyDescent="0.25">
      <c r="A60" s="941" t="s">
        <v>979</v>
      </c>
      <c r="B60" s="942"/>
      <c r="C60" s="942"/>
      <c r="D60" s="942"/>
      <c r="E60" s="942"/>
      <c r="F60" s="942"/>
      <c r="G60" s="942"/>
      <c r="H60" s="942"/>
      <c r="I60" s="942"/>
      <c r="J60" s="942"/>
      <c r="K60" s="942"/>
      <c r="L60" s="942"/>
      <c r="M60" s="942"/>
      <c r="N60" s="942"/>
      <c r="O60" s="942"/>
      <c r="P60" s="942"/>
      <c r="Q60" s="942"/>
      <c r="R60" s="942"/>
      <c r="S60" s="942"/>
      <c r="T60" s="943"/>
      <c r="U60" s="589">
        <v>56</v>
      </c>
      <c r="V60" s="526">
        <f>SUMIF(TB!$Q:$Q,'Зардлын задаргаа'!$U60,TB!$K:$K)</f>
        <v>0</v>
      </c>
      <c r="W60" s="171"/>
    </row>
    <row r="61" spans="1:23" ht="26.25" customHeight="1" x14ac:dyDescent="0.25">
      <c r="A61" s="941" t="s">
        <v>980</v>
      </c>
      <c r="B61" s="942"/>
      <c r="C61" s="942"/>
      <c r="D61" s="942"/>
      <c r="E61" s="942"/>
      <c r="F61" s="942"/>
      <c r="G61" s="942"/>
      <c r="H61" s="942"/>
      <c r="I61" s="942"/>
      <c r="J61" s="942"/>
      <c r="K61" s="942"/>
      <c r="L61" s="942"/>
      <c r="M61" s="942"/>
      <c r="N61" s="942"/>
      <c r="O61" s="942"/>
      <c r="P61" s="942"/>
      <c r="Q61" s="942"/>
      <c r="R61" s="942"/>
      <c r="S61" s="942"/>
      <c r="T61" s="943"/>
      <c r="U61" s="589">
        <v>57</v>
      </c>
      <c r="V61" s="526">
        <f>SUMIF(TB!$Q:$Q,'Зардлын задаргаа'!$U61,TB!$K:$K)</f>
        <v>0</v>
      </c>
      <c r="W61" s="171"/>
    </row>
    <row r="62" spans="1:23" ht="30.6" customHeight="1" x14ac:dyDescent="0.25">
      <c r="A62" s="941" t="s">
        <v>981</v>
      </c>
      <c r="B62" s="942"/>
      <c r="C62" s="942" t="s">
        <v>982</v>
      </c>
      <c r="D62" s="942"/>
      <c r="E62" s="942"/>
      <c r="F62" s="942"/>
      <c r="G62" s="942"/>
      <c r="H62" s="942"/>
      <c r="I62" s="942"/>
      <c r="J62" s="942"/>
      <c r="K62" s="942"/>
      <c r="L62" s="942"/>
      <c r="M62" s="942"/>
      <c r="N62" s="942"/>
      <c r="O62" s="942"/>
      <c r="P62" s="942"/>
      <c r="Q62" s="942"/>
      <c r="R62" s="942"/>
      <c r="S62" s="942"/>
      <c r="T62" s="943"/>
      <c r="U62" s="589">
        <v>58</v>
      </c>
      <c r="V62" s="526">
        <f>SUMIF(TB!$Q:$Q,'Зардлын задаргаа'!$U62,TB!$K:$K)</f>
        <v>0</v>
      </c>
      <c r="W62" s="171"/>
    </row>
    <row r="63" spans="1:23" ht="13.5" customHeight="1" x14ac:dyDescent="0.25">
      <c r="A63" s="941" t="s">
        <v>983</v>
      </c>
      <c r="B63" s="942"/>
      <c r="C63" s="942" t="s">
        <v>984</v>
      </c>
      <c r="D63" s="942"/>
      <c r="E63" s="942"/>
      <c r="F63" s="942"/>
      <c r="G63" s="942"/>
      <c r="H63" s="942"/>
      <c r="I63" s="942"/>
      <c r="J63" s="942"/>
      <c r="K63" s="942"/>
      <c r="L63" s="942"/>
      <c r="M63" s="942"/>
      <c r="N63" s="942"/>
      <c r="O63" s="942"/>
      <c r="P63" s="942"/>
      <c r="Q63" s="942"/>
      <c r="R63" s="942"/>
      <c r="S63" s="942"/>
      <c r="T63" s="943"/>
      <c r="U63" s="589">
        <v>59</v>
      </c>
      <c r="V63" s="526">
        <f>SUMIF(TB!$Q:$Q,'Зардлын задаргаа'!$U63,TB!$K:$K)</f>
        <v>0</v>
      </c>
      <c r="W63" s="171"/>
    </row>
    <row r="64" spans="1:23" ht="15" customHeight="1" x14ac:dyDescent="0.25">
      <c r="A64" s="941" t="s">
        <v>985</v>
      </c>
      <c r="B64" s="942"/>
      <c r="C64" s="942" t="s">
        <v>553</v>
      </c>
      <c r="D64" s="942"/>
      <c r="E64" s="942"/>
      <c r="F64" s="942"/>
      <c r="G64" s="942"/>
      <c r="H64" s="942"/>
      <c r="I64" s="942"/>
      <c r="J64" s="942"/>
      <c r="K64" s="942"/>
      <c r="L64" s="942"/>
      <c r="M64" s="942"/>
      <c r="N64" s="942"/>
      <c r="O64" s="942"/>
      <c r="P64" s="942"/>
      <c r="Q64" s="942"/>
      <c r="R64" s="942"/>
      <c r="S64" s="942"/>
      <c r="T64" s="943"/>
      <c r="U64" s="589">
        <v>60</v>
      </c>
      <c r="V64" s="526">
        <f>SUMIF(TB!$Q:$Q,'Зардлын задаргаа'!$U64,TB!$K:$K)</f>
        <v>0</v>
      </c>
      <c r="W64" s="172"/>
    </row>
    <row r="65" spans="1:23" ht="15" customHeight="1" x14ac:dyDescent="0.25">
      <c r="A65" s="941" t="s">
        <v>986</v>
      </c>
      <c r="B65" s="942"/>
      <c r="C65" s="942" t="s">
        <v>157</v>
      </c>
      <c r="D65" s="942"/>
      <c r="E65" s="942"/>
      <c r="F65" s="942"/>
      <c r="G65" s="942"/>
      <c r="H65" s="942"/>
      <c r="I65" s="942"/>
      <c r="J65" s="942"/>
      <c r="K65" s="942"/>
      <c r="L65" s="942"/>
      <c r="M65" s="942"/>
      <c r="N65" s="942"/>
      <c r="O65" s="942"/>
      <c r="P65" s="942"/>
      <c r="Q65" s="942"/>
      <c r="R65" s="942"/>
      <c r="S65" s="942"/>
      <c r="T65" s="943"/>
      <c r="U65" s="589">
        <v>61</v>
      </c>
      <c r="V65" s="526">
        <f>SUMIF(TB!$Q:$Q,'Зардлын задаргаа'!$U65,TB!$K:$K)</f>
        <v>0</v>
      </c>
      <c r="W65" s="172"/>
    </row>
    <row r="66" spans="1:23" ht="15" customHeight="1" x14ac:dyDescent="0.25">
      <c r="A66" s="941" t="s">
        <v>987</v>
      </c>
      <c r="B66" s="942"/>
      <c r="C66" s="942"/>
      <c r="D66" s="942"/>
      <c r="E66" s="942"/>
      <c r="F66" s="942"/>
      <c r="G66" s="942"/>
      <c r="H66" s="942"/>
      <c r="I66" s="942"/>
      <c r="J66" s="942"/>
      <c r="K66" s="942"/>
      <c r="L66" s="942"/>
      <c r="M66" s="942"/>
      <c r="N66" s="942"/>
      <c r="O66" s="942"/>
      <c r="P66" s="942"/>
      <c r="Q66" s="942"/>
      <c r="R66" s="942"/>
      <c r="S66" s="942"/>
      <c r="T66" s="943"/>
      <c r="U66" s="589">
        <v>62</v>
      </c>
      <c r="V66" s="526">
        <f>SUMIF(TB!$Q:$Q,'Зардлын задаргаа'!$U66,TB!$K:$K)</f>
        <v>0</v>
      </c>
      <c r="W66" s="172"/>
    </row>
    <row r="67" spans="1:23" ht="13.5" customHeight="1" x14ac:dyDescent="0.25">
      <c r="A67" s="590"/>
      <c r="B67" s="591"/>
      <c r="C67" s="950" t="s">
        <v>988</v>
      </c>
      <c r="D67" s="924"/>
      <c r="E67" s="924"/>
      <c r="F67" s="924"/>
      <c r="G67" s="924"/>
      <c r="H67" s="924"/>
      <c r="I67" s="924"/>
      <c r="J67" s="924"/>
      <c r="K67" s="924"/>
      <c r="L67" s="924"/>
      <c r="M67" s="924"/>
      <c r="N67" s="924"/>
      <c r="O67" s="924"/>
      <c r="P67" s="924"/>
      <c r="Q67" s="924"/>
      <c r="R67" s="924"/>
      <c r="S67" s="924"/>
      <c r="T67" s="925"/>
      <c r="U67" s="576"/>
      <c r="V67" s="603">
        <f>SUM(V54:V66)</f>
        <v>0</v>
      </c>
      <c r="W67" s="171"/>
    </row>
    <row r="68" spans="1:23" ht="13.5" customHeight="1" x14ac:dyDescent="0.25">
      <c r="A68" s="592"/>
      <c r="B68" s="592"/>
      <c r="C68" s="592"/>
      <c r="D68" s="592"/>
      <c r="E68" s="592"/>
      <c r="F68" s="592"/>
      <c r="G68" s="592"/>
      <c r="H68" s="592"/>
      <c r="I68" s="592"/>
      <c r="J68" s="592"/>
      <c r="K68" s="592"/>
      <c r="L68" s="592"/>
      <c r="M68" s="592"/>
      <c r="N68" s="592"/>
      <c r="O68" s="592"/>
      <c r="P68" s="592"/>
      <c r="Q68" s="592"/>
      <c r="R68" s="592"/>
      <c r="S68" s="592"/>
      <c r="T68" s="593"/>
      <c r="U68" s="592"/>
      <c r="V68" s="526"/>
      <c r="W68" s="171"/>
    </row>
    <row r="69" spans="1:23" ht="13.5" customHeight="1" x14ac:dyDescent="0.25">
      <c r="A69" s="592"/>
      <c r="B69" s="592"/>
      <c r="C69" s="594" t="s">
        <v>989</v>
      </c>
      <c r="D69" s="595"/>
      <c r="E69" s="595"/>
      <c r="F69" s="595"/>
      <c r="G69" s="595"/>
      <c r="H69" s="595"/>
      <c r="I69" s="595"/>
      <c r="J69" s="595"/>
      <c r="K69" s="595"/>
      <c r="L69" s="595"/>
      <c r="M69" s="595"/>
      <c r="N69" s="595"/>
      <c r="O69" s="595"/>
      <c r="P69" s="595"/>
      <c r="Q69" s="595"/>
      <c r="R69" s="595"/>
      <c r="S69" s="595"/>
      <c r="T69" s="596" t="s">
        <v>990</v>
      </c>
      <c r="U69" s="597"/>
      <c r="V69" s="598">
        <f>V48+V67+W4</f>
        <v>0</v>
      </c>
      <c r="W69" s="171"/>
    </row>
    <row r="70" spans="1:23" ht="13.5" customHeight="1" x14ac:dyDescent="0.25">
      <c r="A70" s="592"/>
      <c r="B70" s="592"/>
      <c r="C70" s="592"/>
      <c r="D70" s="592"/>
      <c r="E70" s="592"/>
      <c r="F70" s="592"/>
      <c r="G70" s="592"/>
      <c r="H70" s="592"/>
      <c r="I70" s="592"/>
      <c r="J70" s="592"/>
      <c r="K70" s="592"/>
      <c r="L70" s="592"/>
      <c r="M70" s="592"/>
      <c r="N70" s="592"/>
      <c r="O70" s="592"/>
      <c r="P70" s="592"/>
      <c r="Q70" s="592"/>
      <c r="R70" s="592"/>
      <c r="S70" s="592"/>
      <c r="V70" s="306"/>
      <c r="W70" s="171"/>
    </row>
    <row r="71" spans="1:23" ht="13.8" x14ac:dyDescent="0.25">
      <c r="A71" s="599" t="s">
        <v>991</v>
      </c>
      <c r="B71" s="600"/>
      <c r="C71" s="600"/>
      <c r="D71" s="600"/>
      <c r="E71" s="600"/>
      <c r="F71" s="600"/>
      <c r="G71" s="600"/>
      <c r="H71" s="600"/>
      <c r="I71" s="600"/>
      <c r="J71" s="600"/>
      <c r="K71" s="600"/>
      <c r="L71" s="600"/>
      <c r="M71" s="600"/>
      <c r="N71" s="600"/>
      <c r="O71" s="600"/>
      <c r="P71" s="600"/>
      <c r="Q71" s="600"/>
      <c r="R71" s="600"/>
      <c r="S71" s="600"/>
      <c r="T71" s="600"/>
      <c r="U71" s="600"/>
      <c r="V71" s="601"/>
      <c r="W71" s="306"/>
    </row>
  </sheetData>
  <sheetProtection algorithmName="SHA-512" hashValue="Ys1wfQKH8R7ZlPh7GnOoe9hlZVKLwGhppTd51WcPFjOfstipVdB9/wZbdXNtBLnAWKDkTygZrcnK+gGRSiEGRg==" saltValue="yW3nIJUFsCFu2kfJbHMpHA==" spinCount="100000" sheet="1" objects="1" scenarios="1"/>
  <mergeCells count="60">
    <mergeCell ref="C12:T12"/>
    <mergeCell ref="C13:T13"/>
    <mergeCell ref="C14:T14"/>
    <mergeCell ref="C15:T15"/>
    <mergeCell ref="C16:T16"/>
    <mergeCell ref="C7:T7"/>
    <mergeCell ref="C8:T8"/>
    <mergeCell ref="C9:T9"/>
    <mergeCell ref="C10:T10"/>
    <mergeCell ref="C11:T11"/>
    <mergeCell ref="C25:T25"/>
    <mergeCell ref="C26:T26"/>
    <mergeCell ref="C17:T17"/>
    <mergeCell ref="C18:T18"/>
    <mergeCell ref="C19:T19"/>
    <mergeCell ref="C20:T20"/>
    <mergeCell ref="C21:T21"/>
    <mergeCell ref="C23:T23"/>
    <mergeCell ref="C24:T24"/>
    <mergeCell ref="C67:T67"/>
    <mergeCell ref="A48:T48"/>
    <mergeCell ref="A50:V50"/>
    <mergeCell ref="T51:V51"/>
    <mergeCell ref="A53:T53"/>
    <mergeCell ref="A55:T55"/>
    <mergeCell ref="A58:T58"/>
    <mergeCell ref="A62:T62"/>
    <mergeCell ref="A63:T63"/>
    <mergeCell ref="A64:T64"/>
    <mergeCell ref="A65:T65"/>
    <mergeCell ref="A66:T66"/>
    <mergeCell ref="C40:T40"/>
    <mergeCell ref="C41:G46"/>
    <mergeCell ref="C47:T47"/>
    <mergeCell ref="A60:T60"/>
    <mergeCell ref="A61:T61"/>
    <mergeCell ref="A56:T56"/>
    <mergeCell ref="A57:T57"/>
    <mergeCell ref="A59:T59"/>
    <mergeCell ref="C35:T35"/>
    <mergeCell ref="C36:T36"/>
    <mergeCell ref="C37:T37"/>
    <mergeCell ref="C38:T38"/>
    <mergeCell ref="C39:T39"/>
    <mergeCell ref="A1:V1"/>
    <mergeCell ref="T2:V2"/>
    <mergeCell ref="A3:T3"/>
    <mergeCell ref="A4:B47"/>
    <mergeCell ref="C4:T4"/>
    <mergeCell ref="C5:T5"/>
    <mergeCell ref="C6:T6"/>
    <mergeCell ref="C32:T32"/>
    <mergeCell ref="C33:T33"/>
    <mergeCell ref="C34:T34"/>
    <mergeCell ref="C27:T27"/>
    <mergeCell ref="C28:T28"/>
    <mergeCell ref="C29:T29"/>
    <mergeCell ref="C30:T30"/>
    <mergeCell ref="C31:T31"/>
    <mergeCell ref="C22:T22"/>
  </mergeCells>
  <pageMargins left="0.2" right="0.2" top="0.25" bottom="0.25" header="0" footer="0"/>
  <pageSetup paperSize="9" scale="90" fitToHeight="0" orientation="portrait" r:id="rId1"/>
  <rowBreaks count="1" manualBreakCount="1">
    <brk id="48" max="2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Info</vt:lpstr>
      <vt:lpstr>НҮҮР</vt:lpstr>
      <vt:lpstr>GL</vt:lpstr>
      <vt:lpstr>TB</vt:lpstr>
      <vt:lpstr>BS</vt:lpstr>
      <vt:lpstr>IS</vt:lpstr>
      <vt:lpstr>EQ</vt:lpstr>
      <vt:lpstr>CF</vt:lpstr>
      <vt:lpstr>Тодруулга</vt:lpstr>
      <vt:lpstr>Авлага Өглөг</vt:lpstr>
      <vt:lpstr>Цалин</vt:lpstr>
      <vt:lpstr>ААНОАТ</vt:lpstr>
      <vt:lpstr>Зөрүүгийн тайлан</vt:lpstr>
      <vt:lpstr>ХХМ-01</vt:lpstr>
      <vt:lpstr>Зардлын задаргаа</vt:lpstr>
      <vt:lpstr>BS!Print_Area</vt:lpstr>
      <vt:lpstr>CF!Print_Area</vt:lpstr>
      <vt:lpstr>EQ!Print_Area</vt:lpstr>
      <vt:lpstr>GL!Print_Area</vt:lpstr>
      <vt:lpstr>Info!Print_Area</vt:lpstr>
      <vt:lpstr>TB!Print_Area</vt:lpstr>
      <vt:lpstr>ААНОАТ!Print_Area</vt:lpstr>
      <vt:lpstr>'Авлага Өглөг'!Print_Area</vt:lpstr>
      <vt:lpstr>'Зардлын задаргаа'!Print_Area</vt:lpstr>
      <vt:lpstr>'Зөрүүгийн тайлан'!Print_Area</vt:lpstr>
      <vt:lpstr>НҮҮР!Print_Area</vt:lpstr>
      <vt:lpstr>Цалин!Print_Area</vt:lpstr>
      <vt:lpstr>TB</vt:lpstr>
      <vt:lpstr>ДАНС</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Myagmarsuren Tudevdagva</dc:creator>
  <cp:keywords/>
  <dc:description/>
  <cp:lastModifiedBy>Myagmarsuren Tudevdagva</cp:lastModifiedBy>
  <cp:revision/>
  <cp:lastPrinted>2024-02-23T08:14:24Z</cp:lastPrinted>
  <dcterms:created xsi:type="dcterms:W3CDTF">2021-04-06T07:30:33Z</dcterms:created>
  <dcterms:modified xsi:type="dcterms:W3CDTF">2024-11-21T12:13:41Z</dcterms:modified>
  <cp:category/>
  <cp:contentStatus/>
</cp:coreProperties>
</file>